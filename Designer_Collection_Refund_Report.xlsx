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ines" sheetId="2" state="visible" r:id="rId4"/>
    <sheet name="Priority SKUs" sheetId="3" state="visible" r:id="rId5"/>
    <sheet name="Rankings" sheetId="4" state="visible" r:id="rId6"/>
    <sheet name="Stores" sheetId="5" state="visible" r:id="rId7"/>
    <sheet name="Monthly" sheetId="6" state="visible" r:id="rId8"/>
    <sheet name="Anomalies" sheetId="7" state="visible" r:id="rId9"/>
    <sheet name="Review List" sheetId="8" state="visible" r:id="rId10"/>
    <sheet name="Notes" sheetId="9" state="visible" r:id="rId11"/>
    <sheet name="Settings" sheetId="10" state="visible" r:id="rId12"/>
    <sheet name="Detail" sheetId="11" state="visible" r:id="rId13"/>
    <sheet name="SKU Data" sheetId="12" state="visible" r:id="rId14"/>
  </sheets>
  <definedNames>
    <definedName function="false" hidden="true" localSheetId="10" name="_xlnm._FilterDatabase" vbProcedure="false">Detail!$A$1:$P$703</definedName>
    <definedName function="false" hidden="true" localSheetId="11" name="_xlnm._FilterDatabase" vbProcedure="false">'SKU Data'!$A$1:$AF$95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<sst xmlns="http://schemas.openxmlformats.org/spreadsheetml/2006/main" count="3731" uniqueCount="462">
  <si>
    <t xml:space="preserve">Designer Collection - Refund Report (add-ons excluded)</t>
  </si>
  <si>
    <t xml:space="preserve">94 SKUs | 4 stores | Jan - 9 Oct 2026 | ranked by units, revenue impact and refund rate on own sales</t>
  </si>
  <si>
    <t xml:space="preserve">Designer gross sales</t>
  </si>
  <si>
    <t xml:space="preserve">Designer refund $</t>
  </si>
  <si>
    <t xml:space="preserve">% of ALL company refunds</t>
  </si>
  <si>
    <t xml:space="preserve">Refund rate since Aug</t>
  </si>
  <si>
    <t xml:space="preserve">vs rest of catalog</t>
  </si>
  <si>
    <t xml:space="preserve">SKUs flagged HIGH RATE</t>
  </si>
  <si>
    <t xml:space="preserve">Key findings (at export date)</t>
  </si>
  <si>
    <t xml:space="preserve">1. Designer = 12.8% of company gross but only 5.7% of company refund $ ($59,422 of $1,045,073) - yet 52% of all refunds have no SKU and cannot be assigned, so this is a floor (pro-rata illustration: +~$69,722). Since Aug the Designer refund rate is 6.6% vs 7.5% for the rest of the catalog (0.89x): not worse overall.</t>
  </si>
  <si>
    <t xml:space="preserve">2. Where the dollars are: Sympathy = 44% of Designer refund $ at a 5.9% rate (below the 6.6% average): a volume story. #1 SKU: DC-04S (Designer Sympathy Collection IV) $8,683. Highest-rate sizeable lines: Anniversary 8.7%, Birthday 8.2%.</t>
  </si>
  <si>
    <t xml:space="preserve">3. TIME: the Designer rate rose 4.9% (Aug) -&gt; 7.5% (Sep) -&gt; 9.2% (Oct, partial) while the rest of the catalog went 6.5% -&gt; 8.5% -&gt; 7.7%. Jan-Jul are understated (refunds not yet on SKUs), so no earlier comparison.</t>
  </si>
  <si>
    <t xml:space="preserve">4. Stores (window rate vs 6.6% avg): Mel's Flowers 10.2%, Bunches and Stems 8.4%, Bloomex 6.8%, Aussie Blooms 4.1%. 1 SKU(s) are statistically above the designer average: DCA-02-00.</t>
  </si>
  <si>
    <t xml:space="preserve">5. Excluded: add-ons (none of the Designer SKUs is one). Add-ons sold with Designer bouquets cannot be linked (no order id in the export), so their refunds are not in these numbers.</t>
  </si>
  <si>
    <t xml:space="preserve">Top 10 priority Designer SKUs (full list: Priority SKUs tab)</t>
  </si>
  <si>
    <t xml:space="preserve">Rank</t>
  </si>
  <si>
    <t xml:space="preserve">SKU</t>
  </si>
  <si>
    <t xml:space="preserve">Product</t>
  </si>
  <si>
    <t xml:space="preserve">Line</t>
  </si>
  <si>
    <t xml:space="preserve">Units ordered (window)</t>
  </si>
  <si>
    <t xml:space="preserve">Refunded units (window)</t>
  </si>
  <si>
    <t xml:space="preserve">Refund rate (window)</t>
  </si>
  <si>
    <t xml:space="preserve">Refund $ (all months)</t>
  </si>
  <si>
    <t xml:space="preserve">% of total company revenue</t>
  </si>
  <si>
    <t xml:space="preserve">Tier</t>
  </si>
  <si>
    <t xml:space="preserve">Main store</t>
  </si>
  <si>
    <t xml:space="preserve">Charts</t>
  </si>
  <si>
    <t xml:space="preserve">Sheet guide: Lines (sub-collections) | Priority SKUs | Rankings | Stores | Monthly | Anomalies | Review List | Notes | Settings | Detail + SKU Data (inputs)</t>
  </si>
  <si>
    <t xml:space="preserve">Product lines inside the Designer Collection</t>
  </si>
  <si>
    <t xml:space="preserve">Lines are derived from the product name / SKU (Sympathy, Birthday, Anniversary, Mason Jar, Native Flowers, Mother's Day, Christmas, General). Live SUMIFS on SKU Data. Comments written from the data at export date.</t>
  </si>
  <si>
    <t xml:space="preserve"># SKUs</t>
  </si>
  <si>
    <t xml:space="preserve">Rate vs designer avg</t>
  </si>
  <si>
    <t xml:space="preserve">Rate vs rest-of-catalog</t>
  </si>
  <si>
    <t xml:space="preserve">z vs designer avg</t>
  </si>
  <si>
    <t xml:space="preserve">Gross $ (all months)</t>
  </si>
  <si>
    <t xml:space="preserve">% of designer refund $</t>
  </si>
  <si>
    <t xml:space="preserve">Flag</t>
  </si>
  <si>
    <t xml:space="preserve">Comment 1</t>
  </si>
  <si>
    <t xml:space="preserve">Comment 2</t>
  </si>
  <si>
    <t xml:space="preserve">Comment 3</t>
  </si>
  <si>
    <t xml:space="preserve">Designer avg</t>
  </si>
  <si>
    <t xml:space="preserve">Rest of catalog</t>
  </si>
  <si>
    <t xml:space="preserve">Sympathy</t>
  </si>
  <si>
    <t xml:space="preserve">Window refund rate 5.9% = 0.88x the designer average (6.6%) and 0.78x the rest of catalog (7.5%); 220 of 3,754 units since 2026-08.</t>
  </si>
  <si>
    <t xml:space="preserve">44% of designer refund $ ($26,198) on 43% of designer gross. Top SKUs by refund $: DC-04S ($8,683), DC-02S ($6,122), DC-03S ($4,565).</t>
  </si>
  <si>
    <t xml:space="preserve">No SKU statistically above average. Highest rates: DCS-01 12.8%, DCS-02 8.9%.</t>
  </si>
  <si>
    <t xml:space="preserve">Native Flowers</t>
  </si>
  <si>
    <t xml:space="preserve">Window refund rate 6.9% = 1.04x the designer average (6.6%) and 0.93x the rest of catalog (7.5%); 106 of 1,529 units since 2026-08.</t>
  </si>
  <si>
    <t xml:space="preserve">23% of designer refund $ ($13,572) on 20% of designer gross. Top SKUs by refund $: AUDNAT-02 ($6,091), AUDNAT-03 ($4,129), AUDNAT-01 ($2,872).</t>
  </si>
  <si>
    <t xml:space="preserve">No SKU statistically above average. Highest rates: AUDNAT-03 7.1%, AUDNAT-01 7.0%.</t>
  </si>
  <si>
    <t xml:space="preserve">Birthday</t>
  </si>
  <si>
    <t xml:space="preserve">Window refund rate 8.2% = 1.23x the designer average (6.6%) and 1.09x the rest of catalog (7.5%); 91 of 1,114 units since 2026-08.</t>
  </si>
  <si>
    <t xml:space="preserve">15% of designer refund $ ($9,170) on 12% of designer gross. Top SKUs by refund $: DC-02B ($2,889), DC-01B ($2,433), DCB-02 ($1,216).</t>
  </si>
  <si>
    <t xml:space="preserve">No SKU statistically above average. Highest rates: DCB-02 11.5%, DC-02B 11.2%.</t>
  </si>
  <si>
    <t xml:space="preserve">Mason Jar</t>
  </si>
  <si>
    <t xml:space="preserve">Window refund rate 7.0% = 1.05x the designer average (6.6%) and 0.93x the rest of catalog (7.5%); 52 of 743 units since 2026-08.</t>
  </si>
  <si>
    <t xml:space="preserve">9% of designer refund $ ($5,471) on 13% of designer gross. Top SKUs by refund $: DCMJ-04A ($1,072), DCMJ-01 ($942), DCMJ-03A ($762).</t>
  </si>
  <si>
    <t xml:space="preserve">No SKU statistically above average. Highest rates: DCMJ-01 12.7%, AUDNAT-MJ-02 9.1%.</t>
  </si>
  <si>
    <t xml:space="preserve">Anniversary</t>
  </si>
  <si>
    <t xml:space="preserve">Window refund rate 8.7% = 1.31x the designer average (6.6%) and 1.17x the rest of catalog (7.5%); 33 of 378 units since 2026-08.</t>
  </si>
  <si>
    <t xml:space="preserve">6% of designer refund $ ($3,429) on 7% of designer gross. Top SKUs by refund $: DCA-02-00 ($735), AUDC-04A ($711), DC-01A ($670).</t>
  </si>
  <si>
    <t xml:space="preserve">Attention: 1 SKU(s) statistically above the designer average: DCA-02-00 (22.2% on 36 units).</t>
  </si>
  <si>
    <t xml:space="preserve">General (Designer Collection)</t>
  </si>
  <si>
    <t xml:space="preserve">Window refund rate 5.1% = 0.77x the designer average (6.6%) and 0.68x the rest of catalog (7.5%); 8 of 156 units since 2026-08.</t>
  </si>
  <si>
    <t xml:space="preserve">2% of designer refund $ ($1,131) on 3% of designer gross. Top SKUs by refund $: AUDC-04 ($427), AUDC-02 ($404), AUDC-03 ($165).</t>
  </si>
  <si>
    <t xml:space="preserve">Small sample (156 window units) - rates are noisy; watch rather than act.</t>
  </si>
  <si>
    <t xml:space="preserve">Mother's Day</t>
  </si>
  <si>
    <t xml:space="preserve">Window refund rate 7.7% = 1.16x the designer average (6.6%) and 1.03x the rest of catalog (7.5%); 2 of 26 units since 2026-08.</t>
  </si>
  <si>
    <t xml:space="preserve">1% of designer refund $ ($453) on 2% of designer gross. Top SKUs by refund $: MDDC-01 ($200), MDBC-02 ($143), FYF-mother-s-day-designer-collection-premium-C ($110).</t>
  </si>
  <si>
    <t xml:space="preserve">Small sample (26 window units) - rates are noisy; watch rather than act.</t>
  </si>
  <si>
    <t xml:space="preserve">Christmas</t>
  </si>
  <si>
    <t xml:space="preserve">No units sold since 2026-08; refunds are from earlier months only.</t>
  </si>
  <si>
    <t xml:space="preserve">0% of designer refund $ ($0) on 0% of designer gross. Top SKUs by refund $: DCX-01 ($0).</t>
  </si>
  <si>
    <t xml:space="preserve">Small sample (0 window units) - rates are noisy; watch rather than act.</t>
  </si>
  <si>
    <t xml:space="preserve">Priority SKUs - Designer Collection (add-ons excluded)</t>
  </si>
  <si>
    <t xml:space="preserve">Score = equal blend of percentile ranks for refunded units (all months), refund $ (all months = impact on revenue) and refund rate on the SKU's own sales since the rate-window start (shrunk for small volume). Live: change Settings and it re-ranks.</t>
  </si>
  <si>
    <t xml:space="preserve">Refunded units (all months)</t>
  </si>
  <si>
    <t xml:space="preserve">% of designer revenue</t>
  </si>
  <si>
    <t xml:space="preserve">Rankings - the three lenses</t>
  </si>
  <si>
    <t xml:space="preserve">Top 15 each. Units and $ use all months; rate uses the rate window (min units in Settings).</t>
  </si>
  <si>
    <t xml:space="preserve">1) BY QUANTITY - most refunded units (all months)</t>
  </si>
  <si>
    <t xml:space="preserve">#</t>
  </si>
  <si>
    <t xml:space="preserve">Baseline (designer avg)</t>
  </si>
  <si>
    <t xml:space="preserve">2) BY REVENUE IMPACT - largest refund $ (all months)</t>
  </si>
  <si>
    <t xml:space="preserve">3) BY OWN REFUND RATE - highest rate on the SKU's own sales (window, min units)</t>
  </si>
  <si>
    <t xml:space="preserve">Designer Collection by store (brand)</t>
  </si>
  <si>
    <t xml:space="preserve">Live SUMIFS on Detail. Rates = paid SKUs since the rate-window start; refund $ = all months. Comments written from the data at export date.</t>
  </si>
  <si>
    <t xml:space="preserve">Store</t>
  </si>
  <si>
    <t xml:space="preserve">Refund $ % of gross</t>
  </si>
  <si>
    <t xml:space="preserve">Bloomex - AUS</t>
  </si>
  <si>
    <t xml:space="preserve">Bloomex window rate 6.8% (306 of 4,482 units) = 1.03x designer avg, 0.91x rest of catalog.</t>
  </si>
  <si>
    <t xml:space="preserve">53% of designer refund $ ($31,691) on 63% of designer gross. Biggest line by refund $: Sympathy.</t>
  </si>
  <si>
    <t xml:space="preserve">Main SKU by refund $: DC-04S.</t>
  </si>
  <si>
    <t xml:space="preserve">Aussie Blooms - AUS</t>
  </si>
  <si>
    <t xml:space="preserve">Aussie Blooms window rate 4.1% (62 of 1,530 units) = 0.61x designer avg, 0.54x rest of catalog.</t>
  </si>
  <si>
    <t xml:space="preserve">18% of designer refund $ ($10,841) on 21% of designer gross. Biggest line by refund $: Sympathy.</t>
  </si>
  <si>
    <t xml:space="preserve">Main SKU by refund $: AUDNAT-03.</t>
  </si>
  <si>
    <t xml:space="preserve">Bunches and Stems - AUS</t>
  </si>
  <si>
    <t xml:space="preserve">Bunches and Stems window rate 8.4% (133 of 1,580 units) = 1.27x designer avg, 1.12x rest of catalog.</t>
  </si>
  <si>
    <t xml:space="preserve">26% of designer refund $ ($15,495) on 14% of designer gross. Biggest line by refund $: Sympathy.</t>
  </si>
  <si>
    <t xml:space="preserve">Mel's Flowers - AUS</t>
  </si>
  <si>
    <t xml:space="preserve">Mel's Flowers window rate 10.2% (11 of 108 units) = 1.53x designer avg, 1.36x rest of catalog.</t>
  </si>
  <si>
    <t xml:space="preserve">2% of designer refund $ ($1,395) on 1% of designer gross. Biggest line by refund $: Mason Jar.</t>
  </si>
  <si>
    <t xml:space="preserve">SMALL SAMPLE (&lt;1,000 window units) - treat with caution. Main SKU by refund $: DCMJ-04A.</t>
  </si>
  <si>
    <t xml:space="preserve">Designer Collection by month</t>
  </si>
  <si>
    <t xml:space="preserve">IMPORTANT: before the rate window (Aug) many refunds sat on blank-SKU lines, so Designer SKU-level refunds/rates for Jan-Jul are UNDERSTATED. Compare months only from Aug on; Oct is partial (to Oct 9). Rest-of-catalog columns are static values from the export (non-Designer, non-add-on, paid SKUs) for context.</t>
  </si>
  <si>
    <t xml:space="preserve">Month</t>
  </si>
  <si>
    <t xml:space="preserve">Paid units ordered</t>
  </si>
  <si>
    <t xml:space="preserve">Paid refunded units</t>
  </si>
  <si>
    <t xml:space="preserve">Designer SKU-unit refund rate</t>
  </si>
  <si>
    <t xml:space="preserve">Refund $</t>
  </si>
  <si>
    <t xml:space="preserve">Gross $</t>
  </si>
  <si>
    <t xml:space="preserve">In rate window?</t>
  </si>
  <si>
    <t xml:space="preserve">Rest-of-catalog refund rate (static)</t>
  </si>
  <si>
    <t xml:space="preserve">Designer vs rest (x)</t>
  </si>
  <si>
    <t xml:space="preserve">Rest-of-catalog refund $ % gross (static)</t>
  </si>
  <si>
    <t xml:space="preserve">Jump vs prior month (z)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</si>
  <si>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</si>
  <si>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</si>
  <si>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</si>
  <si>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</si>
  <si>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</si>
  <si>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</si>
  <si>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</si>
  <si>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</si>
  <si>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</si>
  <si>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</si>
  <si>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Designer SKU-unit refund rate by store x month (paid SKUs; n/a if &lt; 100 units; Jan-Jul understated - see note)</t>
  </si>
  <si>
    <t xml:space="preserve">Designer refund rate by line x month (paid SKUs; n/a if &lt; 50 units)</t>
  </si>
  <si>
    <t xml:space="preserve">Anomaly detection - Designer Collection</t>
  </si>
  <si>
    <t xml:space="preserve">SKU/line/store tests compare refunds with what the DESIGNER average rate predicts for the volume (binomial z; z &gt;= Settings B6 with min units/refunds = HIGH RATE) - this finds outliers inside the collection. Context vs the rest of the catalog is shown as an 'x' multiple. Refunds cluster by order, so z is a ranking signal, not proof.</t>
  </si>
  <si>
    <t xml:space="preserve">A) TIME - did Designer returns jump?</t>
  </si>
  <si>
    <t xml:space="preserve">Within the clean window (months where refunds are recorded at SKU level) the Designer SKU-unit refund rate rose 4.9% (Aug) -&gt; 7.5% (Sep, jump z=4.4) -&gt; 9.2% (Oct, partial). The rest of the catalog went 6.5% -&gt; 8.5% -&gt; 7.7%. Designer was below the rest in Aug-Sep and moved above it in Oct.</t>
  </si>
  <si>
    <t xml:space="preserve">Jan-Jul Designer rates (0.8%-2.0%) are NOT comparable: before August many refunds sat on blank-SKU lines instead of SKUs, so the true earlier rates were higher than shown. Do not read the Jan-Jul to Aug step as a surge.</t>
  </si>
  <si>
    <t xml:space="preserve">Oct is a partial month (to Oct 9) and refunds lag orders; confirm the Oct level with a full-month export.</t>
  </si>
  <si>
    <t xml:space="preserve">B) SKU anomalies - highest z-scores among Designer SKUs with enough volume (live; top 15)</t>
  </si>
  <si>
    <t xml:space="preserve">Units (window)</t>
  </si>
  <si>
    <t xml:space="preserve">Refund rate</t>
  </si>
  <si>
    <t xml:space="preserve">z-score</t>
  </si>
  <si>
    <t xml:space="preserve">Flagged Designer SKUs (live):</t>
  </si>
  <si>
    <t xml:space="preserve">C) Low volume (below min units) but very high rate - watch, not yet significant</t>
  </si>
  <si>
    <t xml:space="preserve">DCB-03</t>
  </si>
  <si>
    <t xml:space="preserve">MDDC-01</t>
  </si>
  <si>
    <t xml:space="preserve">AUDNAT-MJ-03</t>
  </si>
  <si>
    <t xml:space="preserve">DC-03A</t>
  </si>
  <si>
    <t xml:space="preserve">AUDC-04</t>
  </si>
  <si>
    <t xml:space="preserve">DCA-03-00</t>
  </si>
  <si>
    <t xml:space="preserve">D) Same collection number across lines - e.g. "Designer Collection II" for Sympathy vs Birthday vs Anniversary (window rate)</t>
  </si>
  <si>
    <t xml:space="preserve">Collection no.</t>
  </si>
  <si>
    <t xml:space="preserve">Sympathy SKU</t>
  </si>
  <si>
    <t xml:space="preserve">Rate</t>
  </si>
  <si>
    <t xml:space="preserve">Birthday SKU</t>
  </si>
  <si>
    <t xml:space="preserve">Anniversary SKU</t>
  </si>
  <si>
    <t xml:space="preserve">Collection 01</t>
  </si>
  <si>
    <t xml:space="preserve">DC-01S</t>
  </si>
  <si>
    <t xml:space="preserve">DC-01B</t>
  </si>
  <si>
    <t xml:space="preserve">DC-01A</t>
  </si>
  <si>
    <t xml:space="preserve">Collection 02</t>
  </si>
  <si>
    <t xml:space="preserve">DC-02S</t>
  </si>
  <si>
    <t xml:space="preserve">DC-02B</t>
  </si>
  <si>
    <t xml:space="preserve">DC-02A</t>
  </si>
  <si>
    <t xml:space="preserve">Collection 03</t>
  </si>
  <si>
    <t xml:space="preserve">DC-03S</t>
  </si>
  <si>
    <t xml:space="preserve">DC-03B</t>
  </si>
  <si>
    <t xml:space="preserve">Collection 04</t>
  </si>
  <si>
    <t xml:space="preserve">DC-04S</t>
  </si>
  <si>
    <t xml:space="preserve">DC-04B</t>
  </si>
  <si>
    <t xml:space="preserve">DC-04A</t>
  </si>
  <si>
    <t xml:space="preserve">E) SKU x MONTH spikes - a SKU's refund rate in one window month far above its own window average (static at build)</t>
  </si>
  <si>
    <t xml:space="preserve">Units ordered</t>
  </si>
  <si>
    <t xml:space="preserve">Refunded units</t>
  </si>
  <si>
    <t xml:space="preserve">Rate that month</t>
  </si>
  <si>
    <t xml:space="preserve">SKU window avg</t>
  </si>
  <si>
    <t xml:space="preserve">Share of SKU window refunds</t>
  </si>
  <si>
    <t xml:space="preserve">None at z &gt;= 2.5 (min 30 units, 4 refunds).</t>
  </si>
  <si>
    <t xml:space="preserve">F) DATA notes for this report</t>
  </si>
  <si>
    <t xml:space="preserve">Scope: 94 SKUs whose product name contains 'Designer' or whose SKU prefix is DC, DCA, DCB, DCS, DCX, DCMJ, AUDC, AUDNAT, MDDC, MDBC (AUDNAT = Native Flowers Designer Collection). Add-ons are excluded: none of these SKUs is an add-on, and add-on SKUs (RP, AURP, AUSRP, SC, VDB, DLX, balloons, vases, cards, teddies, truffles) are also excluded from the rest-of-catalog comparison. 49 SKUs had no sales since 2026-08 (e.g. -DLX/-SS size variants, DC112-*).</t>
  </si>
  <si>
    <t xml:space="preserve">Add-ons sold WITH Designer orders cannot be linked: the export has no order id, so their refunds are not counted here. If an add-on is refunded together with a Designer bouquet, the bouquet refund appears here and the add-on refund does not.</t>
  </si>
  <si>
    <t xml:space="preserve">Blank-SKU refunds ($544,705 company-wide, 52% of all refunds) cannot be assigned to any product. Designer is 12.8% of company gross; for illustration only, a pro-rata share would be about $69,722 more refunds on top of the $59,422 shown here.</t>
  </si>
  <si>
    <t xml:space="preserve">Things to review - Designer Collection</t>
  </si>
  <si>
    <t xml:space="preserve">P1 = act first, P2 = review next, P3 = watch / housekeeping. Owner and Status are for you to fill. Numbers as of the export.</t>
  </si>
  <si>
    <t xml:space="preserve">Priority</t>
  </si>
  <si>
    <t xml:space="preserve">Area</t>
  </si>
  <si>
    <t xml:space="preserve">Item</t>
  </si>
  <si>
    <t xml:space="preserve">Evidence</t>
  </si>
  <si>
    <t xml:space="preserve">Suggested next step</t>
  </si>
  <si>
    <t xml:space="preserve">Owner</t>
  </si>
  <si>
    <t xml:space="preserve">Status</t>
  </si>
  <si>
    <t xml:space="preserve">P1</t>
  </si>
  <si>
    <t xml:space="preserve">Time</t>
  </si>
  <si>
    <t xml:space="preserve">Designer refund rate climbing Aug -&gt; Oct</t>
  </si>
  <si>
    <t xml:space="preserve">4.9% -&gt; 7.5% -&gt; 9.2% (Oct partial) vs rest of catalog 6.5% -&gt; 8.5% -&gt; 7.7%.</t>
  </si>
  <si>
    <t xml:space="preserve">Find what changed for Designer since August (florist/supplier, recipe/spec substitutions, delivery partner, photos). Compare refund reasons Jul vs Sep/Oct; confirm Oct with a full-month export.</t>
  </si>
  <si>
    <t xml:space="preserve">Data</t>
  </si>
  <si>
    <t xml:space="preserve">Blank-SKU refunds may hide Designer refunds</t>
  </si>
  <si>
    <t xml:space="preserve">$544,705 of company refunds have no SKU; a pro-rata Designer share would be ~$69,722 (illustration) on top of $59,422 attributed.</t>
  </si>
  <si>
    <t xml:space="preserve">Ask for the refund report by order with refund reason so these can be assigned to products.</t>
  </si>
  <si>
    <t xml:space="preserve">DC-02B - Birthday Designer Collection II</t>
  </si>
  <si>
    <t xml:space="preserve">Rank 1: 25 of 223 units refunded since 2026-08 = 11.2% (1.69x designer avg, 1.50x rest of catalog); all months 28 units, $2,889. Main store: Bloomex.</t>
  </si>
  <si>
    <t xml:space="preserve">Check complaints/photos vs delivered product, substitutions, size/variant expectations.</t>
  </si>
  <si>
    <t xml:space="preserve">DC-02S - Designer Sympathy Collection II</t>
  </si>
  <si>
    <t xml:space="preserve">Rank 2: 59 of 849 units refunded since 2026-08 = 6.9% (1.05x designer avg, 0.93x rest of catalog); all months 62 units, $6,122. Main store: Bloomex.</t>
  </si>
  <si>
    <t xml:space="preserve">AUDNAT-02 - Native Flowers Bouquet Designer Collection II</t>
  </si>
  <si>
    <t xml:space="preserve">Rank 3: 55 of 802 units refunded since 2026-08 = 6.9% (1.03x designer avg, 0.92x rest of catalog); all months 62 units, $6,091. Main store: Bloomex.</t>
  </si>
  <si>
    <t xml:space="preserve">DCMJ-01 - Designer Collection Mason Jar I</t>
  </si>
  <si>
    <t xml:space="preserve">Rank 4: 14 of 110 units refunded since 2026-08 = 12.7% (1.91x designer avg, 1.70x rest of catalog); all months 18 units, $942. Main store: Bunches and Stems.</t>
  </si>
  <si>
    <t xml:space="preserve">AUDNAT-03 - Native Flowers Bouquet Designer Collection III</t>
  </si>
  <si>
    <t xml:space="preserve">Rank 5: 25 of 353 units refunded since 2026-08 = 7.1% (1.07x designer avg, 0.95x rest of catalog); all months 31 units, $4,129. Main store: Bloomex.</t>
  </si>
  <si>
    <t xml:space="preserve">DCB-02 - Birthday Designer Collection II</t>
  </si>
  <si>
    <t xml:space="preserve">Rank 6: 10 of 87 units refunded since 2026-08 = 11.5% (1.73x designer avg, 1.53x rest of catalog); all months 12 units, $1,216. Main store: Bunches and Stems.</t>
  </si>
  <si>
    <t xml:space="preserve">AUDNAT-01 - Native Flowers Bouquet Designer Collection I</t>
  </si>
  <si>
    <t xml:space="preserve">Rank 7: 26 of 374 units refunded since 2026-08 = 7.0% (1.05x designer avg, 0.93x rest of catalog); all months 34 units, $2,872. Main store: Bloomex.</t>
  </si>
  <si>
    <t xml:space="preserve">DCB-01C - Birthday Designer Collection I Combo</t>
  </si>
  <si>
    <t xml:space="preserve">Rank 8: 10 of 95 units refunded since 2026-08 = 10.5% (1.58x designer avg, 1.41x rest of catalog); all months 12 units, $958. Main store: Bloomex.</t>
  </si>
  <si>
    <t xml:space="preserve">DCA-02-00 - Anniversary Designer Collection II</t>
  </si>
  <si>
    <t xml:space="preserve">Rank 9: 8 of 36 units refunded since 2026-08 = 22.2% (3.34x designer avg, 2.97x rest of catalog); all months 8 units, $735. Main store: Bunches and Stems.</t>
  </si>
  <si>
    <t xml:space="preserve">DCS-02 - Designer Sympathy Collection II</t>
  </si>
  <si>
    <t xml:space="preserve">Rank 10: 7 of 79 units refunded since 2026-08 = 8.9% (1.33x designer avg, 1.18x rest of catalog); all months 8 units, $798. Main store: Bunches and Stems.</t>
  </si>
  <si>
    <t xml:space="preserve">Sympathy line = 44% of Designer refund $</t>
  </si>
  <si>
    <t xml:space="preserve">Refund rate 5.9% vs designer avg 6.6% - so the dollars come from volume, not a high rate. Biggest SKU: DC-04S.</t>
  </si>
  <si>
    <t xml:space="preserve">Treat as a volume lever: a small rate cut on the biggest SKUs is worth more than fixing small high-rate SKUs.</t>
  </si>
  <si>
    <t xml:space="preserve">P2</t>
  </si>
  <si>
    <t xml:space="preserve">Anniversary line has the highest rate among sizeable lines</t>
  </si>
  <si>
    <t xml:space="preserve">8.7% on 378 window units (1.31x designer avg); $3,429 refunded.</t>
  </si>
  <si>
    <t xml:space="preserve">Review its SKUs on the Lines/Priority tabs.</t>
  </si>
  <si>
    <t xml:space="preserve">Birthday line has the highest rate among sizeable lines</t>
  </si>
  <si>
    <t xml:space="preserve">8.2% on 1,114 window units (1.23x designer avg); $9,170 refunded.</t>
  </si>
  <si>
    <t xml:space="preserve">Store (brand)</t>
  </si>
  <si>
    <t xml:space="preserve">Window rate 10.2% (1.53x designer avg) on 108 units - SMALL SAMPLE.</t>
  </si>
  <si>
    <t xml:space="preserve">See Stores tab; compare florist/fulfilment by store.</t>
  </si>
  <si>
    <t xml:space="preserve">Window rate 8.4% (1.27x designer avg) on 1,580 units.</t>
  </si>
  <si>
    <t xml:space="preserve">P3</t>
  </si>
  <si>
    <t xml:space="preserve">Window rate 6.8% (1.03x designer avg) on 4,482 units.</t>
  </si>
  <si>
    <t xml:space="preserve">Window rate 4.1% (0.61x designer avg) on 1,530 units.</t>
  </si>
  <si>
    <t xml:space="preserve">SKU (flagged)</t>
  </si>
  <si>
    <t xml:space="preserve">HIGH RATE vs designer average: 22.2% on 36 units (z=3.8).</t>
  </si>
  <si>
    <t xml:space="preserve">Fix before the next peak.</t>
  </si>
  <si>
    <t xml:space="preserve">Benchmark</t>
  </si>
  <si>
    <t xml:space="preserve">DC-01S - Designer Sympathy Collection I</t>
  </si>
  <si>
    <t xml:space="preserve">Low rate 4.8% on 997 units (0.72x designer avg).</t>
  </si>
  <si>
    <t xml:space="preserve">Use as a benchmark for sibling SKUs: what is different (recipe, packaging, partner)?</t>
  </si>
  <si>
    <t xml:space="preserve">DC-04S - Designer Sympathy Collection IV</t>
  </si>
  <si>
    <t xml:space="preserve">Low rate 5.7% on 1,192 units (0.86x designer avg).</t>
  </si>
  <si>
    <t xml:space="preserve">Scope</t>
  </si>
  <si>
    <t xml:space="preserve">Add-ons excluded; no order link</t>
  </si>
  <si>
    <t xml:space="preserve">The export has no order id, so add-ons bought with Designer bouquets cannot be matched.</t>
  </si>
  <si>
    <t xml:space="preserve">Provide order-level refunds (with SKU lines and reasons) to attribute add-on and bouquet refunds on the same order.</t>
  </si>
  <si>
    <t xml:space="preserve">49 Designer SKUs with no window sales</t>
  </si>
  <si>
    <t xml:space="preserve">Size variants (-DLX, -SS) and old DC112-* SKUs.</t>
  </si>
  <si>
    <t xml:space="preserve">Confirm they are inactive; hide from reports.</t>
  </si>
  <si>
    <t xml:space="preserve">Notes, definitions &amp; caveats</t>
  </si>
  <si>
    <t xml:space="preserve">Designer Collection = SKUs whose product name contains 'Designer' or SKU prefix DC, DCA, DCB, DCS, DCX, DCMJ, AUDC, AUDNAT, MDDC, MDBC (94 SKUs). Add-ons (cards, vases, balloons, teddies, truffles/chocolates add-ons, RP*, AURP*, AUSRP*, SC*, VDB*, DLX, AU-ADD-*) are excluded from the scope and from the rest-of-catalog comparison; no Designer SKU is an add-on. Edit the SKU list by changing the Detail/SKU Data rows (the main workbook shows the full catalog).</t>
  </si>
  <si>
    <t xml:space="preserve">Source</t>
  </si>
  <si>
    <t xml:space="preserve">Same Shopify exports as the main report: "Refunded - All stores - 2026-01-01 - 2026-10-10 (1)" (store x month x SKU) for numbers and the earlier SKU-level export for product titles.</t>
  </si>
  <si>
    <t xml:space="preserve">Refund $ / units</t>
  </si>
  <si>
    <t xml:space="preserve">"Sales reversals" (ex-tax, positive here) and "Reversed quantity" (sign flipped). Refund rate = refunded units / units ordered.</t>
  </si>
  <si>
    <t xml:space="preserve">% of total revenue</t>
  </si>
  <si>
    <t xml:space="preserve">Designer SKU refund $ / company gross sales (all stores, all months, Settings B15). "% of designer revenue" uses Designer gross only.</t>
  </si>
  <si>
    <t xml:space="preserve">Rate window</t>
  </si>
  <si>
    <t xml:space="preserve">Rates, z-scores and flags use only months from Settings B13 (Aug) because earlier many refunds sat on blank-SKU lines, understating SKU rates. Impact lenses (refund $, refunded units) use all months.</t>
  </si>
  <si>
    <t xml:space="preserve">Baselines</t>
  </si>
  <si>
    <t xml:space="preserve">Designer average = Designer rate in the window (flags SKUs that are outliers WITHIN the collection). Rest-of-catalog rate is a static comparison value.</t>
  </si>
  <si>
    <t xml:space="preserve">Priority score</t>
  </si>
  <si>
    <t xml:space="preserve">Average of percentile ranks of refunded units (all months), refund $ (all months) and shrunk window rate. Tier 1 = rank &lt;= 10; Tier 2 = rank &lt;= 25.</t>
  </si>
  <si>
    <t xml:space="preserve">Anomaly z-score</t>
  </si>
  <si>
    <t xml:space="preserve">z = (refunds - volume x baseline) / sqrt(volume x baseline x (1 - baseline)); HIGH RATE = z &gt;= 3, &gt;= 30 units, &gt;= 3 refunds. Refunds cluster within orders, so treat as a ranking signal.</t>
  </si>
  <si>
    <t xml:space="preserve">Limits</t>
  </si>
  <si>
    <t xml:space="preserve">No order ids (add-on/bouquet refunds on the same order cannot be linked), no refund reasons, monthly dates only; blank-SKU refunds cannot be assigned; October is partial.</t>
  </si>
  <si>
    <t xml:space="preserve">Live vs static</t>
  </si>
  <si>
    <t xml:space="preserve">Detail, SKU Data, Priority SKUs, Rankings, Lines, Stores, Monthly and Dashboard numbers are live formulas. Comments, key findings, Review List, Anomalies sections A/E/F text and the rest-of-catalog comparison values are fixed at export date.</t>
  </si>
  <si>
    <t xml:space="preserve">Settings &amp; control totals - Designer Collection report</t>
  </si>
  <si>
    <t xml:space="preserve">Blue = editable input / static value from the export. Everything else recalculates.</t>
  </si>
  <si>
    <t xml:space="preserve">Designer baseline refund rate (units, since window start)</t>
  </si>
  <si>
    <t xml:space="preserve">Formula on Detail (Designer SKUs only, paid, rate window). Used as the expected rate for SKU-level anomaly tests (finds outliers WITHIN the collection).</t>
  </si>
  <si>
    <t xml:space="preserve">Min units ordered (window) to rank/flag on rate</t>
  </si>
  <si>
    <t xml:space="preserve">Assumption.</t>
  </si>
  <si>
    <t xml:space="preserve">Min refunded units (window) to flag</t>
  </si>
  <si>
    <t xml:space="preserve">Anomaly threshold (z-score)</t>
  </si>
  <si>
    <t xml:space="preserve">Assumption: SKU flagged when refunds are &gt;= this many SD above the designer average for its volume.</t>
  </si>
  <si>
    <t xml:space="preserve">Shrinkage k (units)</t>
  </si>
  <si>
    <t xml:space="preserve">Assumption: shrunk rate = (refunds + k*baseline)/(units + k) for the score.</t>
  </si>
  <si>
    <t xml:space="preserve">Score weight - refunded units</t>
  </si>
  <si>
    <t xml:space="preserve">Equal thirds = the three lenses requested.</t>
  </si>
  <si>
    <t xml:space="preserve">Score weight - refund $ (impact on revenue)</t>
  </si>
  <si>
    <t xml:space="preserve">Score weight - refund rate on own sales</t>
  </si>
  <si>
    <t xml:space="preserve">Tier 1 "Fix first" = priority rank up to</t>
  </si>
  <si>
    <t xml:space="preserve">Assumption (smaller list than the full report).</t>
  </si>
  <si>
    <t xml:space="preserve">Tier 2 "Review" = priority rank up to</t>
  </si>
  <si>
    <t xml:space="preserve">Rate window: first month (YYYY-MM)</t>
  </si>
  <si>
    <t xml:space="preserve">Before this, many refunds sat on blank-SKU lines instead of SKUs (see main report), so SKU-unit rates are understated. Rates/flags use this window only; refund $ and units for IMPACT use all months.</t>
  </si>
  <si>
    <t xml:space="preserve">Rest-of-catalog refund rate (units, window)</t>
  </si>
  <si>
    <t xml:space="preserve">Static from the export: all non-Designer, non-add-on paid SKUs, window months (2,393 refunded / 31,943 units). Comparison only.</t>
  </si>
  <si>
    <t xml:space="preserve">Company gross sales, all stores, all months $</t>
  </si>
  <si>
    <t xml:space="preserve">Static from the export (denominator for "% of total revenue").</t>
  </si>
  <si>
    <t xml:space="preserve">Company refunds, all stores, all months $</t>
  </si>
  <si>
    <t xml:space="preserve">Static from the export (includes $544,705 on blank-SKU lines that cannot be tied to any product).</t>
  </si>
  <si>
    <t xml:space="preserve">Designer gross sales, all months $</t>
  </si>
  <si>
    <t xml:space="preserve">Formula on Detail.</t>
  </si>
  <si>
    <t xml:space="preserve">Designer refund $, all months</t>
  </si>
  <si>
    <t xml:space="preserve">Designer share of company refund $</t>
  </si>
  <si>
    <t xml:space="preserve">Formula. Understated if blank-SKU refunds (52% of all refund $) belong to Designer products - they cannot be assigned.</t>
  </si>
  <si>
    <t xml:space="preserve">Designer share of company gross sales</t>
  </si>
  <si>
    <t xml:space="preserve">Formula.</t>
  </si>
  <si>
    <t xml:space="preserve">Designer refunded units (window)</t>
  </si>
  <si>
    <t xml:space="preserve">Designer units ordered (window)</t>
  </si>
  <si>
    <t xml:space="preserve">Refund $ (ex-tax)</t>
  </si>
  <si>
    <t xml:space="preserve">Qty ordered</t>
  </si>
  <si>
    <t xml:space="preserve">Gross sales $</t>
  </si>
  <si>
    <t xml:space="preserve">In rate window? (1/0)</t>
  </si>
  <si>
    <t xml:space="preserve">Paid SKU? (1/0)</t>
  </si>
  <si>
    <t xml:space="preserve">Window: units ordered</t>
  </si>
  <si>
    <t xml:space="preserve">Window: refunded units</t>
  </si>
  <si>
    <t xml:space="preserve">Window: gross $</t>
  </si>
  <si>
    <t xml:space="preserve">Window: refund $</t>
  </si>
  <si>
    <t xml:space="preserve">Paid units (all months)</t>
  </si>
  <si>
    <t xml:space="preserve">Paid refunded units (all months)</t>
  </si>
  <si>
    <t xml:space="preserve">AUDC-02</t>
  </si>
  <si>
    <t xml:space="preserve">AUDNAT-02</t>
  </si>
  <si>
    <t xml:space="preserve">AUDC-04A</t>
  </si>
  <si>
    <t xml:space="preserve">FYF-anniversary-designer-collection-C-2</t>
  </si>
  <si>
    <t xml:space="preserve">FYF-designer-collection-mason-jar-C-4</t>
  </si>
  <si>
    <t xml:space="preserve">FYF-native-flowers-designer-bouquet-G-2</t>
  </si>
  <si>
    <t xml:space="preserve">DCMJ-01A</t>
  </si>
  <si>
    <t xml:space="preserve">AUDC-03</t>
  </si>
  <si>
    <t xml:space="preserve">FYF-native-flowers-designer-bouquet-C-2</t>
  </si>
  <si>
    <t xml:space="preserve">FYF-anniversary-designer-collection-G</t>
  </si>
  <si>
    <t xml:space="preserve">FYF-designer-collection-mason-jar-G-3</t>
  </si>
  <si>
    <t xml:space="preserve">FYF-sympathy-designer-collection-C</t>
  </si>
  <si>
    <t xml:space="preserve">DCB-01C</t>
  </si>
  <si>
    <t xml:space="preserve">FYF-mother-s-day-designer-collection-C-2</t>
  </si>
  <si>
    <t xml:space="preserve">AUDNAT-03</t>
  </si>
  <si>
    <t xml:space="preserve">FYF-birthday-designer-collection-C-3</t>
  </si>
  <si>
    <t xml:space="preserve">AUDNAT-01</t>
  </si>
  <si>
    <t xml:space="preserve">DCMJ-02A</t>
  </si>
  <si>
    <t xml:space="preserve">FYF-designer-collection-mason-jar-G-4</t>
  </si>
  <si>
    <t xml:space="preserve">FYF-birthday-designer-collection-D-2</t>
  </si>
  <si>
    <t xml:space="preserve">FYF-mother-s-day-designer-collection-G-2</t>
  </si>
  <si>
    <t xml:space="preserve">DC-03A-SS</t>
  </si>
  <si>
    <t xml:space="preserve">DCB-01</t>
  </si>
  <si>
    <t xml:space="preserve">FYF-birthday-designer-collection-D-4</t>
  </si>
  <si>
    <t xml:space="preserve">FYF-birthday-designer-collection-G</t>
  </si>
  <si>
    <t xml:space="preserve">FYF-designer-collection-mason-jar-D-3</t>
  </si>
  <si>
    <t xml:space="preserve">FYF-designer-collection-mason-jar-C</t>
  </si>
  <si>
    <t xml:space="preserve">FYF-designer-collection-mason-jar-C-3</t>
  </si>
  <si>
    <t xml:space="preserve">DCB-02</t>
  </si>
  <si>
    <t xml:space="preserve">FYF-native-flowers-designer-bouquet-G-3</t>
  </si>
  <si>
    <t xml:space="preserve">FYF-birthday-designer-collection-D</t>
  </si>
  <si>
    <t xml:space="preserve">AUDC-01</t>
  </si>
  <si>
    <t xml:space="preserve">AUDC-02-DLX</t>
  </si>
  <si>
    <t xml:space="preserve">FYF-native-flowers-designer-bouquet-C-3</t>
  </si>
  <si>
    <t xml:space="preserve">FYF-native-flowers-designer-bouquet-D-3</t>
  </si>
  <si>
    <t xml:space="preserve">DC-03A-DLX</t>
  </si>
  <si>
    <t xml:space="preserve">FYF-native-flowers-designer-bouquet-C</t>
  </si>
  <si>
    <t xml:space="preserve">FYF-anniversary-designer-collection-C</t>
  </si>
  <si>
    <t xml:space="preserve">FYF-anniversary-designer-collection-D</t>
  </si>
  <si>
    <t xml:space="preserve">FYF-anniversary-designer-collection-G-2</t>
  </si>
  <si>
    <t xml:space="preserve">FYF-sympathy-designer-collection-G</t>
  </si>
  <si>
    <t xml:space="preserve">DCMJ-03A</t>
  </si>
  <si>
    <t xml:space="preserve">FYF-designer-collection-mason-jar-C-2</t>
  </si>
  <si>
    <t xml:space="preserve">FYF-mother-s-day-designer-collection-premium-C</t>
  </si>
  <si>
    <t xml:space="preserve">DCMJ-04A</t>
  </si>
  <si>
    <t xml:space="preserve">FYF-birthday-designer-collection-C</t>
  </si>
  <si>
    <t xml:space="preserve">FYF-designer-collection-mason-jar-D</t>
  </si>
  <si>
    <t xml:space="preserve">FYF-designer-collection-mason-jar-D-4</t>
  </si>
  <si>
    <t xml:space="preserve">FYF-birthday-designer-collection-C-4</t>
  </si>
  <si>
    <t xml:space="preserve">FYF-native-flowers-designer-bouquet-D</t>
  </si>
  <si>
    <t xml:space="preserve">DCB-02-REG</t>
  </si>
  <si>
    <t xml:space="preserve">FYF-birthday-designer-collection-G-3</t>
  </si>
  <si>
    <t xml:space="preserve">DCB-02-PRE</t>
  </si>
  <si>
    <t xml:space="preserve">DCMJ-01</t>
  </si>
  <si>
    <t xml:space="preserve">FYF-mother-s-day-designer-collection-premium-D</t>
  </si>
  <si>
    <t xml:space="preserve">DCA-02-00</t>
  </si>
  <si>
    <t xml:space="preserve">DCS-02</t>
  </si>
  <si>
    <t xml:space="preserve">DCS-03</t>
  </si>
  <si>
    <t xml:space="preserve">MDDC-03</t>
  </si>
  <si>
    <t xml:space="preserve">DCS-01</t>
  </si>
  <si>
    <t xml:space="preserve">DC112-02</t>
  </si>
  <si>
    <t xml:space="preserve">MDDC-02</t>
  </si>
  <si>
    <t xml:space="preserve">DC112-03</t>
  </si>
  <si>
    <t xml:space="preserve">DC112-01</t>
  </si>
  <si>
    <t xml:space="preserve">DCB-02-NZ</t>
  </si>
  <si>
    <t xml:space="preserve">MDDC-04</t>
  </si>
  <si>
    <t xml:space="preserve">DCX-01</t>
  </si>
  <si>
    <t xml:space="preserve">MDBC-02</t>
  </si>
  <si>
    <t xml:space="preserve">MDBC-03</t>
  </si>
  <si>
    <t xml:space="preserve">DCMJ-02</t>
  </si>
  <si>
    <t xml:space="preserve">DCMJ-03</t>
  </si>
  <si>
    <t xml:space="preserve">DCA-01-00</t>
  </si>
  <si>
    <t xml:space="preserve">DC112-04</t>
  </si>
  <si>
    <t xml:space="preserve">MDBC-01</t>
  </si>
  <si>
    <t xml:space="preserve">DCMJ-04</t>
  </si>
  <si>
    <t xml:space="preserve">DCB-04</t>
  </si>
  <si>
    <t xml:space="preserve">AUDNAT-MJ-02</t>
  </si>
  <si>
    <t xml:space="preserve">AUDNAT-MJ-01</t>
  </si>
  <si>
    <t xml:space="preserve">Product title</t>
  </si>
  <si>
    <t xml:space="preserve">Main store (most refunded units)</t>
  </si>
  <si>
    <t xml:space="preserve">Gross $ (window)</t>
  </si>
  <si>
    <t xml:space="preserve">Refund $ (window)</t>
  </si>
  <si>
    <t xml:space="preserve">Refund rate (units, window)</t>
  </si>
  <si>
    <t xml:space="preserve">Refund rate ($, window)</t>
  </si>
  <si>
    <t xml:space="preserve">% of designer revenue (refund $/designer gross)</t>
  </si>
  <si>
    <t xml:space="preserve">Expected refunds @ designer avg</t>
  </si>
  <si>
    <t xml:space="preserve">Shrunk rate</t>
  </si>
  <si>
    <t xml:space="preserve">Pctile: refund $</t>
  </si>
  <si>
    <t xml:space="preserve">Pctile: shrunk rate</t>
  </si>
  <si>
    <t xml:space="preserve">Pctile: units</t>
  </si>
  <si>
    <t xml:space="preserve">Priority rank</t>
  </si>
  <si>
    <t xml:space="preserve">Rank: units</t>
  </si>
  <si>
    <t xml:space="preserve">Rank: refund $</t>
  </si>
  <si>
    <t xml:space="preserve">Rank: own rate</t>
  </si>
  <si>
    <t xml:space="preserve">Rank: z</t>
  </si>
  <si>
    <t xml:space="preserve">helper: rate if eligible</t>
  </si>
  <si>
    <t xml:space="preserve">helper: z if eligible</t>
  </si>
  <si>
    <t xml:space="preserve">Rate vs rest-of-catalog (x)</t>
  </si>
  <si>
    <t xml:space="preserve">Designer Sympathy Collection IV</t>
  </si>
  <si>
    <t xml:space="preserve">Designer Sympathy Collection II</t>
  </si>
  <si>
    <t xml:space="preserve">Native Flowers Bouquet Designer Collection II</t>
  </si>
  <si>
    <t xml:space="preserve">Designer Sympathy Collection III</t>
  </si>
  <si>
    <t xml:space="preserve">Designer Sympathy Collection I</t>
  </si>
  <si>
    <t xml:space="preserve">Native Flowers Bouquet Designer Collection III</t>
  </si>
  <si>
    <t xml:space="preserve">Birthday Designer Collection II</t>
  </si>
  <si>
    <t xml:space="preserve">Native Flowers Bouquet Designer Collection I</t>
  </si>
  <si>
    <t xml:space="preserve">Birthday Designer Collection I</t>
  </si>
  <si>
    <t xml:space="preserve">Designer Collection Mason Jar IV</t>
  </si>
  <si>
    <t xml:space="preserve">Birthday Designer Collection I Combo</t>
  </si>
  <si>
    <t xml:space="preserve">Designer Collection Mason Jar I</t>
  </si>
  <si>
    <t xml:space="preserve">Designer Collection Mason Jar III</t>
  </si>
  <si>
    <t xml:space="preserve">Anniversary Designer Collection II</t>
  </si>
  <si>
    <t xml:space="preserve">Designer Collection Anniversary IV</t>
  </si>
  <si>
    <t xml:space="preserve">Designer Collection Anniversary I</t>
  </si>
  <si>
    <t xml:space="preserve">Designer Collection Mason Jar II</t>
  </si>
  <si>
    <t xml:space="preserve">Birthday Designer Collection III</t>
  </si>
  <si>
    <t xml:space="preserve">Designer Collection Anniversary II</t>
  </si>
  <si>
    <t xml:space="preserve">Designer Collection IV</t>
  </si>
  <si>
    <t xml:space="preserve">Designer Collection II</t>
  </si>
  <si>
    <t xml:space="preserve">Anniversary Designer Collection I</t>
  </si>
  <si>
    <t xml:space="preserve">Birthday Designer Collection IV</t>
  </si>
  <si>
    <t xml:space="preserve">Native Flowers Designer Bouquet</t>
  </si>
  <si>
    <t xml:space="preserve">Native Flowers Mason Jar Florist Selection II</t>
  </si>
  <si>
    <t xml:space="preserve">Designer Collection Anniversary III</t>
  </si>
  <si>
    <t xml:space="preserve">Anniversary Designer Collection III</t>
  </si>
  <si>
    <t xml:space="preserve">Native Flowers Mason Jar Florist Selection III</t>
  </si>
  <si>
    <t xml:space="preserve">Mothers Day Designers Collection I</t>
  </si>
  <si>
    <t xml:space="preserve">Sympathy Designer Collection</t>
  </si>
  <si>
    <t xml:space="preserve">Designer Collection III</t>
  </si>
  <si>
    <t xml:space="preserve">Mothers Day Designer Collection II</t>
  </si>
  <si>
    <t xml:space="preserve">Designer Collection I</t>
  </si>
  <si>
    <t xml:space="preserve">Mother'S Day Designer Collection Premium</t>
  </si>
  <si>
    <t xml:space="preserve">Designer Collection Mason Jar</t>
  </si>
  <si>
    <t xml:space="preserve">Native Flowers Mason Jar Florist Selection I</t>
  </si>
  <si>
    <t xml:space="preserve">Designers Collection I (supersize)</t>
  </si>
  <si>
    <t xml:space="preserve">Designers Collection II</t>
  </si>
  <si>
    <t xml:space="preserve">Designers Collection III (deluxe)</t>
  </si>
  <si>
    <t xml:space="preserve">Christmas Designer Collection I</t>
  </si>
  <si>
    <t xml:space="preserve">Anniversary Designer Collection</t>
  </si>
  <si>
    <t xml:space="preserve">Birthday Designer Collection</t>
  </si>
  <si>
    <t xml:space="preserve">Mother'S Day Designer Collection</t>
  </si>
  <si>
    <t xml:space="preserve">Mother's Day Designer Collection I</t>
  </si>
  <si>
    <t xml:space="preserve">Mother's Day Designer Collection III</t>
  </si>
  <si>
    <t xml:space="preserve">Mothers Day Designers Collection II</t>
  </si>
  <si>
    <t xml:space="preserve">Mothers Day Designers Collection III</t>
  </si>
  <si>
    <t xml:space="preserve">Mothers Day Designers Collection IV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</si>
</sst>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;&quot;($&quot;#,##0\);\-"/>
    <numFmt numFmtId="166" formatCode="0.0%"/>
    <numFmt numFmtId="167" formatCode="0.00%"/>
    <numFmt numFmtId="168" formatCode="0.00\x"/>
    <numFmt numFmtId="169" formatCode="0"/>
    <numFmt numFmtId="170" formatCode="General"/>
    <numFmt numFmtId="171" formatCode="#,##0;\(#,##0\);\-"/>
    <numFmt numFmtId="172" formatCode="0.000%"/>
    <numFmt numFmtId="173" formatCode="\$#,##0"/>
    <numFmt numFmtId="174" formatCode="0%"/>
    <numFmt numFmtId="175" formatCode="#,##0"/>
    <numFmt numFmtId="176" formatCode="0.0"/>
    <numFmt numFmtId="177" formatCode="0.00"/>
    <numFmt numFmtId="178" formatCode="@"/>
    <numFmt numFmtId="179" formatCode="#,##0.00"/>
    <numFmt numFmtId="180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D0D5D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8"/>
      <color rgb="FF6C348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6C3483"/>
        <bgColor rgb="FF993366"/>
      </patternFill>
    </fill>
    <fill>
      <patternFill patternType="solid">
        <fgColor rgb="FFF2F4F7"/>
        <bgColor rgb="FFF9F9F9"/>
      </patternFill>
    </fill>
    <fill>
      <patternFill patternType="solid">
        <fgColor rgb="FFFFF9D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4B6B0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8CBAD"/>
        </patternFill>
      </fill>
    </dxf>
    <dxf>
      <font>
        <name val="Arial"/>
        <charset val="1"/>
        <family val="0"/>
        <b val="1"/>
        <sz val="9"/>
      </font>
      <fill>
        <patternFill>
          <bgColor rgb="FFF4B6B0"/>
        </patternFill>
      </fill>
    </dxf>
    <dxf>
      <fill>
        <patternFill>
          <bgColor rgb="FFFCE4B6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4B6B0"/>
        </patternFill>
      </fill>
    </dxf>
    <dxf>
      <font>
        <name val="Arial"/>
        <charset val="1"/>
        <family val="0"/>
        <color rgb="FF999999"/>
        <sz val="9"/>
      </font>
    </dxf>
    <dxf>
      <fill>
        <patternFill>
          <bgColor rgb="FFE3EFD9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7F8C8D"/>
      <rgbColor rgb="FF6C3483"/>
      <rgbColor rgb="FFFFF9DB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3EFD9"/>
      <rgbColor rgb="FFFCE4B6"/>
      <rgbColor rgb="FF99CCFF"/>
      <rgbColor rgb="FFF4B6B0"/>
      <rgbColor rgb="FFCC99FF"/>
      <rgbColor rgb="FFF8CBAD"/>
      <rgbColor rgb="FF5B8DB8"/>
      <rgbColor rgb="FF33CCCC"/>
      <rgbColor rgb="FF99CC00"/>
      <rgbColor rgb="FFFFCC00"/>
      <rgbColor rgb="FFFF9900"/>
      <rgbColor rgb="FFE67E22"/>
      <rgbColor rgb="FF666666"/>
      <rgbColor rgb="FF999999"/>
      <rgbColor rgb="FF1F3A5F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by line (all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Lines!J4</c:f>
              <c:strCache>
                <c:ptCount val="1"/>
                <c:pt idx="0">
                  <c:v>Refund $ (all months)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Lines!$A$5:$A$12</c:f>
              <c:strCache>
                <c:ptCount val="8"/>
                <c:pt idx="0">
                  <c:v>Sympathy</c:v>
                </c:pt>
                <c:pt idx="1">
                  <c:v>Native Flowers</c:v>
                </c:pt>
                <c:pt idx="2">
                  <c:v>Birthday</c:v>
                </c:pt>
                <c:pt idx="3">
                  <c:v>Mason Jar</c:v>
                </c:pt>
                <c:pt idx="4">
                  <c:v>Anniversary</c:v>
                </c:pt>
                <c:pt idx="5">
                  <c:v>General (Designer Collection)</c:v>
                </c:pt>
                <c:pt idx="6">
                  <c:v>Mother's Day</c:v>
                </c:pt>
                <c:pt idx="7">
                  <c:v>Christmas</c:v>
                </c:pt>
              </c:strCache>
            </c:strRef>
          </c:cat>
          <c:val>
            <c:numRef>
              <c:f>Lines!$J$5:$J$12</c:f>
              <c:numCache>
                <c:formatCode>\$#,##0;"($"#,##0\);\-</c:formatCode>
                <c:ptCount val="8"/>
                <c:pt idx="0">
                  <c:v>26197.77</c:v>
                </c:pt>
                <c:pt idx="1">
                  <c:v>13571.55</c:v>
                </c:pt>
                <c:pt idx="2">
                  <c:v>9169.56</c:v>
                </c:pt>
                <c:pt idx="3">
                  <c:v>5470.76</c:v>
                </c:pt>
                <c:pt idx="4">
                  <c:v>3429.16</c:v>
                </c:pt>
                <c:pt idx="5">
                  <c:v>1131.15</c:v>
                </c:pt>
                <c:pt idx="6">
                  <c:v>452.54</c:v>
                </c:pt>
                <c:pt idx="7">
                  <c:v>0</c:v>
                </c:pt>
              </c:numCache>
            </c:numRef>
          </c:val>
        </c:ser>
        <c:gapWidth val="50"/>
        <c:overlap val="0"/>
        <c:axId val="81924386"/>
        <c:axId val="98002585"/>
      </c:barChart>
      <c:catAx>
        <c:axId val="8192438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02585"/>
        <c:crosses val="autoZero"/>
        <c:auto val="1"/>
        <c:lblAlgn val="ctr"/>
        <c:lblOffset val="100"/>
        <c:noMultiLvlLbl val="0"/>
      </c:catAx>
      <c:valAx>
        <c:axId val="98002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243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rate by line since Aug vs designer avg &amp; rest of catalog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Lines!E4</c:f>
              <c:strCache>
                <c:ptCount val="1"/>
                <c:pt idx="0">
                  <c:v>Refund rate (window)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Lines!$A$5:$A$12</c:f>
              <c:strCache>
                <c:ptCount val="8"/>
                <c:pt idx="0">
                  <c:v>Sympathy</c:v>
                </c:pt>
                <c:pt idx="1">
                  <c:v>Native Flowers</c:v>
                </c:pt>
                <c:pt idx="2">
                  <c:v>Birthday</c:v>
                </c:pt>
                <c:pt idx="3">
                  <c:v>Mason Jar</c:v>
                </c:pt>
                <c:pt idx="4">
                  <c:v>Anniversary</c:v>
                </c:pt>
                <c:pt idx="5">
                  <c:v>General (Designer Collection)</c:v>
                </c:pt>
                <c:pt idx="6">
                  <c:v>Mother's Day</c:v>
                </c:pt>
                <c:pt idx="7">
                  <c:v>Christmas</c:v>
                </c:pt>
              </c:strCache>
            </c:strRef>
          </c:cat>
          <c:val>
            <c:numRef>
              <c:f>Lines!$E$5:$E$12</c:f>
              <c:numCache>
                <c:formatCode>0.0%</c:formatCode>
                <c:ptCount val="8"/>
                <c:pt idx="0">
                  <c:v>0.0586041555673948</c:v>
                </c:pt>
                <c:pt idx="1">
                  <c:v>0.0693263570961413</c:v>
                </c:pt>
                <c:pt idx="2">
                  <c:v>0.0816876122082585</c:v>
                </c:pt>
                <c:pt idx="3">
                  <c:v>0.0699865410497981</c:v>
                </c:pt>
                <c:pt idx="4">
                  <c:v>0.0873015873015873</c:v>
                </c:pt>
                <c:pt idx="5">
                  <c:v>0.0512820512820513</c:v>
                </c:pt>
                <c:pt idx="6">
                  <c:v>0.0769230769230769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28930459"/>
        <c:axId val="90621208"/>
      </c:barChart>
      <c:lineChart>
        <c:grouping val="standard"/>
        <c:varyColors val="0"/>
        <c:ser>
          <c:idx val="1"/>
          <c:order val="1"/>
          <c:tx>
            <c:strRef>
              <c:f>Lines!Q4</c:f>
              <c:strCache>
                <c:ptCount val="1"/>
                <c:pt idx="0">
                  <c:v>Designer avg</c:v>
                </c:pt>
              </c:strCache>
            </c:strRef>
          </c:tx>
          <c:spPr>
            <a:solidFill>
              <a:srgbClr val="000000"/>
            </a:solidFill>
            <a:ln w="475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Lines!$A$5:$A$12</c:f>
              <c:strCache>
                <c:ptCount val="8"/>
                <c:pt idx="0">
                  <c:v>Sympathy</c:v>
                </c:pt>
                <c:pt idx="1">
                  <c:v>Native Flowers</c:v>
                </c:pt>
                <c:pt idx="2">
                  <c:v>Birthday</c:v>
                </c:pt>
                <c:pt idx="3">
                  <c:v>Mason Jar</c:v>
                </c:pt>
                <c:pt idx="4">
                  <c:v>Anniversary</c:v>
                </c:pt>
                <c:pt idx="5">
                  <c:v>General (Designer Collection)</c:v>
                </c:pt>
                <c:pt idx="6">
                  <c:v>Mother's Day</c:v>
                </c:pt>
                <c:pt idx="7">
                  <c:v>Christmas</c:v>
                </c:pt>
              </c:strCache>
            </c:strRef>
          </c:cat>
          <c:val>
            <c:numRef>
              <c:f>Lines!$Q$5:$Q$12</c:f>
              <c:numCache>
                <c:formatCode>0.0%</c:formatCode>
                <c:ptCount val="8"/>
                <c:pt idx="0">
                  <c:v>0.0664935064935065</c:v>
                </c:pt>
                <c:pt idx="1">
                  <c:v>0.0664935064935065</c:v>
                </c:pt>
                <c:pt idx="2">
                  <c:v>0.0664935064935065</c:v>
                </c:pt>
                <c:pt idx="3">
                  <c:v>0.0664935064935065</c:v>
                </c:pt>
                <c:pt idx="4">
                  <c:v>0.0664935064935065</c:v>
                </c:pt>
                <c:pt idx="5">
                  <c:v>0.0664935064935065</c:v>
                </c:pt>
                <c:pt idx="6">
                  <c:v>0.0664935064935065</c:v>
                </c:pt>
                <c:pt idx="7">
                  <c:v>0.0664935064935065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Lines!R4</c:f>
              <c:strCache>
                <c:ptCount val="1"/>
                <c:pt idx="0">
                  <c:v>Rest of catalog</c:v>
                </c:pt>
              </c:strCache>
            </c:strRef>
          </c:tx>
          <c:spPr>
            <a:solidFill>
              <a:srgbClr val="7f8c8d"/>
            </a:solidFill>
            <a:ln w="47520">
              <a:solidFill>
                <a:srgbClr val="7f8c8d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Lines!$A$5:$A$12</c:f>
              <c:strCache>
                <c:ptCount val="8"/>
                <c:pt idx="0">
                  <c:v>Sympathy</c:v>
                </c:pt>
                <c:pt idx="1">
                  <c:v>Native Flowers</c:v>
                </c:pt>
                <c:pt idx="2">
                  <c:v>Birthday</c:v>
                </c:pt>
                <c:pt idx="3">
                  <c:v>Mason Jar</c:v>
                </c:pt>
                <c:pt idx="4">
                  <c:v>Anniversary</c:v>
                </c:pt>
                <c:pt idx="5">
                  <c:v>General (Designer Collection)</c:v>
                </c:pt>
                <c:pt idx="6">
                  <c:v>Mother's Day</c:v>
                </c:pt>
                <c:pt idx="7">
                  <c:v>Christmas</c:v>
                </c:pt>
              </c:strCache>
            </c:strRef>
          </c:cat>
          <c:val>
            <c:numRef>
              <c:f>Lines!$R$5:$R$12</c:f>
              <c:numCache>
                <c:formatCode>0.0%</c:formatCode>
                <c:ptCount val="8"/>
                <c:pt idx="0">
                  <c:v>0.0749146917947594</c:v>
                </c:pt>
                <c:pt idx="1">
                  <c:v>0.0749146917947594</c:v>
                </c:pt>
                <c:pt idx="2">
                  <c:v>0.0749146917947594</c:v>
                </c:pt>
                <c:pt idx="3">
                  <c:v>0.0749146917947594</c:v>
                </c:pt>
                <c:pt idx="4">
                  <c:v>0.0749146917947594</c:v>
                </c:pt>
                <c:pt idx="5">
                  <c:v>0.0749146917947594</c:v>
                </c:pt>
                <c:pt idx="6">
                  <c:v>0.0749146917947594</c:v>
                </c:pt>
                <c:pt idx="7">
                  <c:v>0.0749146917947594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930459"/>
        <c:axId val="90621208"/>
      </c:lineChart>
      <c:catAx>
        <c:axId val="28930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21208"/>
        <c:crosses val="autoZero"/>
        <c:auto val="1"/>
        <c:lblAlgn val="ctr"/>
        <c:lblOffset val="100"/>
        <c:noMultiLvlLbl val="0"/>
      </c:catAx>
      <c:valAx>
        <c:axId val="90621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304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rate by store since Aug vs designer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Stores!D4</c:f>
              <c:strCache>
                <c:ptCount val="1"/>
                <c:pt idx="0">
                  <c:v>Refund rate (window)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Stores!$A$5:$A$8</c:f>
              <c:strCache>
                <c:ptCount val="4"/>
                <c:pt idx="0">
                  <c:v>Bloomex - AUS</c:v>
                </c:pt>
                <c:pt idx="1">
                  <c:v>Aussie Blooms - AUS</c:v>
                </c:pt>
                <c:pt idx="2">
                  <c:v>Bunches and Stems - AUS</c:v>
                </c:pt>
                <c:pt idx="3">
                  <c:v>Mel's Flowers - AUS</c:v>
                </c:pt>
              </c:strCache>
            </c:strRef>
          </c:cat>
          <c:val>
            <c:numRef>
              <c:f>Stores!$D$5:$D$8</c:f>
              <c:numCache>
                <c:formatCode>0.0%</c:formatCode>
                <c:ptCount val="4"/>
                <c:pt idx="0">
                  <c:v>0.0682730923694779</c:v>
                </c:pt>
                <c:pt idx="1">
                  <c:v>0.0405228758169935</c:v>
                </c:pt>
                <c:pt idx="2">
                  <c:v>0.0841772151898734</c:v>
                </c:pt>
                <c:pt idx="3">
                  <c:v>0.101851851851852</c:v>
                </c:pt>
              </c:numCache>
            </c:numRef>
          </c:val>
        </c:ser>
        <c:gapWidth val="150"/>
        <c:overlap val="0"/>
        <c:axId val="48703536"/>
        <c:axId val="63914630"/>
      </c:barChart>
      <c:lineChart>
        <c:grouping val="standard"/>
        <c:varyColors val="0"/>
        <c:ser>
          <c:idx val="1"/>
          <c:order val="1"/>
          <c:tx>
            <c:strRef>
              <c:f>Stores!O4</c:f>
              <c:strCache>
                <c:ptCount val="1"/>
                <c:pt idx="0">
                  <c:v>Designer avg</c:v>
                </c:pt>
              </c:strCache>
            </c:strRef>
          </c:tx>
          <c:spPr>
            <a:solidFill>
              <a:srgbClr val="000000"/>
            </a:solidFill>
            <a:ln w="475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Stores!$A$5:$A$8</c:f>
              <c:strCache>
                <c:ptCount val="4"/>
                <c:pt idx="0">
                  <c:v>Bloomex - AUS</c:v>
                </c:pt>
                <c:pt idx="1">
                  <c:v>Aussie Blooms - AUS</c:v>
                </c:pt>
                <c:pt idx="2">
                  <c:v>Bunches and Stems - AUS</c:v>
                </c:pt>
                <c:pt idx="3">
                  <c:v>Mel's Flowers - AUS</c:v>
                </c:pt>
              </c:strCache>
            </c:strRef>
          </c:cat>
          <c:val>
            <c:numRef>
              <c:f>Stores!$O$5:$O$8</c:f>
              <c:numCache>
                <c:formatCode>0.0%</c:formatCode>
                <c:ptCount val="4"/>
                <c:pt idx="0">
                  <c:v>0.0664935064935065</c:v>
                </c:pt>
                <c:pt idx="1">
                  <c:v>0.0664935064935065</c:v>
                </c:pt>
                <c:pt idx="2">
                  <c:v>0.0664935064935065</c:v>
                </c:pt>
                <c:pt idx="3">
                  <c:v>0.0664935064935065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Stores!P4</c:f>
              <c:strCache>
                <c:ptCount val="1"/>
                <c:pt idx="0">
                  <c:v>Rest of catalog</c:v>
                </c:pt>
              </c:strCache>
            </c:strRef>
          </c:tx>
          <c:spPr>
            <a:solidFill>
              <a:srgbClr val="7f8c8d"/>
            </a:solidFill>
            <a:ln w="47520">
              <a:solidFill>
                <a:srgbClr val="7f8c8d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Stores!$A$5:$A$8</c:f>
              <c:strCache>
                <c:ptCount val="4"/>
                <c:pt idx="0">
                  <c:v>Bloomex - AUS</c:v>
                </c:pt>
                <c:pt idx="1">
                  <c:v>Aussie Blooms - AUS</c:v>
                </c:pt>
                <c:pt idx="2">
                  <c:v>Bunches and Stems - AUS</c:v>
                </c:pt>
                <c:pt idx="3">
                  <c:v>Mel's Flowers - AUS</c:v>
                </c:pt>
              </c:strCache>
            </c:strRef>
          </c:cat>
          <c:val>
            <c:numRef>
              <c:f>Stores!$P$5:$P$8</c:f>
              <c:numCache>
                <c:formatCode>0.0%</c:formatCode>
                <c:ptCount val="4"/>
                <c:pt idx="0">
                  <c:v>0.0749146917947594</c:v>
                </c:pt>
                <c:pt idx="1">
                  <c:v>0.0749146917947594</c:v>
                </c:pt>
                <c:pt idx="2">
                  <c:v>0.0749146917947594</c:v>
                </c:pt>
                <c:pt idx="3">
                  <c:v>0.0749146917947594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703536"/>
        <c:axId val="63914630"/>
      </c:lineChart>
      <c:catAx>
        <c:axId val="487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14630"/>
        <c:crosses val="autoZero"/>
        <c:auto val="1"/>
        <c:lblAlgn val="ctr"/>
        <c:lblOffset val="100"/>
        <c:noMultiLvlLbl val="0"/>
      </c:catAx>
      <c:valAx>
        <c:axId val="63914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035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rate by month: Designer vs rest of catalog (Jan-Jul understated)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Monthly!D4</c:f>
              <c:strCache>
                <c:ptCount val="1"/>
                <c:pt idx="0">
                  <c:v>Designer SKU-unit refund rate</c:v>
                </c:pt>
              </c:strCache>
            </c:strRef>
          </c:tx>
          <c:spPr>
            <a:solidFill>
              <a:srgbClr val="6c3483"/>
            </a:solidFill>
            <a:ln w="47520">
              <a:solidFill>
                <a:srgbClr val="6c348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Monthly!$A$5:$A$14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Monthly!$D$5:$D$14</c:f>
              <c:numCache>
                <c:formatCode>0.0%</c:formatCode>
                <c:ptCount val="10"/>
                <c:pt idx="0">
                  <c:v>0.00826446280991736</c:v>
                </c:pt>
                <c:pt idx="1">
                  <c:v>0.00882352941176471</c:v>
                </c:pt>
                <c:pt idx="2">
                  <c:v>0.00928074245939675</c:v>
                </c:pt>
                <c:pt idx="3">
                  <c:v>0.0101156069364162</c:v>
                </c:pt>
                <c:pt idx="4">
                  <c:v>0.00833333333333333</c:v>
                </c:pt>
                <c:pt idx="5">
                  <c:v>0.0185387131952017</c:v>
                </c:pt>
                <c:pt idx="6">
                  <c:v>0.0195468680586406</c:v>
                </c:pt>
                <c:pt idx="7">
                  <c:v>0.0489833641404806</c:v>
                </c:pt>
                <c:pt idx="8">
                  <c:v>0.0753768844221106</c:v>
                </c:pt>
                <c:pt idx="9">
                  <c:v>0.0915032679738562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Monthly!I4</c:f>
              <c:strCache>
                <c:ptCount val="1"/>
                <c:pt idx="0">
                  <c:v>Rest-of-catalog refund rate (static)</c:v>
                </c:pt>
              </c:strCache>
            </c:strRef>
          </c:tx>
          <c:spPr>
            <a:solidFill>
              <a:srgbClr val="7f8c8d"/>
            </a:solidFill>
            <a:ln w="47520">
              <a:solidFill>
                <a:srgbClr val="7f8c8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Monthly!$A$5:$A$14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Monthly!$I$5:$I$14</c:f>
              <c:numCache>
                <c:formatCode>0.0%</c:formatCode>
                <c:ptCount val="10"/>
                <c:pt idx="0">
                  <c:v>0.00504124656278644</c:v>
                </c:pt>
                <c:pt idx="1">
                  <c:v>0.0170394835610269</c:v>
                </c:pt>
                <c:pt idx="2">
                  <c:v>0.0324347093513058</c:v>
                </c:pt>
                <c:pt idx="3">
                  <c:v>0.0471584038694075</c:v>
                </c:pt>
                <c:pt idx="4">
                  <c:v>0.0228184655291209</c:v>
                </c:pt>
                <c:pt idx="5">
                  <c:v>0.0396029776674938</c:v>
                </c:pt>
                <c:pt idx="6">
                  <c:v>0.0278100493755446</c:v>
                </c:pt>
                <c:pt idx="7">
                  <c:v>0.0651765197409651</c:v>
                </c:pt>
                <c:pt idx="8">
                  <c:v>0.0847483438665956</c:v>
                </c:pt>
                <c:pt idx="9">
                  <c:v>0.077320746235109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878853"/>
        <c:axId val="92580442"/>
      </c:lineChart>
      <c:catAx>
        <c:axId val="948788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80442"/>
        <c:crosses val="autoZero"/>
        <c:auto val="1"/>
        <c:lblAlgn val="ctr"/>
        <c:lblOffset val="100"/>
        <c:noMultiLvlLbl val="0"/>
      </c:catAx>
      <c:valAx>
        <c:axId val="92580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788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SKUs by refund $ (all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Rankings!H23</c:f>
              <c:strCache>
                <c:ptCount val="1"/>
                <c:pt idx="0">
                  <c:v>Refund $ (all months)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Rankings!$B$24:$B$38</c:f>
              <c:strCache>
                <c:ptCount val="15"/>
                <c:pt idx="0">
                  <c:v>DC-04S</c:v>
                </c:pt>
                <c:pt idx="1">
                  <c:v>DC-02S</c:v>
                </c:pt>
                <c:pt idx="2">
                  <c:v>AUDNAT-02</c:v>
                </c:pt>
                <c:pt idx="3">
                  <c:v>DC-03S</c:v>
                </c:pt>
                <c:pt idx="4">
                  <c:v>DC-01S</c:v>
                </c:pt>
                <c:pt idx="5">
                  <c:v>AUDNAT-03</c:v>
                </c:pt>
                <c:pt idx="6">
                  <c:v>DC-02B</c:v>
                </c:pt>
                <c:pt idx="7">
                  <c:v>AUDNAT-01</c:v>
                </c:pt>
                <c:pt idx="8">
                  <c:v>DC-01B</c:v>
                </c:pt>
                <c:pt idx="9">
                  <c:v>DCB-02</c:v>
                </c:pt>
                <c:pt idx="10">
                  <c:v>DCMJ-04A</c:v>
                </c:pt>
                <c:pt idx="11">
                  <c:v>DCS-03</c:v>
                </c:pt>
                <c:pt idx="12">
                  <c:v>DCB-01C</c:v>
                </c:pt>
                <c:pt idx="13">
                  <c:v>DCMJ-01</c:v>
                </c:pt>
                <c:pt idx="14">
                  <c:v>DCS-02</c:v>
                </c:pt>
              </c:strCache>
            </c:strRef>
          </c:cat>
          <c:val>
            <c:numRef>
              <c:f>Rankings!$H$24:$H$38</c:f>
              <c:numCache>
                <c:formatCode>\$#,##0;"($"#,##0\);\-</c:formatCode>
                <c:ptCount val="15"/>
                <c:pt idx="0">
                  <c:v>8683.47</c:v>
                </c:pt>
                <c:pt idx="1">
                  <c:v>6122.41</c:v>
                </c:pt>
                <c:pt idx="2">
                  <c:v>6090.57</c:v>
                </c:pt>
                <c:pt idx="3">
                  <c:v>4565.17</c:v>
                </c:pt>
                <c:pt idx="4">
                  <c:v>4255.73</c:v>
                </c:pt>
                <c:pt idx="5">
                  <c:v>4128.81</c:v>
                </c:pt>
                <c:pt idx="6">
                  <c:v>2889.28</c:v>
                </c:pt>
                <c:pt idx="7">
                  <c:v>2872.37</c:v>
                </c:pt>
                <c:pt idx="8">
                  <c:v>2433.11</c:v>
                </c:pt>
                <c:pt idx="9">
                  <c:v>1216.35</c:v>
                </c:pt>
                <c:pt idx="10">
                  <c:v>1072.34</c:v>
                </c:pt>
                <c:pt idx="11">
                  <c:v>967.81</c:v>
                </c:pt>
                <c:pt idx="12">
                  <c:v>957.93</c:v>
                </c:pt>
                <c:pt idx="13">
                  <c:v>941.68</c:v>
                </c:pt>
                <c:pt idx="14">
                  <c:v>798.41</c:v>
                </c:pt>
              </c:numCache>
            </c:numRef>
          </c:val>
        </c:ser>
        <c:gapWidth val="50"/>
        <c:overlap val="0"/>
        <c:axId val="86137427"/>
        <c:axId val="65357976"/>
      </c:barChart>
      <c:catAx>
        <c:axId val="861374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57976"/>
        <c:crosses val="autoZero"/>
        <c:auto val="1"/>
        <c:lblAlgn val="ctr"/>
        <c:lblOffset val="100"/>
        <c:noMultiLvlLbl val="0"/>
      </c:catAx>
      <c:valAx>
        <c:axId val="65357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374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SKUs by refunded units (all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Rankings!F4</c:f>
              <c:strCache>
                <c:ptCount val="1"/>
                <c:pt idx="0">
                  <c:v>Refunded units (all months)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Rankings!$B$5:$B$19</c:f>
              <c:strCache>
                <c:ptCount val="15"/>
                <c:pt idx="0">
                  <c:v>DC-04S</c:v>
                </c:pt>
                <c:pt idx="1">
                  <c:v>DC-02S</c:v>
                </c:pt>
                <c:pt idx="2">
                  <c:v>AUDNAT-02</c:v>
                </c:pt>
                <c:pt idx="3">
                  <c:v>DC-01S</c:v>
                </c:pt>
                <c:pt idx="4">
                  <c:v>DC-03S</c:v>
                </c:pt>
                <c:pt idx="5">
                  <c:v>DC-01B</c:v>
                </c:pt>
                <c:pt idx="6">
                  <c:v>AUDNAT-01</c:v>
                </c:pt>
                <c:pt idx="7">
                  <c:v>AUDNAT-03</c:v>
                </c:pt>
                <c:pt idx="8">
                  <c:v>DC-02B</c:v>
                </c:pt>
                <c:pt idx="9">
                  <c:v>DCMJ-01</c:v>
                </c:pt>
                <c:pt idx="10">
                  <c:v>DCMJ-04A</c:v>
                </c:pt>
                <c:pt idx="11">
                  <c:v>DCB-02</c:v>
                </c:pt>
                <c:pt idx="12">
                  <c:v>DCB-01C</c:v>
                </c:pt>
                <c:pt idx="13">
                  <c:v>DCMJ-03A</c:v>
                </c:pt>
                <c:pt idx="14">
                  <c:v>DC-01A</c:v>
                </c:pt>
              </c:strCache>
            </c:strRef>
          </c:cat>
          <c:val>
            <c:numRef>
              <c:f>Rankings!$F$5:$F$19</c:f>
              <c:numCache>
                <c:formatCode>#,##0;\(#,##0\);\-</c:formatCode>
                <c:ptCount val="15"/>
                <c:pt idx="0">
                  <c:v>75</c:v>
                </c:pt>
                <c:pt idx="1">
                  <c:v>62</c:v>
                </c:pt>
                <c:pt idx="2">
                  <c:v>62</c:v>
                </c:pt>
                <c:pt idx="3">
                  <c:v>60</c:v>
                </c:pt>
                <c:pt idx="4">
                  <c:v>39</c:v>
                </c:pt>
                <c:pt idx="5">
                  <c:v>36</c:v>
                </c:pt>
                <c:pt idx="6">
                  <c:v>34</c:v>
                </c:pt>
                <c:pt idx="7">
                  <c:v>31</c:v>
                </c:pt>
                <c:pt idx="8">
                  <c:v>28</c:v>
                </c:pt>
                <c:pt idx="9">
                  <c:v>18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</c:numCache>
            </c:numRef>
          </c:val>
        </c:ser>
        <c:gapWidth val="50"/>
        <c:overlap val="0"/>
        <c:axId val="92282012"/>
        <c:axId val="24583431"/>
      </c:barChart>
      <c:catAx>
        <c:axId val="922820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83431"/>
        <c:crosses val="autoZero"/>
        <c:auto val="1"/>
        <c:lblAlgn val="ctr"/>
        <c:lblOffset val="100"/>
        <c:noMultiLvlLbl val="0"/>
      </c:catAx>
      <c:valAx>
        <c:axId val="24583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82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SKUs by refund rate since Aug (min 30 units) vs designer avg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Rankings!G42</c:f>
              <c:strCache>
                <c:ptCount val="1"/>
                <c:pt idx="0">
                  <c:v>Refund rate (window)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Rankings!$B$43:$B$57</c:f>
              <c:strCache>
                <c:ptCount val="15"/>
                <c:pt idx="0">
                  <c:v>DCA-02-00</c:v>
                </c:pt>
                <c:pt idx="1">
                  <c:v>DCA-01-00</c:v>
                </c:pt>
                <c:pt idx="2">
                  <c:v>DCS-01</c:v>
                </c:pt>
                <c:pt idx="3">
                  <c:v>DCMJ-01</c:v>
                </c:pt>
                <c:pt idx="4">
                  <c:v>DCB-02</c:v>
                </c:pt>
                <c:pt idx="5">
                  <c:v>DC-02B</c:v>
                </c:pt>
                <c:pt idx="6">
                  <c:v>DCB-01C</c:v>
                </c:pt>
                <c:pt idx="7">
                  <c:v>AUDNAT-MJ-02</c:v>
                </c:pt>
                <c:pt idx="8">
                  <c:v>AUDC-02</c:v>
                </c:pt>
                <c:pt idx="9">
                  <c:v>DCS-02</c:v>
                </c:pt>
                <c:pt idx="10">
                  <c:v>DC-04B</c:v>
                </c:pt>
                <c:pt idx="11">
                  <c:v>DC-02A</c:v>
                </c:pt>
                <c:pt idx="12">
                  <c:v>DCMJ-03A</c:v>
                </c:pt>
                <c:pt idx="13">
                  <c:v>DCS-03</c:v>
                </c:pt>
                <c:pt idx="14">
                  <c:v>AUDC-04A</c:v>
                </c:pt>
              </c:strCache>
            </c:strRef>
          </c:cat>
          <c:val>
            <c:numRef>
              <c:f>Rankings!$G$43:$G$57</c:f>
              <c:numCache>
                <c:formatCode>0.0%</c:formatCode>
                <c:ptCount val="15"/>
                <c:pt idx="0">
                  <c:v>0.222222222222222</c:v>
                </c:pt>
                <c:pt idx="1">
                  <c:v>0.128205128205128</c:v>
                </c:pt>
                <c:pt idx="2">
                  <c:v>0.127659574468085</c:v>
                </c:pt>
                <c:pt idx="3">
                  <c:v>0.127272727272727</c:v>
                </c:pt>
                <c:pt idx="4">
                  <c:v>0.114942528735632</c:v>
                </c:pt>
                <c:pt idx="5">
                  <c:v>0.112107623318386</c:v>
                </c:pt>
                <c:pt idx="6">
                  <c:v>0.105263157894737</c:v>
                </c:pt>
                <c:pt idx="7">
                  <c:v>0.0909090909090909</c:v>
                </c:pt>
                <c:pt idx="8">
                  <c:v>0.0888888888888889</c:v>
                </c:pt>
                <c:pt idx="9">
                  <c:v>0.0886075949367089</c:v>
                </c:pt>
                <c:pt idx="10">
                  <c:v>0.0857142857142857</c:v>
                </c:pt>
                <c:pt idx="11">
                  <c:v>0.0847457627118644</c:v>
                </c:pt>
                <c:pt idx="12">
                  <c:v>0.0740740740740741</c:v>
                </c:pt>
                <c:pt idx="13">
                  <c:v>0.0731707317073171</c:v>
                </c:pt>
                <c:pt idx="14">
                  <c:v>0.0731707317073171</c:v>
                </c:pt>
              </c:numCache>
            </c:numRef>
          </c:val>
        </c:ser>
        <c:gapWidth val="150"/>
        <c:overlap val="0"/>
        <c:axId val="567036"/>
        <c:axId val="45286623"/>
      </c:barChart>
      <c:lineChart>
        <c:grouping val="standard"/>
        <c:varyColors val="0"/>
        <c:ser>
          <c:idx val="1"/>
          <c:order val="1"/>
          <c:tx>
            <c:strRef>
              <c:f>Rankings!K42</c:f>
              <c:strCache>
                <c:ptCount val="1"/>
                <c:pt idx="0">
                  <c:v>Baseline (designer avg)</c:v>
                </c:pt>
              </c:strCache>
            </c:strRef>
          </c:tx>
          <c:spPr>
            <a:solidFill>
              <a:srgbClr val="000000"/>
            </a:solidFill>
            <a:ln w="475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Rankings!$B$43:$B$57</c:f>
              <c:strCache>
                <c:ptCount val="15"/>
                <c:pt idx="0">
                  <c:v>DCA-02-00</c:v>
                </c:pt>
                <c:pt idx="1">
                  <c:v>DCA-01-00</c:v>
                </c:pt>
                <c:pt idx="2">
                  <c:v>DCS-01</c:v>
                </c:pt>
                <c:pt idx="3">
                  <c:v>DCMJ-01</c:v>
                </c:pt>
                <c:pt idx="4">
                  <c:v>DCB-02</c:v>
                </c:pt>
                <c:pt idx="5">
                  <c:v>DC-02B</c:v>
                </c:pt>
                <c:pt idx="6">
                  <c:v>DCB-01C</c:v>
                </c:pt>
                <c:pt idx="7">
                  <c:v>AUDNAT-MJ-02</c:v>
                </c:pt>
                <c:pt idx="8">
                  <c:v>AUDC-02</c:v>
                </c:pt>
                <c:pt idx="9">
                  <c:v>DCS-02</c:v>
                </c:pt>
                <c:pt idx="10">
                  <c:v>DC-04B</c:v>
                </c:pt>
                <c:pt idx="11">
                  <c:v>DC-02A</c:v>
                </c:pt>
                <c:pt idx="12">
                  <c:v>DCMJ-03A</c:v>
                </c:pt>
                <c:pt idx="13">
                  <c:v>DCS-03</c:v>
                </c:pt>
                <c:pt idx="14">
                  <c:v>AUDC-04A</c:v>
                </c:pt>
              </c:strCache>
            </c:strRef>
          </c:cat>
          <c:val>
            <c:numRef>
              <c:f>Rankings!$K$43:$K$57</c:f>
              <c:numCache>
                <c:formatCode>0.0%</c:formatCode>
                <c:ptCount val="15"/>
                <c:pt idx="0">
                  <c:v>0.0664935064935065</c:v>
                </c:pt>
                <c:pt idx="1">
                  <c:v>0.0664935064935065</c:v>
                </c:pt>
                <c:pt idx="2">
                  <c:v>0.0664935064935065</c:v>
                </c:pt>
                <c:pt idx="3">
                  <c:v>0.0664935064935065</c:v>
                </c:pt>
                <c:pt idx="4">
                  <c:v>0.0664935064935065</c:v>
                </c:pt>
                <c:pt idx="5">
                  <c:v>0.0664935064935065</c:v>
                </c:pt>
                <c:pt idx="6">
                  <c:v>0.0664935064935065</c:v>
                </c:pt>
                <c:pt idx="7">
                  <c:v>0.0664935064935065</c:v>
                </c:pt>
                <c:pt idx="8">
                  <c:v>0.0664935064935065</c:v>
                </c:pt>
                <c:pt idx="9">
                  <c:v>0.0664935064935065</c:v>
                </c:pt>
                <c:pt idx="10">
                  <c:v>0.0664935064935065</c:v>
                </c:pt>
                <c:pt idx="11">
                  <c:v>0.0664935064935065</c:v>
                </c:pt>
                <c:pt idx="12">
                  <c:v>0.0664935064935065</c:v>
                </c:pt>
                <c:pt idx="13">
                  <c:v>0.0664935064935065</c:v>
                </c:pt>
                <c:pt idx="14">
                  <c:v>0.0664935064935065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7036"/>
        <c:axId val="45286623"/>
      </c:lineChart>
      <c:catAx>
        <c:axId val="567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6623"/>
        <c:crosses val="autoZero"/>
        <c:auto val="1"/>
        <c:lblAlgn val="ctr"/>
        <c:lblOffset val="100"/>
        <c:noMultiLvlLbl val="0"/>
      </c:catAx>
      <c:valAx>
        <c:axId val="45286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0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rate by month: Designer vs rest of catalog (Jan-Jul understated)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Monthly!D4</c:f>
              <c:strCache>
                <c:ptCount val="1"/>
                <c:pt idx="0">
                  <c:v>Designer SKU-unit refund rate</c:v>
                </c:pt>
              </c:strCache>
            </c:strRef>
          </c:tx>
          <c:spPr>
            <a:solidFill>
              <a:srgbClr val="6c3483"/>
            </a:solidFill>
            <a:ln w="47520">
              <a:solidFill>
                <a:srgbClr val="6c348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Monthly!$A$5:$A$14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Monthly!$D$5:$D$14</c:f>
              <c:numCache>
                <c:formatCode>0.0%</c:formatCode>
                <c:ptCount val="10"/>
                <c:pt idx="0">
                  <c:v>0.00826446280991736</c:v>
                </c:pt>
                <c:pt idx="1">
                  <c:v>0.00882352941176471</c:v>
                </c:pt>
                <c:pt idx="2">
                  <c:v>0.00928074245939675</c:v>
                </c:pt>
                <c:pt idx="3">
                  <c:v>0.0101156069364162</c:v>
                </c:pt>
                <c:pt idx="4">
                  <c:v>0.00833333333333333</c:v>
                </c:pt>
                <c:pt idx="5">
                  <c:v>0.0185387131952017</c:v>
                </c:pt>
                <c:pt idx="6">
                  <c:v>0.0195468680586406</c:v>
                </c:pt>
                <c:pt idx="7">
                  <c:v>0.0489833641404806</c:v>
                </c:pt>
                <c:pt idx="8">
                  <c:v>0.0753768844221106</c:v>
                </c:pt>
                <c:pt idx="9">
                  <c:v>0.0915032679738562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Monthly!I4</c:f>
              <c:strCache>
                <c:ptCount val="1"/>
                <c:pt idx="0">
                  <c:v>Rest-of-catalog refund rate (static)</c:v>
                </c:pt>
              </c:strCache>
            </c:strRef>
          </c:tx>
          <c:spPr>
            <a:solidFill>
              <a:srgbClr val="7f8c8d"/>
            </a:solidFill>
            <a:ln w="47520">
              <a:solidFill>
                <a:srgbClr val="7f8c8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Monthly!$A$5:$A$14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Monthly!$I$5:$I$14</c:f>
              <c:numCache>
                <c:formatCode>0.0%</c:formatCode>
                <c:ptCount val="10"/>
                <c:pt idx="0">
                  <c:v>0.00504124656278644</c:v>
                </c:pt>
                <c:pt idx="1">
                  <c:v>0.0170394835610269</c:v>
                </c:pt>
                <c:pt idx="2">
                  <c:v>0.0324347093513058</c:v>
                </c:pt>
                <c:pt idx="3">
                  <c:v>0.0471584038694075</c:v>
                </c:pt>
                <c:pt idx="4">
                  <c:v>0.0228184655291209</c:v>
                </c:pt>
                <c:pt idx="5">
                  <c:v>0.0396029776674938</c:v>
                </c:pt>
                <c:pt idx="6">
                  <c:v>0.0278100493755446</c:v>
                </c:pt>
                <c:pt idx="7">
                  <c:v>0.0651765197409651</c:v>
                </c:pt>
                <c:pt idx="8">
                  <c:v>0.0847483438665956</c:v>
                </c:pt>
                <c:pt idx="9">
                  <c:v>0.077320746235109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423919"/>
        <c:axId val="57545744"/>
      </c:lineChart>
      <c:catAx>
        <c:axId val="6142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45744"/>
        <c:crosses val="autoZero"/>
        <c:auto val="1"/>
        <c:lblAlgn val="ctr"/>
        <c:lblOffset val="100"/>
        <c:noMultiLvlLbl val="0"/>
      </c:catAx>
      <c:valAx>
        <c:axId val="57545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239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5</xdr:col>
      <xdr:colOff>214200</xdr:colOff>
      <xdr:row>45</xdr:row>
      <xdr:rowOff>181080</xdr:rowOff>
    </xdr:to>
    <xdr:graphicFrame>
      <xdr:nvGraphicFramePr>
        <xdr:cNvPr id="0" name="Chart 1"/>
        <xdr:cNvGraphicFramePr/>
      </xdr:nvGraphicFramePr>
      <xdr:xfrm>
        <a:off x="0" y="74390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15</xdr:col>
      <xdr:colOff>143640</xdr:colOff>
      <xdr:row>45</xdr:row>
      <xdr:rowOff>181080</xdr:rowOff>
    </xdr:to>
    <xdr:graphicFrame>
      <xdr:nvGraphicFramePr>
        <xdr:cNvPr id="1" name="Chart 2"/>
        <xdr:cNvGraphicFramePr/>
      </xdr:nvGraphicFramePr>
      <xdr:xfrm>
        <a:off x="8176320" y="74390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5</xdr:col>
      <xdr:colOff>214200</xdr:colOff>
      <xdr:row>65</xdr:row>
      <xdr:rowOff>181080</xdr:rowOff>
    </xdr:to>
    <xdr:graphicFrame>
      <xdr:nvGraphicFramePr>
        <xdr:cNvPr id="2" name="Chart 3"/>
        <xdr:cNvGraphicFramePr/>
      </xdr:nvGraphicFramePr>
      <xdr:xfrm>
        <a:off x="0" y="1124892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15</xdr:col>
      <xdr:colOff>143640</xdr:colOff>
      <xdr:row>65</xdr:row>
      <xdr:rowOff>181080</xdr:rowOff>
    </xdr:to>
    <xdr:graphicFrame>
      <xdr:nvGraphicFramePr>
        <xdr:cNvPr id="3" name="Chart 4"/>
        <xdr:cNvGraphicFramePr/>
      </xdr:nvGraphicFramePr>
      <xdr:xfrm>
        <a:off x="8176320" y="1124892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68</xdr:row>
      <xdr:rowOff>0</xdr:rowOff>
    </xdr:from>
    <xdr:to>
      <xdr:col>5</xdr:col>
      <xdr:colOff>214200</xdr:colOff>
      <xdr:row>85</xdr:row>
      <xdr:rowOff>181440</xdr:rowOff>
    </xdr:to>
    <xdr:graphicFrame>
      <xdr:nvGraphicFramePr>
        <xdr:cNvPr id="4" name="Chart 5"/>
        <xdr:cNvGraphicFramePr/>
      </xdr:nvGraphicFramePr>
      <xdr:xfrm>
        <a:off x="0" y="1505916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68</xdr:row>
      <xdr:rowOff>0</xdr:rowOff>
    </xdr:from>
    <xdr:to>
      <xdr:col>15</xdr:col>
      <xdr:colOff>143640</xdr:colOff>
      <xdr:row>85</xdr:row>
      <xdr:rowOff>181440</xdr:rowOff>
    </xdr:to>
    <xdr:graphicFrame>
      <xdr:nvGraphicFramePr>
        <xdr:cNvPr id="5" name="Chart 6"/>
        <xdr:cNvGraphicFramePr/>
      </xdr:nvGraphicFramePr>
      <xdr:xfrm>
        <a:off x="8176320" y="1505916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88</xdr:row>
      <xdr:rowOff>0</xdr:rowOff>
    </xdr:from>
    <xdr:to>
      <xdr:col>5</xdr:col>
      <xdr:colOff>214200</xdr:colOff>
      <xdr:row>105</xdr:row>
      <xdr:rowOff>181080</xdr:rowOff>
    </xdr:to>
    <xdr:graphicFrame>
      <xdr:nvGraphicFramePr>
        <xdr:cNvPr id="6" name="Chart 7"/>
        <xdr:cNvGraphicFramePr/>
      </xdr:nvGraphicFramePr>
      <xdr:xfrm>
        <a:off x="0" y="188690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24</xdr:col>
      <xdr:colOff>113400</xdr:colOff>
      <xdr:row>17</xdr:row>
      <xdr:rowOff>66600</xdr:rowOff>
    </xdr:to>
    <xdr:graphicFrame>
      <xdr:nvGraphicFramePr>
        <xdr:cNvPr id="7" name="Chart 1"/>
        <xdr:cNvGraphicFramePr/>
      </xdr:nvGraphicFramePr>
      <xdr:xfrm>
        <a:off x="11818800" y="88596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P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3" min="12" style="0" width="12"/>
    <col collapsed="false" customWidth="true" hidden="false" outlineLevel="0" max="16" min="14" style="0" width="11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5.5" hidden="false" customHeight="true" outlineLevel="0" collapsed="false">
      <c r="B4" s="4" t="s">
        <v>2</v>
      </c>
      <c r="C4" s="4"/>
      <c r="D4" s="5" t="s">
        <v>3</v>
      </c>
      <c r="E4" s="5"/>
      <c r="F4" s="6" t="s">
        <v>4</v>
      </c>
      <c r="G4" s="6"/>
      <c r="H4" s="4" t="s">
        <v>5</v>
      </c>
      <c r="I4" s="4"/>
      <c r="J4" s="7" t="s">
        <v>6</v>
      </c>
      <c r="K4" s="7"/>
      <c r="L4" s="5" t="s">
        <v>7</v>
      </c>
      <c r="M4" s="5"/>
    </row>
    <row r="5" customFormat="false" ht="15" hidden="false" customHeight="false" outlineLevel="0" collapsed="false">
      <c r="B5" s="8" t="n">
        <f aca="false">Settings!$B$17</f>
        <v>1654508.272</v>
      </c>
      <c r="C5" s="8"/>
      <c r="D5" s="9" t="n">
        <f aca="false">Settings!$B$18</f>
        <v>59422.49</v>
      </c>
      <c r="E5" s="9"/>
      <c r="F5" s="10" t="n">
        <f aca="false">Settings!$B$19</f>
        <v>0.0568596286645796</v>
      </c>
      <c r="G5" s="10"/>
      <c r="H5" s="11" t="n">
        <f aca="false">Settings!$B$21/Settings!$B$22</f>
        <v>0.0664935064935065</v>
      </c>
      <c r="I5" s="11"/>
      <c r="J5" s="12" t="n">
        <f aca="false">(Settings!$B$21/Settings!$B$22)/Settings!$B$14</f>
        <v>0.887589669002122</v>
      </c>
      <c r="K5" s="12"/>
      <c r="L5" s="13" t="n">
        <f aca="false">COUNTIF('SKU Data'!$Y$2:$Y$95,"HIGH RATE")</f>
        <v>1</v>
      </c>
      <c r="M5" s="13"/>
    </row>
    <row r="6" customFormat="false" ht="15" hidden="false" customHeight="false" outlineLevel="0" collapsed="false">
      <c r="B6" s="8"/>
      <c r="C6" s="8"/>
      <c r="D6" s="9"/>
      <c r="E6" s="9"/>
      <c r="F6" s="10"/>
      <c r="G6" s="10"/>
      <c r="H6" s="11"/>
      <c r="I6" s="11"/>
      <c r="J6" s="12"/>
      <c r="K6" s="12"/>
      <c r="L6" s="13"/>
      <c r="M6" s="13"/>
    </row>
    <row r="8" customFormat="false" ht="21.75" hidden="false" customHeight="true" outlineLevel="0" collapsed="false">
      <c r="A8" s="14" t="s">
        <v>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33.75" hidden="false" customHeight="true" outlineLevel="0" collapsed="false">
      <c r="A9" s="16" t="s">
        <v>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customFormat="false" ht="33.75" hidden="false" customHeight="true" outlineLevel="0" collapsed="false">
      <c r="A10" s="16" t="s">
        <v>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customFormat="false" ht="33.75" hidden="false" customHeight="true" outlineLevel="0" collapsed="false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Format="false" ht="33.75" hidden="false" customHeight="true" outlineLevel="0" collapsed="false">
      <c r="A12" s="16" t="s">
        <v>12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customFormat="false" ht="33.75" hidden="false" customHeight="true" outlineLevel="0" collapsed="false">
      <c r="A13" s="16" t="s">
        <v>13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5" customFormat="false" ht="21.75" hidden="false" customHeight="true" outlineLevel="0" collapsed="false">
      <c r="A15" s="17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39.75" hidden="false" customHeight="true" outlineLevel="0" collapsed="false">
      <c r="A16" s="18" t="s">
        <v>15</v>
      </c>
      <c r="B16" s="18" t="s">
        <v>16</v>
      </c>
      <c r="C16" s="18" t="s">
        <v>17</v>
      </c>
      <c r="D16" s="18" t="s">
        <v>18</v>
      </c>
      <c r="E16" s="18" t="s">
        <v>19</v>
      </c>
      <c r="F16" s="18" t="s">
        <v>20</v>
      </c>
      <c r="G16" s="18" t="s">
        <v>21</v>
      </c>
      <c r="H16" s="18" t="s">
        <v>22</v>
      </c>
      <c r="I16" s="18" t="s">
        <v>23</v>
      </c>
      <c r="J16" s="18" t="s">
        <v>24</v>
      </c>
      <c r="K16" s="18" t="s">
        <v>25</v>
      </c>
    </row>
    <row r="17" customFormat="false" ht="15" hidden="false" customHeight="false" outlineLevel="0" collapsed="false">
      <c r="A17" s="19" t="n">
        <f aca="false">'Priority SKUs'!A5</f>
        <v>1</v>
      </c>
      <c r="B17" s="19" t="str">
        <f aca="false">'Priority SKUs'!C5</f>
        <v>DC-02B</v>
      </c>
      <c r="C17" s="19" t="str">
        <f aca="false">'Priority SKUs'!D5</f>
        <v>Birthday Designer Collection II</v>
      </c>
      <c r="D17" s="19" t="str">
        <f aca="false">'Priority SKUs'!E5</f>
        <v>Birthday</v>
      </c>
      <c r="E17" s="20" t="n">
        <f aca="false">'Priority SKUs'!F5</f>
        <v>223</v>
      </c>
      <c r="F17" s="20" t="n">
        <f aca="false">'Priority SKUs'!H5</f>
        <v>25</v>
      </c>
      <c r="G17" s="21" t="n">
        <f aca="false">'Priority SKUs'!I5</f>
        <v>0.112107623318386</v>
      </c>
      <c r="H17" s="22" t="n">
        <f aca="false">'Priority SKUs'!J5</f>
        <v>2889.28</v>
      </c>
      <c r="I17" s="23" t="n">
        <f aca="false">'Priority SKUs'!L5</f>
        <v>0.000224301128202116</v>
      </c>
      <c r="J17" s="24" t="str">
        <f aca="false">'Priority SKUs'!B5</f>
        <v>1 - Fix first</v>
      </c>
      <c r="K17" s="19" t="str">
        <f aca="false">IFERROR(INDEX('SKU Data'!$D$2:$D$95,MATCH(B17,'SKU Data'!$A$2:$A$95,0)),"")</f>
        <v>Bloomex - AUS</v>
      </c>
    </row>
    <row r="18" customFormat="false" ht="15" hidden="false" customHeight="false" outlineLevel="0" collapsed="false">
      <c r="A18" s="19" t="n">
        <f aca="false">'Priority SKUs'!A6</f>
        <v>2</v>
      </c>
      <c r="B18" s="19" t="str">
        <f aca="false">'Priority SKUs'!C6</f>
        <v>DC-02S</v>
      </c>
      <c r="C18" s="19" t="str">
        <f aca="false">'Priority SKUs'!D6</f>
        <v>Designer Sympathy Collection II</v>
      </c>
      <c r="D18" s="19" t="str">
        <f aca="false">'Priority SKUs'!E6</f>
        <v>Sympathy</v>
      </c>
      <c r="E18" s="20" t="n">
        <f aca="false">'Priority SKUs'!F6</f>
        <v>849</v>
      </c>
      <c r="F18" s="20" t="n">
        <f aca="false">'Priority SKUs'!H6</f>
        <v>59</v>
      </c>
      <c r="G18" s="21" t="n">
        <f aca="false">'Priority SKUs'!I6</f>
        <v>0.0694935217903416</v>
      </c>
      <c r="H18" s="22" t="n">
        <f aca="false">'Priority SKUs'!J6</f>
        <v>6122.41</v>
      </c>
      <c r="I18" s="23" t="n">
        <f aca="false">'Priority SKUs'!L6</f>
        <v>0.000475296084254872</v>
      </c>
      <c r="J18" s="24" t="str">
        <f aca="false">'Priority SKUs'!B6</f>
        <v>1 - Fix first</v>
      </c>
      <c r="K18" s="19" t="str">
        <f aca="false">IFERROR(INDEX('SKU Data'!$D$2:$D$95,MATCH(B18,'SKU Data'!$A$2:$A$95,0)),"")</f>
        <v>Bloomex - AUS</v>
      </c>
    </row>
    <row r="19" customFormat="false" ht="15" hidden="false" customHeight="false" outlineLevel="0" collapsed="false">
      <c r="A19" s="19" t="n">
        <f aca="false">'Priority SKUs'!A7</f>
        <v>3</v>
      </c>
      <c r="B19" s="19" t="str">
        <f aca="false">'Priority SKUs'!C7</f>
        <v>AUDNAT-02</v>
      </c>
      <c r="C19" s="19" t="str">
        <f aca="false">'Priority SKUs'!D7</f>
        <v>Native Flowers Bouquet Designer Collection II</v>
      </c>
      <c r="D19" s="19" t="str">
        <f aca="false">'Priority SKUs'!E7</f>
        <v>Native Flowers</v>
      </c>
      <c r="E19" s="20" t="n">
        <f aca="false">'Priority SKUs'!F7</f>
        <v>802</v>
      </c>
      <c r="F19" s="20" t="n">
        <f aca="false">'Priority SKUs'!H7</f>
        <v>55</v>
      </c>
      <c r="G19" s="21" t="n">
        <f aca="false">'Priority SKUs'!I7</f>
        <v>0.0685785536159601</v>
      </c>
      <c r="H19" s="22" t="n">
        <f aca="false">'Priority SKUs'!J7</f>
        <v>6090.57</v>
      </c>
      <c r="I19" s="23" t="n">
        <f aca="false">'Priority SKUs'!L7</f>
        <v>0.000472824275388319</v>
      </c>
      <c r="J19" s="24" t="str">
        <f aca="false">'Priority SKUs'!B7</f>
        <v>1 - Fix first</v>
      </c>
      <c r="K19" s="19" t="str">
        <f aca="false">IFERROR(INDEX('SKU Data'!$D$2:$D$95,MATCH(B19,'SKU Data'!$A$2:$A$95,0)),"")</f>
        <v>Bloomex - AUS</v>
      </c>
    </row>
    <row r="20" customFormat="false" ht="15" hidden="false" customHeight="false" outlineLevel="0" collapsed="false">
      <c r="A20" s="19" t="n">
        <f aca="false">'Priority SKUs'!A8</f>
        <v>4</v>
      </c>
      <c r="B20" s="19" t="str">
        <f aca="false">'Priority SKUs'!C8</f>
        <v>DCMJ-01</v>
      </c>
      <c r="C20" s="19" t="str">
        <f aca="false">'Priority SKUs'!D8</f>
        <v>Designer Collection Mason Jar I</v>
      </c>
      <c r="D20" s="19" t="str">
        <f aca="false">'Priority SKUs'!E8</f>
        <v>Mason Jar</v>
      </c>
      <c r="E20" s="20" t="n">
        <f aca="false">'Priority SKUs'!F8</f>
        <v>110</v>
      </c>
      <c r="F20" s="20" t="n">
        <f aca="false">'Priority SKUs'!H8</f>
        <v>14</v>
      </c>
      <c r="G20" s="21" t="n">
        <f aca="false">'Priority SKUs'!I8</f>
        <v>0.127272727272727</v>
      </c>
      <c r="H20" s="22" t="n">
        <f aca="false">'Priority SKUs'!J8</f>
        <v>941.68</v>
      </c>
      <c r="I20" s="23" t="n">
        <f aca="false">'Priority SKUs'!L8</f>
        <v>7.31046788145727E-005</v>
      </c>
      <c r="J20" s="24" t="str">
        <f aca="false">'Priority SKUs'!B8</f>
        <v>1 - Fix first</v>
      </c>
      <c r="K20" s="19" t="str">
        <f aca="false">IFERROR(INDEX('SKU Data'!$D$2:$D$95,MATCH(B20,'SKU Data'!$A$2:$A$95,0)),"")</f>
        <v>Bunches and Stems - AUS</v>
      </c>
    </row>
    <row r="21" customFormat="false" ht="15" hidden="false" customHeight="false" outlineLevel="0" collapsed="false">
      <c r="A21" s="19" t="n">
        <f aca="false">'Priority SKUs'!A9</f>
        <v>5</v>
      </c>
      <c r="B21" s="19" t="str">
        <f aca="false">'Priority SKUs'!C9</f>
        <v>AUDNAT-03</v>
      </c>
      <c r="C21" s="19" t="str">
        <f aca="false">'Priority SKUs'!D9</f>
        <v>Native Flowers Bouquet Designer Collection III</v>
      </c>
      <c r="D21" s="19" t="str">
        <f aca="false">'Priority SKUs'!E9</f>
        <v>Native Flowers</v>
      </c>
      <c r="E21" s="20" t="n">
        <f aca="false">'Priority SKUs'!F9</f>
        <v>353</v>
      </c>
      <c r="F21" s="20" t="n">
        <f aca="false">'Priority SKUs'!H9</f>
        <v>25</v>
      </c>
      <c r="G21" s="21" t="n">
        <f aca="false">'Priority SKUs'!I9</f>
        <v>0.0708215297450425</v>
      </c>
      <c r="H21" s="22" t="n">
        <f aca="false">'Priority SKUs'!J9</f>
        <v>4128.81</v>
      </c>
      <c r="I21" s="23" t="n">
        <f aca="false">'Priority SKUs'!L9</f>
        <v>0.000320528554218414</v>
      </c>
      <c r="J21" s="24" t="str">
        <f aca="false">'Priority SKUs'!B9</f>
        <v>1 - Fix first</v>
      </c>
      <c r="K21" s="19" t="str">
        <f aca="false">IFERROR(INDEX('SKU Data'!$D$2:$D$95,MATCH(B21,'SKU Data'!$A$2:$A$95,0)),"")</f>
        <v>Bloomex - AUS</v>
      </c>
    </row>
    <row r="22" customFormat="false" ht="15" hidden="false" customHeight="false" outlineLevel="0" collapsed="false">
      <c r="A22" s="19" t="n">
        <f aca="false">'Priority SKUs'!A10</f>
        <v>6</v>
      </c>
      <c r="B22" s="19" t="str">
        <f aca="false">'Priority SKUs'!C10</f>
        <v>DCB-02</v>
      </c>
      <c r="C22" s="19" t="str">
        <f aca="false">'Priority SKUs'!D10</f>
        <v>Birthday Designer Collection II</v>
      </c>
      <c r="D22" s="19" t="str">
        <f aca="false">'Priority SKUs'!E10</f>
        <v>Birthday</v>
      </c>
      <c r="E22" s="20" t="n">
        <f aca="false">'Priority SKUs'!F10</f>
        <v>87</v>
      </c>
      <c r="F22" s="20" t="n">
        <f aca="false">'Priority SKUs'!H10</f>
        <v>10</v>
      </c>
      <c r="G22" s="21" t="n">
        <f aca="false">'Priority SKUs'!I10</f>
        <v>0.114942528735632</v>
      </c>
      <c r="H22" s="22" t="n">
        <f aca="false">'Priority SKUs'!J10</f>
        <v>1216.35</v>
      </c>
      <c r="I22" s="23" t="n">
        <f aca="false">'Priority SKUs'!L10</f>
        <v>9.44279118979966E-005</v>
      </c>
      <c r="J22" s="24" t="str">
        <f aca="false">'Priority SKUs'!B10</f>
        <v>1 - Fix first</v>
      </c>
      <c r="K22" s="19" t="str">
        <f aca="false">IFERROR(INDEX('SKU Data'!$D$2:$D$95,MATCH(B22,'SKU Data'!$A$2:$A$95,0)),"")</f>
        <v>Bunches and Stems - AUS</v>
      </c>
    </row>
    <row r="23" customFormat="false" ht="15" hidden="false" customHeight="false" outlineLevel="0" collapsed="false">
      <c r="A23" s="19" t="n">
        <f aca="false">'Priority SKUs'!A11</f>
        <v>7</v>
      </c>
      <c r="B23" s="19" t="str">
        <f aca="false">'Priority SKUs'!C11</f>
        <v>DCB-01C</v>
      </c>
      <c r="C23" s="19" t="str">
        <f aca="false">'Priority SKUs'!D11</f>
        <v>Birthday Designer Collection I Combo</v>
      </c>
      <c r="D23" s="19" t="str">
        <f aca="false">'Priority SKUs'!E11</f>
        <v>Birthday</v>
      </c>
      <c r="E23" s="20" t="n">
        <f aca="false">'Priority SKUs'!F11</f>
        <v>95</v>
      </c>
      <c r="F23" s="20" t="n">
        <f aca="false">'Priority SKUs'!H11</f>
        <v>10</v>
      </c>
      <c r="G23" s="21" t="n">
        <f aca="false">'Priority SKUs'!I11</f>
        <v>0.105263157894737</v>
      </c>
      <c r="H23" s="22" t="n">
        <f aca="false">'Priority SKUs'!J11</f>
        <v>957.93</v>
      </c>
      <c r="I23" s="23" t="n">
        <f aca="false">'Priority SKUs'!L11</f>
        <v>7.43662018698959E-005</v>
      </c>
      <c r="J23" s="24" t="str">
        <f aca="false">'Priority SKUs'!B11</f>
        <v>1 - Fix first</v>
      </c>
      <c r="K23" s="19" t="str">
        <f aca="false">IFERROR(INDEX('SKU Data'!$D$2:$D$95,MATCH(B23,'SKU Data'!$A$2:$A$95,0)),"")</f>
        <v>Bloomex - AUS</v>
      </c>
    </row>
    <row r="24" customFormat="false" ht="15" hidden="false" customHeight="false" outlineLevel="0" collapsed="false">
      <c r="A24" s="19" t="n">
        <f aca="false">'Priority SKUs'!A12</f>
        <v>8</v>
      </c>
      <c r="B24" s="19" t="str">
        <f aca="false">'Priority SKUs'!C12</f>
        <v>AUDNAT-01</v>
      </c>
      <c r="C24" s="19" t="str">
        <f aca="false">'Priority SKUs'!D12</f>
        <v>Native Flowers Bouquet Designer Collection I</v>
      </c>
      <c r="D24" s="19" t="str">
        <f aca="false">'Priority SKUs'!E12</f>
        <v>Native Flowers</v>
      </c>
      <c r="E24" s="20" t="n">
        <f aca="false">'Priority SKUs'!F12</f>
        <v>374</v>
      </c>
      <c r="F24" s="20" t="n">
        <f aca="false">'Priority SKUs'!H12</f>
        <v>26</v>
      </c>
      <c r="G24" s="21" t="n">
        <f aca="false">'Priority SKUs'!I12</f>
        <v>0.0695187165775401</v>
      </c>
      <c r="H24" s="22" t="n">
        <f aca="false">'Priority SKUs'!J12</f>
        <v>2872.37</v>
      </c>
      <c r="I24" s="23" t="n">
        <f aca="false">'Priority SKUs'!L12</f>
        <v>0.0002229883679027</v>
      </c>
      <c r="J24" s="24" t="str">
        <f aca="false">'Priority SKUs'!B12</f>
        <v>1 - Fix first</v>
      </c>
      <c r="K24" s="19" t="str">
        <f aca="false">IFERROR(INDEX('SKU Data'!$D$2:$D$95,MATCH(B24,'SKU Data'!$A$2:$A$95,0)),"")</f>
        <v>Bloomex - AUS</v>
      </c>
    </row>
    <row r="25" customFormat="false" ht="15" hidden="false" customHeight="false" outlineLevel="0" collapsed="false">
      <c r="A25" s="19" t="n">
        <f aca="false">'Priority SKUs'!A13</f>
        <v>9</v>
      </c>
      <c r="B25" s="19" t="str">
        <f aca="false">'Priority SKUs'!C13</f>
        <v>DCA-02-00</v>
      </c>
      <c r="C25" s="19" t="str">
        <f aca="false">'Priority SKUs'!D13</f>
        <v>Anniversary Designer Collection II</v>
      </c>
      <c r="D25" s="19" t="str">
        <f aca="false">'Priority SKUs'!E13</f>
        <v>Anniversary</v>
      </c>
      <c r="E25" s="20" t="n">
        <f aca="false">'Priority SKUs'!F13</f>
        <v>36</v>
      </c>
      <c r="F25" s="20" t="n">
        <f aca="false">'Priority SKUs'!H13</f>
        <v>8</v>
      </c>
      <c r="G25" s="21" t="n">
        <f aca="false">'Priority SKUs'!I13</f>
        <v>0.222222222222222</v>
      </c>
      <c r="H25" s="22" t="n">
        <f aca="false">'Priority SKUs'!J13</f>
        <v>735.3</v>
      </c>
      <c r="I25" s="23" t="n">
        <f aca="false">'Priority SKUs'!L13</f>
        <v>5.70829478510272E-005</v>
      </c>
      <c r="J25" s="24" t="str">
        <f aca="false">'Priority SKUs'!B13</f>
        <v>1 - Fix first</v>
      </c>
      <c r="K25" s="19" t="str">
        <f aca="false">IFERROR(INDEX('SKU Data'!$D$2:$D$95,MATCH(B25,'SKU Data'!$A$2:$A$95,0)),"")</f>
        <v>Bunches and Stems - AUS</v>
      </c>
    </row>
    <row r="26" customFormat="false" ht="15" hidden="false" customHeight="false" outlineLevel="0" collapsed="false">
      <c r="A26" s="19" t="n">
        <f aca="false">'Priority SKUs'!A14</f>
        <v>10</v>
      </c>
      <c r="B26" s="19" t="str">
        <f aca="false">'Priority SKUs'!C14</f>
        <v>DCS-02</v>
      </c>
      <c r="C26" s="19" t="str">
        <f aca="false">'Priority SKUs'!D14</f>
        <v>Designer Sympathy Collection II</v>
      </c>
      <c r="D26" s="19" t="str">
        <f aca="false">'Priority SKUs'!E14</f>
        <v>Sympathy</v>
      </c>
      <c r="E26" s="20" t="n">
        <f aca="false">'Priority SKUs'!F14</f>
        <v>79</v>
      </c>
      <c r="F26" s="20" t="n">
        <f aca="false">'Priority SKUs'!H14</f>
        <v>7</v>
      </c>
      <c r="G26" s="21" t="n">
        <f aca="false">'Priority SKUs'!I14</f>
        <v>0.0886075949367089</v>
      </c>
      <c r="H26" s="22" t="n">
        <f aca="false">'Priority SKUs'!J14</f>
        <v>798.41</v>
      </c>
      <c r="I26" s="23" t="n">
        <f aca="false">'Priority SKUs'!L14</f>
        <v>6.19823152369626E-005</v>
      </c>
      <c r="J26" s="24" t="str">
        <f aca="false">'Priority SKUs'!B14</f>
        <v>1 - Fix first</v>
      </c>
      <c r="K26" s="19" t="str">
        <f aca="false">IFERROR(INDEX('SKU Data'!$D$2:$D$95,MATCH(B26,'SKU Data'!$A$2:$A$95,0)),"")</f>
        <v>Bunches and Stems - AUS</v>
      </c>
    </row>
    <row r="28" customFormat="false" ht="21.75" hidden="false" customHeight="true" outlineLevel="0" collapsed="false">
      <c r="A28" s="17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110" customFormat="false" ht="15" hidden="false" customHeight="false" outlineLevel="0" collapsed="false">
      <c r="A110" s="25" t="s">
        <v>27</v>
      </c>
    </row>
  </sheetData>
  <mergeCells count="17">
    <mergeCell ref="B4:C4"/>
    <mergeCell ref="D4:E4"/>
    <mergeCell ref="F4:G4"/>
    <mergeCell ref="H4:I4"/>
    <mergeCell ref="J4:K4"/>
    <mergeCell ref="L4:M4"/>
    <mergeCell ref="B5:C6"/>
    <mergeCell ref="D5:E6"/>
    <mergeCell ref="F5:G6"/>
    <mergeCell ref="H5:I6"/>
    <mergeCell ref="J5:K6"/>
    <mergeCell ref="L5:M6"/>
    <mergeCell ref="A9:P9"/>
    <mergeCell ref="A10:P10"/>
    <mergeCell ref="A11:P11"/>
    <mergeCell ref="A12:P12"/>
    <mergeCell ref="A13:P13"/>
  </mergeCells>
  <conditionalFormatting sqref="G17:G26">
    <cfRule type="colorScale" priority="2">
      <colorScale>
        <cfvo type="num" val="0.03"/>
        <cfvo type="num" val="0.15"/>
        <color rgb="FFFFFFFF"/>
        <color rgb="FFF08A80"/>
      </colorScale>
    </cfRule>
  </conditionalFormatting>
  <conditionalFormatting sqref="H17:H26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{83DAB0F1-912E-4A40-A850-5CC23537283F}</x14:id>
        </ext>
      </extLst>
    </cfRule>
  </conditionalFormatting>
  <conditionalFormatting sqref="J17:J26">
    <cfRule type="expression" priority="4" aboveAverage="0" equalAverage="0" bottom="0" percent="0" rank="0" text="" dxfId="0">
      <formula>LEFT($J17,1)="1"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DAB0F1-912E-4A40-A850-5CC23537283F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H17:H26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tru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6" min="14" style="0" width="46"/>
    <col collapsed="false" customWidth="true" hidden="false" outlineLevel="0" max="18" min="17" style="0" width="10"/>
  </cols>
  <sheetData>
    <row r="1" customFormat="false" ht="17.35" hidden="false" customHeight="false" outlineLevel="0" collapsed="false">
      <c r="A1" s="26" t="s">
        <v>28</v>
      </c>
    </row>
    <row r="2" customFormat="false" ht="15" hidden="false" customHeight="false" outlineLevel="0" collapsed="false">
      <c r="A2" s="25" t="s">
        <v>29</v>
      </c>
    </row>
    <row r="4" customFormat="false" ht="45.75" hidden="false" customHeight="true" outlineLevel="0" collapsed="false">
      <c r="A4" s="18" t="s">
        <v>18</v>
      </c>
      <c r="B4" s="18" t="s">
        <v>30</v>
      </c>
      <c r="C4" s="18" t="s">
        <v>19</v>
      </c>
      <c r="D4" s="18" t="s">
        <v>20</v>
      </c>
      <c r="E4" s="18" t="s">
        <v>21</v>
      </c>
      <c r="F4" s="18" t="s">
        <v>31</v>
      </c>
      <c r="G4" s="18" t="s">
        <v>32</v>
      </c>
      <c r="H4" s="18" t="s">
        <v>33</v>
      </c>
      <c r="I4" s="18" t="s">
        <v>34</v>
      </c>
      <c r="J4" s="18" t="s">
        <v>22</v>
      </c>
      <c r="K4" s="18" t="s">
        <v>35</v>
      </c>
      <c r="L4" s="18" t="s">
        <v>23</v>
      </c>
      <c r="M4" s="18" t="s">
        <v>36</v>
      </c>
      <c r="N4" s="18" t="s">
        <v>37</v>
      </c>
      <c r="O4" s="18" t="s">
        <v>38</v>
      </c>
      <c r="P4" s="18" t="s">
        <v>39</v>
      </c>
      <c r="Q4" s="27" t="s">
        <v>40</v>
      </c>
      <c r="R4" s="27" t="s">
        <v>41</v>
      </c>
    </row>
    <row r="5" customFormat="false" ht="78" hidden="false" customHeight="true" outlineLevel="0" collapsed="false">
      <c r="A5" s="19" t="s">
        <v>42</v>
      </c>
      <c r="B5" s="20" t="n">
        <f aca="false">COUNTIF('SKU Data'!$C$2:$C$95,$A5)</f>
        <v>9</v>
      </c>
      <c r="C5" s="20" t="n">
        <f aca="false">SUMIFS('SKU Data'!$E$2:$E$95,'SKU Data'!$C$2:$C$95,$A5)</f>
        <v>3754</v>
      </c>
      <c r="D5" s="20" t="n">
        <f aca="false">SUMIFS('SKU Data'!$J$2:$J$95,'SKU Data'!$C$2:$C$95,$A5)</f>
        <v>220</v>
      </c>
      <c r="E5" s="21" t="n">
        <f aca="false">IF(C5&gt;0,D5/C5,0)</f>
        <v>0.0586041555673948</v>
      </c>
      <c r="F5" s="28" t="n">
        <f aca="false">E5/Settings!$B$3</f>
        <v>0.881351558337773</v>
      </c>
      <c r="G5" s="28" t="n">
        <f aca="false">E5/Settings!$B$14</f>
        <v>0.782278537939528</v>
      </c>
      <c r="H5" s="29" t="n">
        <f aca="false">IF(C5&gt;0,(D5-C5*Settings!$B$3)/SQRT(C5*Settings!$B$3*(1-Settings!$B$3)),0)</f>
        <v>-1.94017149189056</v>
      </c>
      <c r="I5" s="22" t="n">
        <f aca="false">SUMIFS('SKU Data'!$I$2:$I$95,'SKU Data'!$C$2:$C$95,$A5)</f>
        <v>711515.819</v>
      </c>
      <c r="J5" s="22" t="n">
        <f aca="false">SUMIFS('SKU Data'!$H$2:$H$95,'SKU Data'!$C$2:$C$95,$A5)</f>
        <v>26197.77</v>
      </c>
      <c r="K5" s="21" t="n">
        <f aca="false">J5/Settings!$B$18</f>
        <v>0.440872975871593</v>
      </c>
      <c r="L5" s="23" t="n">
        <f aca="false">J5/Settings!$B$15</f>
        <v>0.00203379020634191</v>
      </c>
      <c r="M5" s="24" t="str">
        <f aca="false">IF(AND(C5&gt;=Settings!$B$4,D5&gt;=Settings!$B$5,H5&gt;=Settings!$B$6),"HIGH RATE",IF(AND(C5&gt;=Settings!$B$4,H5&lt;=-Settings!$B$6),"BELOW AVG",""))</f>
        <v/>
      </c>
      <c r="N5" s="30" t="s">
        <v>43</v>
      </c>
      <c r="O5" s="30" t="s">
        <v>44</v>
      </c>
      <c r="P5" s="30" t="s">
        <v>45</v>
      </c>
      <c r="Q5" s="31" t="n">
        <f aca="false">Settings!$B$3</f>
        <v>0.0664935064935065</v>
      </c>
      <c r="R5" s="31" t="n">
        <f aca="false">Settings!$B$14</f>
        <v>0.0749146917947594</v>
      </c>
    </row>
    <row r="6" customFormat="false" ht="78" hidden="false" customHeight="true" outlineLevel="0" collapsed="false">
      <c r="A6" s="19" t="s">
        <v>46</v>
      </c>
      <c r="B6" s="20" t="n">
        <f aca="false">COUNTIF('SKU Data'!$C$2:$C$95,$A6)</f>
        <v>10</v>
      </c>
      <c r="C6" s="20" t="n">
        <f aca="false">SUMIFS('SKU Data'!$E$2:$E$95,'SKU Data'!$C$2:$C$95,$A6)</f>
        <v>1529</v>
      </c>
      <c r="D6" s="20" t="n">
        <f aca="false">SUMIFS('SKU Data'!$J$2:$J$95,'SKU Data'!$C$2:$C$95,$A6)</f>
        <v>106</v>
      </c>
      <c r="E6" s="21" t="n">
        <f aca="false">IF(C6&gt;0,D6/C6,0)</f>
        <v>0.0693263570961413</v>
      </c>
      <c r="F6" s="28" t="n">
        <f aca="false">E6/Settings!$B$3</f>
        <v>1.04260341726619</v>
      </c>
      <c r="G6" s="28" t="n">
        <f aca="false">E6/Settings!$B$14</f>
        <v>0.925404022031776</v>
      </c>
      <c r="H6" s="29" t="n">
        <f aca="false">IF(C6&gt;0,(D6-C6*Settings!$B$3)/SQRT(C6*Settings!$B$3*(1-Settings!$B$3)),0)</f>
        <v>0.444609895828713</v>
      </c>
      <c r="I6" s="22" t="n">
        <f aca="false">SUMIFS('SKU Data'!$I$2:$I$95,'SKU Data'!$C$2:$C$95,$A6)</f>
        <v>334875.113</v>
      </c>
      <c r="J6" s="22" t="n">
        <f aca="false">SUMIFS('SKU Data'!$H$2:$H$95,'SKU Data'!$C$2:$C$95,$A6)</f>
        <v>13571.55</v>
      </c>
      <c r="K6" s="21" t="n">
        <f aca="false">J6/Settings!$B$18</f>
        <v>0.228390799510421</v>
      </c>
      <c r="L6" s="23" t="n">
        <f aca="false">J6/Settings!$B$15</f>
        <v>0.00105358912132138</v>
      </c>
      <c r="M6" s="24" t="str">
        <f aca="false">IF(AND(C6&gt;=Settings!$B$4,D6&gt;=Settings!$B$5,H6&gt;=Settings!$B$6),"HIGH RATE",IF(AND(C6&gt;=Settings!$B$4,H6&lt;=-Settings!$B$6),"BELOW AVG",""))</f>
        <v/>
      </c>
      <c r="N6" s="30" t="s">
        <v>47</v>
      </c>
      <c r="O6" s="30" t="s">
        <v>48</v>
      </c>
      <c r="P6" s="30" t="s">
        <v>49</v>
      </c>
      <c r="Q6" s="31" t="n">
        <f aca="false">Settings!$B$3</f>
        <v>0.0664935064935065</v>
      </c>
      <c r="R6" s="31" t="n">
        <f aca="false">Settings!$B$14</f>
        <v>0.0749146917947594</v>
      </c>
    </row>
    <row r="7" customFormat="false" ht="78" hidden="false" customHeight="true" outlineLevel="0" collapsed="false">
      <c r="A7" s="19" t="s">
        <v>50</v>
      </c>
      <c r="B7" s="20" t="n">
        <f aca="false">COUNTIF('SKU Data'!$C$2:$C$95,$A7)</f>
        <v>20</v>
      </c>
      <c r="C7" s="20" t="n">
        <f aca="false">SUMIFS('SKU Data'!$E$2:$E$95,'SKU Data'!$C$2:$C$95,$A7)</f>
        <v>1114</v>
      </c>
      <c r="D7" s="20" t="n">
        <f aca="false">SUMIFS('SKU Data'!$J$2:$J$95,'SKU Data'!$C$2:$C$95,$A7)</f>
        <v>91</v>
      </c>
      <c r="E7" s="21" t="n">
        <f aca="false">IF(C7&gt;0,D7/C7,0)</f>
        <v>0.0816876122082585</v>
      </c>
      <c r="F7" s="28" t="n">
        <f aca="false">E7/Settings!$B$3</f>
        <v>1.22850510547576</v>
      </c>
      <c r="G7" s="28" t="n">
        <f aca="false">E7/Settings!$B$14</f>
        <v>1.09040843993665</v>
      </c>
      <c r="H7" s="29" t="n">
        <f aca="false">IF(C7&gt;0,(D7-C7*Settings!$B$3)/SQRT(C7*Settings!$B$3*(1-Settings!$B$3)),0)</f>
        <v>2.03549223334483</v>
      </c>
      <c r="I7" s="22" t="n">
        <f aca="false">SUMIFS('SKU Data'!$I$2:$I$95,'SKU Data'!$C$2:$C$95,$A7)</f>
        <v>191253.475</v>
      </c>
      <c r="J7" s="22" t="n">
        <f aca="false">SUMIFS('SKU Data'!$H$2:$H$95,'SKU Data'!$C$2:$C$95,$A7)</f>
        <v>9169.56</v>
      </c>
      <c r="K7" s="21" t="n">
        <f aca="false">J7/Settings!$B$18</f>
        <v>0.154311271708742</v>
      </c>
      <c r="L7" s="23" t="n">
        <f aca="false">J7/Settings!$B$15</f>
        <v>0.000711853005979688</v>
      </c>
      <c r="M7" s="24" t="str">
        <f aca="false">IF(AND(C7&gt;=Settings!$B$4,D7&gt;=Settings!$B$5,H7&gt;=Settings!$B$6),"HIGH RATE",IF(AND(C7&gt;=Settings!$B$4,H7&lt;=-Settings!$B$6),"BELOW AVG",""))</f>
        <v/>
      </c>
      <c r="N7" s="30" t="s">
        <v>51</v>
      </c>
      <c r="O7" s="30" t="s">
        <v>52</v>
      </c>
      <c r="P7" s="30" t="s">
        <v>53</v>
      </c>
      <c r="Q7" s="31" t="n">
        <f aca="false">Settings!$B$3</f>
        <v>0.0664935064935065</v>
      </c>
      <c r="R7" s="31" t="n">
        <f aca="false">Settings!$B$14</f>
        <v>0.0749146917947594</v>
      </c>
    </row>
    <row r="8" customFormat="false" ht="78" hidden="false" customHeight="true" outlineLevel="0" collapsed="false">
      <c r="A8" s="19" t="s">
        <v>54</v>
      </c>
      <c r="B8" s="20" t="n">
        <f aca="false">COUNTIF('SKU Data'!$C$2:$C$95,$A8)</f>
        <v>20</v>
      </c>
      <c r="C8" s="20" t="n">
        <f aca="false">SUMIFS('SKU Data'!$E$2:$E$95,'SKU Data'!$C$2:$C$95,$A8)</f>
        <v>743</v>
      </c>
      <c r="D8" s="20" t="n">
        <f aca="false">SUMIFS('SKU Data'!$J$2:$J$95,'SKU Data'!$C$2:$C$95,$A8)</f>
        <v>52</v>
      </c>
      <c r="E8" s="21" t="n">
        <f aca="false">IF(C8&gt;0,D8/C8,0)</f>
        <v>0.0699865410497981</v>
      </c>
      <c r="F8" s="28" t="n">
        <f aca="false">E8/Settings!$B$3</f>
        <v>1.05253196500673</v>
      </c>
      <c r="G8" s="28" t="n">
        <f aca="false">E8/Settings!$B$14</f>
        <v>0.934216498434476</v>
      </c>
      <c r="H8" s="29" t="n">
        <f aca="false">IF(C8&gt;0,(D8-C8*Settings!$B$3)/SQRT(C8*Settings!$B$3*(1-Settings!$B$3)),0)</f>
        <v>0.382163318476092</v>
      </c>
      <c r="I8" s="22" t="n">
        <f aca="false">SUMIFS('SKU Data'!$I$2:$I$95,'SKU Data'!$C$2:$C$95,$A8)</f>
        <v>214678.524</v>
      </c>
      <c r="J8" s="22" t="n">
        <f aca="false">SUMIFS('SKU Data'!$H$2:$H$95,'SKU Data'!$C$2:$C$95,$A8)</f>
        <v>5470.76</v>
      </c>
      <c r="K8" s="21" t="n">
        <f aca="false">J8/Settings!$B$18</f>
        <v>0.0920654789121089</v>
      </c>
      <c r="L8" s="23" t="n">
        <f aca="false">J8/Settings!$B$15</f>
        <v>0.000424707068931709</v>
      </c>
      <c r="M8" s="24" t="str">
        <f aca="false">IF(AND(C8&gt;=Settings!$B$4,D8&gt;=Settings!$B$5,H8&gt;=Settings!$B$6),"HIGH RATE",IF(AND(C8&gt;=Settings!$B$4,H8&lt;=-Settings!$B$6),"BELOW AVG",""))</f>
        <v/>
      </c>
      <c r="N8" s="30" t="s">
        <v>55</v>
      </c>
      <c r="O8" s="30" t="s">
        <v>56</v>
      </c>
      <c r="P8" s="30" t="s">
        <v>57</v>
      </c>
      <c r="Q8" s="31" t="n">
        <f aca="false">Settings!$B$3</f>
        <v>0.0664935064935065</v>
      </c>
      <c r="R8" s="31" t="n">
        <f aca="false">Settings!$B$14</f>
        <v>0.0749146917947594</v>
      </c>
    </row>
    <row r="9" customFormat="false" ht="78" hidden="false" customHeight="true" outlineLevel="0" collapsed="false">
      <c r="A9" s="19" t="s">
        <v>58</v>
      </c>
      <c r="B9" s="20" t="n">
        <f aca="false">COUNTIF('SKU Data'!$C$2:$C$95,$A9)</f>
        <v>14</v>
      </c>
      <c r="C9" s="20" t="n">
        <f aca="false">SUMIFS('SKU Data'!$E$2:$E$95,'SKU Data'!$C$2:$C$95,$A9)</f>
        <v>378</v>
      </c>
      <c r="D9" s="20" t="n">
        <f aca="false">SUMIFS('SKU Data'!$J$2:$J$95,'SKU Data'!$C$2:$C$95,$A9)</f>
        <v>33</v>
      </c>
      <c r="E9" s="21" t="n">
        <f aca="false">IF(C9&gt;0,D9/C9,0)</f>
        <v>0.0873015873015873</v>
      </c>
      <c r="F9" s="28" t="n">
        <f aca="false">E9/Settings!$B$3</f>
        <v>1.31293402777778</v>
      </c>
      <c r="G9" s="28" t="n">
        <f aca="false">E9/Settings!$B$14</f>
        <v>1.1653466791369</v>
      </c>
      <c r="H9" s="29" t="n">
        <f aca="false">IF(C9&gt;0,(D9-C9*Settings!$B$3)/SQRT(C9*Settings!$B$3*(1-Settings!$B$3)),0)</f>
        <v>1.62378915370301</v>
      </c>
      <c r="I9" s="22" t="n">
        <f aca="false">SUMIFS('SKU Data'!$I$2:$I$95,'SKU Data'!$C$2:$C$95,$A9)</f>
        <v>111082.562</v>
      </c>
      <c r="J9" s="22" t="n">
        <f aca="false">SUMIFS('SKU Data'!$H$2:$H$95,'SKU Data'!$C$2:$C$95,$A9)</f>
        <v>3429.16</v>
      </c>
      <c r="K9" s="21" t="n">
        <f aca="false">J9/Settings!$B$18</f>
        <v>0.0577081169099444</v>
      </c>
      <c r="L9" s="23" t="n">
        <f aca="false">J9/Settings!$B$15</f>
        <v>0.000266213193870296</v>
      </c>
      <c r="M9" s="24" t="str">
        <f aca="false">IF(AND(C9&gt;=Settings!$B$4,D9&gt;=Settings!$B$5,H9&gt;=Settings!$B$6),"HIGH RATE",IF(AND(C9&gt;=Settings!$B$4,H9&lt;=-Settings!$B$6),"BELOW AVG",""))</f>
        <v/>
      </c>
      <c r="N9" s="30" t="s">
        <v>59</v>
      </c>
      <c r="O9" s="30" t="s">
        <v>60</v>
      </c>
      <c r="P9" s="30" t="s">
        <v>61</v>
      </c>
      <c r="Q9" s="31" t="n">
        <f aca="false">Settings!$B$3</f>
        <v>0.0664935064935065</v>
      </c>
      <c r="R9" s="31" t="n">
        <f aca="false">Settings!$B$14</f>
        <v>0.0749146917947594</v>
      </c>
    </row>
    <row r="10" customFormat="false" ht="78" hidden="false" customHeight="true" outlineLevel="0" collapsed="false">
      <c r="A10" s="19" t="s">
        <v>62</v>
      </c>
      <c r="B10" s="20" t="n">
        <f aca="false">COUNTIF('SKU Data'!$C$2:$C$95,$A10)</f>
        <v>9</v>
      </c>
      <c r="C10" s="20" t="n">
        <f aca="false">SUMIFS('SKU Data'!$E$2:$E$95,'SKU Data'!$C$2:$C$95,$A10)</f>
        <v>156</v>
      </c>
      <c r="D10" s="20" t="n">
        <f aca="false">SUMIFS('SKU Data'!$J$2:$J$95,'SKU Data'!$C$2:$C$95,$A10)</f>
        <v>8</v>
      </c>
      <c r="E10" s="21" t="n">
        <f aca="false">IF(C10&gt;0,D10/C10,0)</f>
        <v>0.0512820512820513</v>
      </c>
      <c r="F10" s="28" t="n">
        <f aca="false">E10/Settings!$B$3</f>
        <v>0.771233974358974</v>
      </c>
      <c r="G10" s="28" t="n">
        <f aca="false">E10/Settings!$B$14</f>
        <v>0.684539308024473</v>
      </c>
      <c r="H10" s="29" t="n">
        <f aca="false">IF(C10&gt;0,(D10-C10*Settings!$B$3)/SQRT(C10*Settings!$B$3*(1-Settings!$B$3)),0)</f>
        <v>-0.762578879260473</v>
      </c>
      <c r="I10" s="22" t="n">
        <f aca="false">SUMIFS('SKU Data'!$I$2:$I$95,'SKU Data'!$C$2:$C$95,$A10)</f>
        <v>55290.553</v>
      </c>
      <c r="J10" s="22" t="n">
        <f aca="false">SUMIFS('SKU Data'!$H$2:$H$95,'SKU Data'!$C$2:$C$95,$A10)</f>
        <v>1131.15</v>
      </c>
      <c r="K10" s="21" t="n">
        <f aca="false">J10/Settings!$B$18</f>
        <v>0.0190357219968399</v>
      </c>
      <c r="L10" s="23" t="n">
        <f aca="false">J10/Settings!$B$15</f>
        <v>8.78136494787018E-005</v>
      </c>
      <c r="M10" s="24" t="str">
        <f aca="false">IF(AND(C10&gt;=Settings!$B$4,D10&gt;=Settings!$B$5,H10&gt;=Settings!$B$6),"HIGH RATE",IF(AND(C10&gt;=Settings!$B$4,H10&lt;=-Settings!$B$6),"BELOW AVG",""))</f>
        <v/>
      </c>
      <c r="N10" s="30" t="s">
        <v>63</v>
      </c>
      <c r="O10" s="30" t="s">
        <v>64</v>
      </c>
      <c r="P10" s="30" t="s">
        <v>65</v>
      </c>
      <c r="Q10" s="31" t="n">
        <f aca="false">Settings!$B$3</f>
        <v>0.0664935064935065</v>
      </c>
      <c r="R10" s="31" t="n">
        <f aca="false">Settings!$B$14</f>
        <v>0.0749146917947594</v>
      </c>
    </row>
    <row r="11" customFormat="false" ht="78" hidden="false" customHeight="true" outlineLevel="0" collapsed="false">
      <c r="A11" s="19" t="s">
        <v>66</v>
      </c>
      <c r="B11" s="20" t="n">
        <f aca="false">COUNTIF('SKU Data'!$C$2:$C$95,$A11)</f>
        <v>11</v>
      </c>
      <c r="C11" s="20" t="n">
        <f aca="false">SUMIFS('SKU Data'!$E$2:$E$95,'SKU Data'!$C$2:$C$95,$A11)</f>
        <v>26</v>
      </c>
      <c r="D11" s="20" t="n">
        <f aca="false">SUMIFS('SKU Data'!$J$2:$J$95,'SKU Data'!$C$2:$C$95,$A11)</f>
        <v>2</v>
      </c>
      <c r="E11" s="21" t="n">
        <f aca="false">IF(C11&gt;0,D11/C11,0)</f>
        <v>0.0769230769230769</v>
      </c>
      <c r="F11" s="28" t="n">
        <f aca="false">E11/Settings!$B$3</f>
        <v>1.15685096153846</v>
      </c>
      <c r="G11" s="28" t="n">
        <f aca="false">E11/Settings!$B$14</f>
        <v>1.02680896203671</v>
      </c>
      <c r="H11" s="29" t="n">
        <f aca="false">IF(C11&gt;0,(D11-C11*Settings!$B$3)/SQRT(C11*Settings!$B$3*(1-Settings!$B$3)),0)</f>
        <v>0.213454249682064</v>
      </c>
      <c r="I11" s="22" t="n">
        <f aca="false">SUMIFS('SKU Data'!$I$2:$I$95,'SKU Data'!$C$2:$C$95,$A11)</f>
        <v>35738.276</v>
      </c>
      <c r="J11" s="22" t="n">
        <f aca="false">SUMIFS('SKU Data'!$H$2:$H$95,'SKU Data'!$C$2:$C$95,$A11)</f>
        <v>452.54</v>
      </c>
      <c r="K11" s="21" t="n">
        <f aca="false">J11/Settings!$B$18</f>
        <v>0.00761563509035047</v>
      </c>
      <c r="L11" s="23" t="n">
        <f aca="false">J11/Settings!$B$15</f>
        <v>3.51316703665223E-005</v>
      </c>
      <c r="M11" s="24" t="str">
        <f aca="false">IF(AND(C11&gt;=Settings!$B$4,D11&gt;=Settings!$B$5,H11&gt;=Settings!$B$6),"HIGH RATE",IF(AND(C11&gt;=Settings!$B$4,H11&lt;=-Settings!$B$6),"BELOW AVG",""))</f>
        <v/>
      </c>
      <c r="N11" s="30" t="s">
        <v>67</v>
      </c>
      <c r="O11" s="30" t="s">
        <v>68</v>
      </c>
      <c r="P11" s="30" t="s">
        <v>69</v>
      </c>
      <c r="Q11" s="31" t="n">
        <f aca="false">Settings!$B$3</f>
        <v>0.0664935064935065</v>
      </c>
      <c r="R11" s="31" t="n">
        <f aca="false">Settings!$B$14</f>
        <v>0.0749146917947594</v>
      </c>
    </row>
    <row r="12" customFormat="false" ht="78" hidden="false" customHeight="true" outlineLevel="0" collapsed="false">
      <c r="A12" s="19" t="s">
        <v>70</v>
      </c>
      <c r="B12" s="20" t="n">
        <f aca="false">COUNTIF('SKU Data'!$C$2:$C$95,$A12)</f>
        <v>1</v>
      </c>
      <c r="C12" s="20" t="n">
        <f aca="false">SUMIFS('SKU Data'!$E$2:$E$95,'SKU Data'!$C$2:$C$95,$A12)</f>
        <v>0</v>
      </c>
      <c r="D12" s="20" t="n">
        <f aca="false">SUMIFS('SKU Data'!$J$2:$J$95,'SKU Data'!$C$2:$C$95,$A12)</f>
        <v>0</v>
      </c>
      <c r="E12" s="21" t="n">
        <f aca="false">IF(C12&gt;0,D12/C12,0)</f>
        <v>0</v>
      </c>
      <c r="F12" s="28" t="n">
        <f aca="false">E12/Settings!$B$3</f>
        <v>0</v>
      </c>
      <c r="G12" s="28" t="n">
        <f aca="false">E12/Settings!$B$14</f>
        <v>0</v>
      </c>
      <c r="H12" s="29" t="n">
        <f aca="false">IF(C12&gt;0,(D12-C12*Settings!$B$3)/SQRT(C12*Settings!$B$3*(1-Settings!$B$3)),0)</f>
        <v>0</v>
      </c>
      <c r="I12" s="22" t="n">
        <f aca="false">SUMIFS('SKU Data'!$I$2:$I$95,'SKU Data'!$C$2:$C$95,$A12)</f>
        <v>73.95</v>
      </c>
      <c r="J12" s="22" t="n">
        <f aca="false">SUMIFS('SKU Data'!$H$2:$H$95,'SKU Data'!$C$2:$C$95,$A12)</f>
        <v>0</v>
      </c>
      <c r="K12" s="21" t="n">
        <f aca="false">J12/Settings!$B$18</f>
        <v>0</v>
      </c>
      <c r="L12" s="23" t="n">
        <f aca="false">J12/Settings!$B$15</f>
        <v>0</v>
      </c>
      <c r="M12" s="24" t="str">
        <f aca="false">IF(AND(C12&gt;=Settings!$B$4,D12&gt;=Settings!$B$5,H12&gt;=Settings!$B$6),"HIGH RATE",IF(AND(C12&gt;=Settings!$B$4,H12&lt;=-Settings!$B$6),"BELOW AVG",""))</f>
        <v/>
      </c>
      <c r="N12" s="30" t="s">
        <v>71</v>
      </c>
      <c r="O12" s="30" t="s">
        <v>72</v>
      </c>
      <c r="P12" s="30" t="s">
        <v>73</v>
      </c>
      <c r="Q12" s="31" t="n">
        <f aca="false">Settings!$B$3</f>
        <v>0.0664935064935065</v>
      </c>
      <c r="R12" s="31" t="n">
        <f aca="false">Settings!$B$14</f>
        <v>0.0749146917947594</v>
      </c>
    </row>
  </sheetData>
  <conditionalFormatting sqref="E5:E12">
    <cfRule type="colorScale" priority="2">
      <colorScale>
        <cfvo type="num" val="0.03"/>
        <cfvo type="num" val="0.07"/>
        <cfvo type="num" val="0.12"/>
        <color rgb="FFC8E6C9"/>
        <color rgb="FFFFFFFF"/>
        <color rgb="FFF08A80"/>
      </colorScale>
    </cfRule>
  </conditionalFormatting>
  <conditionalFormatting sqref="J5:J12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{4EF6B1A0-62F9-4F10-9B10-407B1A7911E7}</x14:id>
        </ext>
      </extLst>
    </cfRule>
  </conditionalFormatting>
  <conditionalFormatting sqref="M5:M12">
    <cfRule type="cellIs" priority="4" operator="equal" aboveAverage="0" equalAverage="0" bottom="0" percent="0" rank="0" text="" dxfId="1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F6B1A0-62F9-4F10-9B10-407B1A7911E7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J5:J12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9" min="6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26" t="s">
        <v>74</v>
      </c>
    </row>
    <row r="2" customFormat="false" ht="30" hidden="false" customHeight="true" outlineLevel="0" collapsed="false">
      <c r="A2" s="32" t="s">
        <v>75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4" customFormat="false" ht="45.75" hidden="false" customHeight="true" outlineLevel="0" collapsed="false">
      <c r="A4" s="18" t="s">
        <v>15</v>
      </c>
      <c r="B4" s="18" t="s">
        <v>24</v>
      </c>
      <c r="C4" s="18" t="s">
        <v>16</v>
      </c>
      <c r="D4" s="18" t="s">
        <v>17</v>
      </c>
      <c r="E4" s="18" t="s">
        <v>18</v>
      </c>
      <c r="F4" s="18" t="s">
        <v>19</v>
      </c>
      <c r="G4" s="18" t="s">
        <v>76</v>
      </c>
      <c r="H4" s="18" t="s">
        <v>20</v>
      </c>
      <c r="I4" s="18" t="s">
        <v>21</v>
      </c>
      <c r="J4" s="18" t="s">
        <v>22</v>
      </c>
      <c r="K4" s="18" t="s">
        <v>77</v>
      </c>
      <c r="L4" s="18" t="s">
        <v>23</v>
      </c>
      <c r="M4" s="18" t="s">
        <v>31</v>
      </c>
      <c r="N4" s="18" t="s">
        <v>32</v>
      </c>
      <c r="O4" s="18" t="s">
        <v>33</v>
      </c>
      <c r="P4" s="18" t="s">
        <v>36</v>
      </c>
    </row>
    <row r="5" customFormat="false" ht="15" hidden="false" customHeight="false" outlineLevel="0" collapsed="false">
      <c r="A5" s="19" t="n">
        <v>1</v>
      </c>
      <c r="B5" s="24" t="str">
        <f aca="false">IFERROR(INDEX('SKU Data'!$X$2:$X$95,MATCH($A5,'SKU Data'!$W$2:$W$95,0)),"")</f>
        <v>1 - Fix first</v>
      </c>
      <c r="C5" s="19" t="str">
        <f aca="false">IFERROR(INDEX('SKU Data'!$A$2:$A$95,MATCH($A5,'SKU Data'!$W$2:$W$95,0)),"")</f>
        <v>DC-02B</v>
      </c>
      <c r="D5" s="19" t="str">
        <f aca="false">IFERROR(INDEX('SKU Data'!$B$2:$B$95,MATCH($A5,'SKU Data'!$W$2:$W$95,0)),"")</f>
        <v>Birthday Designer Collection II</v>
      </c>
      <c r="E5" s="19" t="str">
        <f aca="false">IFERROR(INDEX('SKU Data'!$C$2:$C$95,MATCH($A5,'SKU Data'!$W$2:$W$95,0)),"")</f>
        <v>Birthday</v>
      </c>
      <c r="F5" s="20" t="n">
        <f aca="false">IFERROR(INDEX('SKU Data'!$E$2:$E$95,MATCH($A5,'SKU Data'!$W$2:$W$95,0)),"")</f>
        <v>223</v>
      </c>
      <c r="G5" s="20" t="n">
        <f aca="false">IFERROR(INDEX('SKU Data'!$F$2:$F$95,MATCH($A5,'SKU Data'!$W$2:$W$95,0)),"")</f>
        <v>28</v>
      </c>
      <c r="H5" s="20" t="n">
        <f aca="false">IFERROR(INDEX('SKU Data'!$J$2:$J$95,MATCH($A5,'SKU Data'!$W$2:$W$95,0)),"")</f>
        <v>25</v>
      </c>
      <c r="I5" s="21" t="n">
        <f aca="false">IFERROR(INDEX('SKU Data'!$L$2:$L$95,MATCH($A5,'SKU Data'!$W$2:$W$95,0)),"")</f>
        <v>0.112107623318386</v>
      </c>
      <c r="J5" s="22" t="n">
        <f aca="false">IFERROR(INDEX('SKU Data'!$H$2:$H$95,MATCH($A5,'SKU Data'!$W$2:$W$95,0)),"")</f>
        <v>2889.28</v>
      </c>
      <c r="K5" s="33" t="n">
        <f aca="false">IFERROR(INDEX('SKU Data'!$N$2:$N$95,MATCH($A5,'SKU Data'!$W$2:$W$95,0)),"")</f>
        <v>0.00174630737657623</v>
      </c>
      <c r="L5" s="23" t="n">
        <f aca="false">IFERROR(INDEX('SKU Data'!$O$2:$O$95,MATCH($A5,'SKU Data'!$W$2:$W$95,0)),"")</f>
        <v>0.000224301128202116</v>
      </c>
      <c r="M5" s="28" t="n">
        <f aca="false">IFERROR(I5/Settings!$B$3,"")</f>
        <v>1.68599355381166</v>
      </c>
      <c r="N5" s="28" t="n">
        <f aca="false">IFERROR(INDEX('SKU Data'!$AF$2:$AF$95,MATCH($A5,'SKU Data'!$W$2:$W$95,0)),"")</f>
        <v>1.4964704603674</v>
      </c>
      <c r="O5" s="29" t="n">
        <f aca="false">IFERROR(INDEX('SKU Data'!$Q$2:$Q$95,MATCH($A5,'SKU Data'!$W$2:$W$95,0)),"")</f>
        <v>2.73403086134725</v>
      </c>
      <c r="P5" s="24" t="str">
        <f aca="false">IFERROR(INDEX('SKU Data'!$Y$2:$Y$95,MATCH($A5,'SKU Data'!$W$2:$W$95,0)),"")</f>
        <v/>
      </c>
    </row>
    <row r="6" customFormat="false" ht="15" hidden="false" customHeight="false" outlineLevel="0" collapsed="false">
      <c r="A6" s="19" t="n">
        <v>2</v>
      </c>
      <c r="B6" s="24" t="str">
        <f aca="false">IFERROR(INDEX('SKU Data'!$X$2:$X$95,MATCH($A6,'SKU Data'!$W$2:$W$95,0)),"")</f>
        <v>1 - Fix first</v>
      </c>
      <c r="C6" s="19" t="str">
        <f aca="false">IFERROR(INDEX('SKU Data'!$A$2:$A$95,MATCH($A6,'SKU Data'!$W$2:$W$95,0)),"")</f>
        <v>DC-02S</v>
      </c>
      <c r="D6" s="19" t="str">
        <f aca="false">IFERROR(INDEX('SKU Data'!$B$2:$B$95,MATCH($A6,'SKU Data'!$W$2:$W$95,0)),"")</f>
        <v>Designer Sympathy Collection II</v>
      </c>
      <c r="E6" s="19" t="str">
        <f aca="false">IFERROR(INDEX('SKU Data'!$C$2:$C$95,MATCH($A6,'SKU Data'!$W$2:$W$95,0)),"")</f>
        <v>Sympathy</v>
      </c>
      <c r="F6" s="20" t="n">
        <f aca="false">IFERROR(INDEX('SKU Data'!$E$2:$E$95,MATCH($A6,'SKU Data'!$W$2:$W$95,0)),"")</f>
        <v>849</v>
      </c>
      <c r="G6" s="20" t="n">
        <f aca="false">IFERROR(INDEX('SKU Data'!$F$2:$F$95,MATCH($A6,'SKU Data'!$W$2:$W$95,0)),"")</f>
        <v>62</v>
      </c>
      <c r="H6" s="20" t="n">
        <f aca="false">IFERROR(INDEX('SKU Data'!$J$2:$J$95,MATCH($A6,'SKU Data'!$W$2:$W$95,0)),"")</f>
        <v>59</v>
      </c>
      <c r="I6" s="21" t="n">
        <f aca="false">IFERROR(INDEX('SKU Data'!$L$2:$L$95,MATCH($A6,'SKU Data'!$W$2:$W$95,0)),"")</f>
        <v>0.0694935217903416</v>
      </c>
      <c r="J6" s="22" t="n">
        <f aca="false">IFERROR(INDEX('SKU Data'!$H$2:$H$95,MATCH($A6,'SKU Data'!$W$2:$W$95,0)),"")</f>
        <v>6122.41</v>
      </c>
      <c r="K6" s="33" t="n">
        <f aca="false">IFERROR(INDEX('SKU Data'!$N$2:$N$95,MATCH($A6,'SKU Data'!$W$2:$W$95,0)),"")</f>
        <v>0.00370044085219297</v>
      </c>
      <c r="L6" s="23" t="n">
        <f aca="false">IFERROR(INDEX('SKU Data'!$O$2:$O$95,MATCH($A6,'SKU Data'!$W$2:$W$95,0)),"")</f>
        <v>0.000475296084254872</v>
      </c>
      <c r="M6" s="28" t="n">
        <f aca="false">IFERROR(I6/Settings!$B$3,"")</f>
        <v>1.04511741755006</v>
      </c>
      <c r="N6" s="28" t="n">
        <f aca="false">IFERROR(INDEX('SKU Data'!$AF$2:$AF$95,MATCH($A6,'SKU Data'!$W$2:$W$95,0)),"")</f>
        <v>0.927635422711609</v>
      </c>
      <c r="O6" s="29" t="n">
        <f aca="false">IFERROR(INDEX('SKU Data'!$Q$2:$Q$95,MATCH($A6,'SKU Data'!$W$2:$W$95,0)),"")</f>
        <v>0.350856094467529</v>
      </c>
      <c r="P6" s="24" t="str">
        <f aca="false">IFERROR(INDEX('SKU Data'!$Y$2:$Y$95,MATCH($A6,'SKU Data'!$W$2:$W$95,0)),"")</f>
        <v/>
      </c>
    </row>
    <row r="7" customFormat="false" ht="15" hidden="false" customHeight="false" outlineLevel="0" collapsed="false">
      <c r="A7" s="19" t="n">
        <v>3</v>
      </c>
      <c r="B7" s="24" t="str">
        <f aca="false">IFERROR(INDEX('SKU Data'!$X$2:$X$95,MATCH($A7,'SKU Data'!$W$2:$W$95,0)),"")</f>
        <v>1 - Fix first</v>
      </c>
      <c r="C7" s="19" t="str">
        <f aca="false">IFERROR(INDEX('SKU Data'!$A$2:$A$95,MATCH($A7,'SKU Data'!$W$2:$W$95,0)),"")</f>
        <v>AUDNAT-02</v>
      </c>
      <c r="D7" s="19" t="str">
        <f aca="false">IFERROR(INDEX('SKU Data'!$B$2:$B$95,MATCH($A7,'SKU Data'!$W$2:$W$95,0)),"")</f>
        <v>Native Flowers Bouquet Designer Collection II</v>
      </c>
      <c r="E7" s="19" t="str">
        <f aca="false">IFERROR(INDEX('SKU Data'!$C$2:$C$95,MATCH($A7,'SKU Data'!$W$2:$W$95,0)),"")</f>
        <v>Native Flowers</v>
      </c>
      <c r="F7" s="20" t="n">
        <f aca="false">IFERROR(INDEX('SKU Data'!$E$2:$E$95,MATCH($A7,'SKU Data'!$W$2:$W$95,0)),"")</f>
        <v>802</v>
      </c>
      <c r="G7" s="20" t="n">
        <f aca="false">IFERROR(INDEX('SKU Data'!$F$2:$F$95,MATCH($A7,'SKU Data'!$W$2:$W$95,0)),"")</f>
        <v>62</v>
      </c>
      <c r="H7" s="20" t="n">
        <f aca="false">IFERROR(INDEX('SKU Data'!$J$2:$J$95,MATCH($A7,'SKU Data'!$W$2:$W$95,0)),"")</f>
        <v>55</v>
      </c>
      <c r="I7" s="21" t="n">
        <f aca="false">IFERROR(INDEX('SKU Data'!$L$2:$L$95,MATCH($A7,'SKU Data'!$W$2:$W$95,0)),"")</f>
        <v>0.0685785536159601</v>
      </c>
      <c r="J7" s="22" t="n">
        <f aca="false">IFERROR(INDEX('SKU Data'!$H$2:$H$95,MATCH($A7,'SKU Data'!$W$2:$W$95,0)),"")</f>
        <v>6090.57</v>
      </c>
      <c r="K7" s="33" t="n">
        <f aca="false">IFERROR(INDEX('SKU Data'!$N$2:$N$95,MATCH($A7,'SKU Data'!$W$2:$W$95,0)),"")</f>
        <v>0.00368119646367051</v>
      </c>
      <c r="L7" s="23" t="n">
        <f aca="false">IFERROR(INDEX('SKU Data'!$O$2:$O$95,MATCH($A7,'SKU Data'!$W$2:$W$95,0)),"")</f>
        <v>0.000472824275388319</v>
      </c>
      <c r="M7" s="28" t="n">
        <f aca="false">IFERROR(I7/Settings!$B$3,"")</f>
        <v>1.03135715399003</v>
      </c>
      <c r="N7" s="28" t="n">
        <f aca="false">IFERROR(INDEX('SKU Data'!$AF$2:$AF$95,MATCH($A7,'SKU Data'!$W$2:$W$95,0)),"")</f>
        <v>0.915421954932977</v>
      </c>
      <c r="O7" s="29" t="n">
        <f aca="false">IFERROR(INDEX('SKU Data'!$Q$2:$Q$95,MATCH($A7,'SKU Data'!$W$2:$W$95,0)),"")</f>
        <v>0.237003505222971</v>
      </c>
      <c r="P7" s="24" t="str">
        <f aca="false">IFERROR(INDEX('SKU Data'!$Y$2:$Y$95,MATCH($A7,'SKU Data'!$W$2:$W$95,0)),"")</f>
        <v/>
      </c>
    </row>
    <row r="8" customFormat="false" ht="15" hidden="false" customHeight="false" outlineLevel="0" collapsed="false">
      <c r="A8" s="19" t="n">
        <v>4</v>
      </c>
      <c r="B8" s="24" t="str">
        <f aca="false">IFERROR(INDEX('SKU Data'!$X$2:$X$95,MATCH($A8,'SKU Data'!$W$2:$W$95,0)),"")</f>
        <v>1 - Fix first</v>
      </c>
      <c r="C8" s="19" t="str">
        <f aca="false">IFERROR(INDEX('SKU Data'!$A$2:$A$95,MATCH($A8,'SKU Data'!$W$2:$W$95,0)),"")</f>
        <v>DCMJ-01</v>
      </c>
      <c r="D8" s="19" t="str">
        <f aca="false">IFERROR(INDEX('SKU Data'!$B$2:$B$95,MATCH($A8,'SKU Data'!$W$2:$W$95,0)),"")</f>
        <v>Designer Collection Mason Jar I</v>
      </c>
      <c r="E8" s="19" t="str">
        <f aca="false">IFERROR(INDEX('SKU Data'!$C$2:$C$95,MATCH($A8,'SKU Data'!$W$2:$W$95,0)),"")</f>
        <v>Mason Jar</v>
      </c>
      <c r="F8" s="20" t="n">
        <f aca="false">IFERROR(INDEX('SKU Data'!$E$2:$E$95,MATCH($A8,'SKU Data'!$W$2:$W$95,0)),"")</f>
        <v>110</v>
      </c>
      <c r="G8" s="20" t="n">
        <f aca="false">IFERROR(INDEX('SKU Data'!$F$2:$F$95,MATCH($A8,'SKU Data'!$W$2:$W$95,0)),"")</f>
        <v>18</v>
      </c>
      <c r="H8" s="20" t="n">
        <f aca="false">IFERROR(INDEX('SKU Data'!$J$2:$J$95,MATCH($A8,'SKU Data'!$W$2:$W$95,0)),"")</f>
        <v>14</v>
      </c>
      <c r="I8" s="21" t="n">
        <f aca="false">IFERROR(INDEX('SKU Data'!$L$2:$L$95,MATCH($A8,'SKU Data'!$W$2:$W$95,0)),"")</f>
        <v>0.127272727272727</v>
      </c>
      <c r="J8" s="22" t="n">
        <f aca="false">IFERROR(INDEX('SKU Data'!$H$2:$H$95,MATCH($A8,'SKU Data'!$W$2:$W$95,0)),"")</f>
        <v>941.68</v>
      </c>
      <c r="K8" s="33" t="n">
        <f aca="false">IFERROR(INDEX('SKU Data'!$N$2:$N$95,MATCH($A8,'SKU Data'!$W$2:$W$95,0)),"")</f>
        <v>0.000569160043462146</v>
      </c>
      <c r="L8" s="23" t="n">
        <f aca="false">IFERROR(INDEX('SKU Data'!$O$2:$O$95,MATCH($A8,'SKU Data'!$W$2:$W$95,0)),"")</f>
        <v>7.31046788145727E-005</v>
      </c>
      <c r="M8" s="28" t="n">
        <f aca="false">IFERROR(I8/Settings!$B$3,"")</f>
        <v>1.9140625</v>
      </c>
      <c r="N8" s="28" t="n">
        <f aca="false">IFERROR(INDEX('SKU Data'!$AF$2:$AF$95,MATCH($A8,'SKU Data'!$W$2:$W$95,0)),"")</f>
        <v>1.69890210082437</v>
      </c>
      <c r="O8" s="29" t="n">
        <f aca="false">IFERROR(INDEX('SKU Data'!$Q$2:$Q$95,MATCH($A8,'SKU Data'!$W$2:$W$95,0)),"")</f>
        <v>2.55860462708281</v>
      </c>
      <c r="P8" s="24" t="str">
        <f aca="false">IFERROR(INDEX('SKU Data'!$Y$2:$Y$95,MATCH($A8,'SKU Data'!$W$2:$W$95,0)),"")</f>
        <v/>
      </c>
    </row>
    <row r="9" customFormat="false" ht="15" hidden="false" customHeight="false" outlineLevel="0" collapsed="false">
      <c r="A9" s="19" t="n">
        <v>5</v>
      </c>
      <c r="B9" s="24" t="str">
        <f aca="false">IFERROR(INDEX('SKU Data'!$X$2:$X$95,MATCH($A9,'SKU Data'!$W$2:$W$95,0)),"")</f>
        <v>1 - Fix first</v>
      </c>
      <c r="C9" s="19" t="str">
        <f aca="false">IFERROR(INDEX('SKU Data'!$A$2:$A$95,MATCH($A9,'SKU Data'!$W$2:$W$95,0)),"")</f>
        <v>AUDNAT-03</v>
      </c>
      <c r="D9" s="19" t="str">
        <f aca="false">IFERROR(INDEX('SKU Data'!$B$2:$B$95,MATCH($A9,'SKU Data'!$W$2:$W$95,0)),"")</f>
        <v>Native Flowers Bouquet Designer Collection III</v>
      </c>
      <c r="E9" s="19" t="str">
        <f aca="false">IFERROR(INDEX('SKU Data'!$C$2:$C$95,MATCH($A9,'SKU Data'!$W$2:$W$95,0)),"")</f>
        <v>Native Flowers</v>
      </c>
      <c r="F9" s="20" t="n">
        <f aca="false">IFERROR(INDEX('SKU Data'!$E$2:$E$95,MATCH($A9,'SKU Data'!$W$2:$W$95,0)),"")</f>
        <v>353</v>
      </c>
      <c r="G9" s="20" t="n">
        <f aca="false">IFERROR(INDEX('SKU Data'!$F$2:$F$95,MATCH($A9,'SKU Data'!$W$2:$W$95,0)),"")</f>
        <v>31</v>
      </c>
      <c r="H9" s="20" t="n">
        <f aca="false">IFERROR(INDEX('SKU Data'!$J$2:$J$95,MATCH($A9,'SKU Data'!$W$2:$W$95,0)),"")</f>
        <v>25</v>
      </c>
      <c r="I9" s="21" t="n">
        <f aca="false">IFERROR(INDEX('SKU Data'!$L$2:$L$95,MATCH($A9,'SKU Data'!$W$2:$W$95,0)),"")</f>
        <v>0.0708215297450425</v>
      </c>
      <c r="J9" s="22" t="n">
        <f aca="false">IFERROR(INDEX('SKU Data'!$H$2:$H$95,MATCH($A9,'SKU Data'!$W$2:$W$95,0)),"")</f>
        <v>4128.81</v>
      </c>
      <c r="K9" s="33" t="n">
        <f aca="false">IFERROR(INDEX('SKU Data'!$N$2:$N$95,MATCH($A9,'SKU Data'!$W$2:$W$95,0)),"")</f>
        <v>0.00249549069646477</v>
      </c>
      <c r="L9" s="23" t="n">
        <f aca="false">IFERROR(INDEX('SKU Data'!$O$2:$O$95,MATCH($A9,'SKU Data'!$W$2:$W$95,0)),"")</f>
        <v>0.000320528554218414</v>
      </c>
      <c r="M9" s="28" t="n">
        <f aca="false">IFERROR(I9/Settings!$B$3,"")</f>
        <v>1.0650894121813</v>
      </c>
      <c r="N9" s="28" t="n">
        <f aca="false">IFERROR(INDEX('SKU Data'!$AF$2:$AF$95,MATCH($A9,'SKU Data'!$W$2:$W$95,0)),"")</f>
        <v>0.945362358815668</v>
      </c>
      <c r="O9" s="29" t="n">
        <f aca="false">IFERROR(INDEX('SKU Data'!$Q$2:$Q$95,MATCH($A9,'SKU Data'!$W$2:$W$95,0)),"")</f>
        <v>0.326383840540986</v>
      </c>
      <c r="P9" s="24" t="str">
        <f aca="false">IFERROR(INDEX('SKU Data'!$Y$2:$Y$95,MATCH($A9,'SKU Data'!$W$2:$W$95,0)),"")</f>
        <v/>
      </c>
    </row>
    <row r="10" customFormat="false" ht="15" hidden="false" customHeight="false" outlineLevel="0" collapsed="false">
      <c r="A10" s="19" t="n">
        <v>6</v>
      </c>
      <c r="B10" s="24" t="str">
        <f aca="false">IFERROR(INDEX('SKU Data'!$X$2:$X$95,MATCH($A10,'SKU Data'!$W$2:$W$95,0)),"")</f>
        <v>1 - Fix first</v>
      </c>
      <c r="C10" s="19" t="str">
        <f aca="false">IFERROR(INDEX('SKU Data'!$A$2:$A$95,MATCH($A10,'SKU Data'!$W$2:$W$95,0)),"")</f>
        <v>DCB-02</v>
      </c>
      <c r="D10" s="19" t="str">
        <f aca="false">IFERROR(INDEX('SKU Data'!$B$2:$B$95,MATCH($A10,'SKU Data'!$W$2:$W$95,0)),"")</f>
        <v>Birthday Designer Collection II</v>
      </c>
      <c r="E10" s="19" t="str">
        <f aca="false">IFERROR(INDEX('SKU Data'!$C$2:$C$95,MATCH($A10,'SKU Data'!$W$2:$W$95,0)),"")</f>
        <v>Birthday</v>
      </c>
      <c r="F10" s="20" t="n">
        <f aca="false">IFERROR(INDEX('SKU Data'!$E$2:$E$95,MATCH($A10,'SKU Data'!$W$2:$W$95,0)),"")</f>
        <v>87</v>
      </c>
      <c r="G10" s="20" t="n">
        <f aca="false">IFERROR(INDEX('SKU Data'!$F$2:$F$95,MATCH($A10,'SKU Data'!$W$2:$W$95,0)),"")</f>
        <v>12</v>
      </c>
      <c r="H10" s="20" t="n">
        <f aca="false">IFERROR(INDEX('SKU Data'!$J$2:$J$95,MATCH($A10,'SKU Data'!$W$2:$W$95,0)),"")</f>
        <v>10</v>
      </c>
      <c r="I10" s="21" t="n">
        <f aca="false">IFERROR(INDEX('SKU Data'!$L$2:$L$95,MATCH($A10,'SKU Data'!$W$2:$W$95,0)),"")</f>
        <v>0.114942528735632</v>
      </c>
      <c r="J10" s="22" t="n">
        <f aca="false">IFERROR(INDEX('SKU Data'!$H$2:$H$95,MATCH($A10,'SKU Data'!$W$2:$W$95,0)),"")</f>
        <v>1216.35</v>
      </c>
      <c r="K10" s="33" t="n">
        <f aca="false">IFERROR(INDEX('SKU Data'!$N$2:$N$95,MATCH($A10,'SKU Data'!$W$2:$W$95,0)),"")</f>
        <v>0.000735173114927769</v>
      </c>
      <c r="L10" s="23" t="n">
        <f aca="false">IFERROR(INDEX('SKU Data'!$O$2:$O$95,MATCH($A10,'SKU Data'!$W$2:$W$95,0)),"")</f>
        <v>9.44279118979966E-005</v>
      </c>
      <c r="M10" s="28" t="n">
        <f aca="false">IFERROR(I10/Settings!$B$3,"")</f>
        <v>1.72862787356322</v>
      </c>
      <c r="N10" s="28" t="n">
        <f aca="false">IFERROR(INDEX('SKU Data'!$AF$2:$AF$95,MATCH($A10,'SKU Data'!$W$2:$W$95,0)),"")</f>
        <v>1.53431224212382</v>
      </c>
      <c r="O10" s="29" t="n">
        <f aca="false">IFERROR(INDEX('SKU Data'!$Q$2:$Q$95,MATCH($A10,'SKU Data'!$W$2:$W$95,0)),"")</f>
        <v>1.81382905196917</v>
      </c>
      <c r="P10" s="24" t="str">
        <f aca="false">IFERROR(INDEX('SKU Data'!$Y$2:$Y$95,MATCH($A10,'SKU Data'!$W$2:$W$95,0)),"")</f>
        <v/>
      </c>
    </row>
    <row r="11" customFormat="false" ht="15" hidden="false" customHeight="false" outlineLevel="0" collapsed="false">
      <c r="A11" s="19" t="n">
        <v>7</v>
      </c>
      <c r="B11" s="24" t="str">
        <f aca="false">IFERROR(INDEX('SKU Data'!$X$2:$X$95,MATCH($A11,'SKU Data'!$W$2:$W$95,0)),"")</f>
        <v>1 - Fix first</v>
      </c>
      <c r="C11" s="19" t="str">
        <f aca="false">IFERROR(INDEX('SKU Data'!$A$2:$A$95,MATCH($A11,'SKU Data'!$W$2:$W$95,0)),"")</f>
        <v>DCB-01C</v>
      </c>
      <c r="D11" s="19" t="str">
        <f aca="false">IFERROR(INDEX('SKU Data'!$B$2:$B$95,MATCH($A11,'SKU Data'!$W$2:$W$95,0)),"")</f>
        <v>Birthday Designer Collection I Combo</v>
      </c>
      <c r="E11" s="19" t="str">
        <f aca="false">IFERROR(INDEX('SKU Data'!$C$2:$C$95,MATCH($A11,'SKU Data'!$W$2:$W$95,0)),"")</f>
        <v>Birthday</v>
      </c>
      <c r="F11" s="20" t="n">
        <f aca="false">IFERROR(INDEX('SKU Data'!$E$2:$E$95,MATCH($A11,'SKU Data'!$W$2:$W$95,0)),"")</f>
        <v>95</v>
      </c>
      <c r="G11" s="20" t="n">
        <f aca="false">IFERROR(INDEX('SKU Data'!$F$2:$F$95,MATCH($A11,'SKU Data'!$W$2:$W$95,0)),"")</f>
        <v>12</v>
      </c>
      <c r="H11" s="20" t="n">
        <f aca="false">IFERROR(INDEX('SKU Data'!$J$2:$J$95,MATCH($A11,'SKU Data'!$W$2:$W$95,0)),"")</f>
        <v>10</v>
      </c>
      <c r="I11" s="21" t="n">
        <f aca="false">IFERROR(INDEX('SKU Data'!$L$2:$L$95,MATCH($A11,'SKU Data'!$W$2:$W$95,0)),"")</f>
        <v>0.105263157894737</v>
      </c>
      <c r="J11" s="22" t="n">
        <f aca="false">IFERROR(INDEX('SKU Data'!$H$2:$H$95,MATCH($A11,'SKU Data'!$W$2:$W$95,0)),"")</f>
        <v>957.93</v>
      </c>
      <c r="K11" s="33" t="n">
        <f aca="false">IFERROR(INDEX('SKU Data'!$N$2:$N$95,MATCH($A11,'SKU Data'!$W$2:$W$95,0)),"")</f>
        <v>0.000578981692755175</v>
      </c>
      <c r="L11" s="23" t="n">
        <f aca="false">IFERROR(INDEX('SKU Data'!$O$2:$O$95,MATCH($A11,'SKU Data'!$W$2:$W$95,0)),"")</f>
        <v>7.43662018698959E-005</v>
      </c>
      <c r="M11" s="28" t="n">
        <f aca="false">IFERROR(I11/Settings!$B$3,"")</f>
        <v>1.58305921052632</v>
      </c>
      <c r="N11" s="28" t="n">
        <f aca="false">IFERROR(INDEX('SKU Data'!$AF$2:$AF$95,MATCH($A11,'SKU Data'!$W$2:$W$95,0)),"")</f>
        <v>1.40510700068181</v>
      </c>
      <c r="O11" s="29" t="n">
        <f aca="false">IFERROR(INDEX('SKU Data'!$Q$2:$Q$95,MATCH($A11,'SKU Data'!$W$2:$W$95,0)),"")</f>
        <v>1.51671998462451</v>
      </c>
      <c r="P11" s="24" t="str">
        <f aca="false">IFERROR(INDEX('SKU Data'!$Y$2:$Y$95,MATCH($A11,'SKU Data'!$W$2:$W$95,0)),"")</f>
        <v/>
      </c>
    </row>
    <row r="12" customFormat="false" ht="15" hidden="false" customHeight="false" outlineLevel="0" collapsed="false">
      <c r="A12" s="19" t="n">
        <v>8</v>
      </c>
      <c r="B12" s="24" t="str">
        <f aca="false">IFERROR(INDEX('SKU Data'!$X$2:$X$95,MATCH($A12,'SKU Data'!$W$2:$W$95,0)),"")</f>
        <v>1 - Fix first</v>
      </c>
      <c r="C12" s="19" t="str">
        <f aca="false">IFERROR(INDEX('SKU Data'!$A$2:$A$95,MATCH($A12,'SKU Data'!$W$2:$W$95,0)),"")</f>
        <v>AUDNAT-01</v>
      </c>
      <c r="D12" s="19" t="str">
        <f aca="false">IFERROR(INDEX('SKU Data'!$B$2:$B$95,MATCH($A12,'SKU Data'!$W$2:$W$95,0)),"")</f>
        <v>Native Flowers Bouquet Designer Collection I</v>
      </c>
      <c r="E12" s="19" t="str">
        <f aca="false">IFERROR(INDEX('SKU Data'!$C$2:$C$95,MATCH($A12,'SKU Data'!$W$2:$W$95,0)),"")</f>
        <v>Native Flowers</v>
      </c>
      <c r="F12" s="20" t="n">
        <f aca="false">IFERROR(INDEX('SKU Data'!$E$2:$E$95,MATCH($A12,'SKU Data'!$W$2:$W$95,0)),"")</f>
        <v>374</v>
      </c>
      <c r="G12" s="20" t="n">
        <f aca="false">IFERROR(INDEX('SKU Data'!$F$2:$F$95,MATCH($A12,'SKU Data'!$W$2:$W$95,0)),"")</f>
        <v>34</v>
      </c>
      <c r="H12" s="20" t="n">
        <f aca="false">IFERROR(INDEX('SKU Data'!$J$2:$J$95,MATCH($A12,'SKU Data'!$W$2:$W$95,0)),"")</f>
        <v>26</v>
      </c>
      <c r="I12" s="21" t="n">
        <f aca="false">IFERROR(INDEX('SKU Data'!$L$2:$L$95,MATCH($A12,'SKU Data'!$W$2:$W$95,0)),"")</f>
        <v>0.0695187165775401</v>
      </c>
      <c r="J12" s="22" t="n">
        <f aca="false">IFERROR(INDEX('SKU Data'!$H$2:$H$95,MATCH($A12,'SKU Data'!$W$2:$W$95,0)),"")</f>
        <v>2872.37</v>
      </c>
      <c r="K12" s="33" t="n">
        <f aca="false">IFERROR(INDEX('SKU Data'!$N$2:$N$95,MATCH($A12,'SKU Data'!$W$2:$W$95,0)),"")</f>
        <v>0.00173608681721961</v>
      </c>
      <c r="L12" s="23" t="n">
        <f aca="false">IFERROR(INDEX('SKU Data'!$O$2:$O$95,MATCH($A12,'SKU Data'!$W$2:$W$95,0)),"")</f>
        <v>0.0002229883679027</v>
      </c>
      <c r="M12" s="28" t="n">
        <f aca="false">IFERROR(I12/Settings!$B$3,"")</f>
        <v>1.04549632352941</v>
      </c>
      <c r="N12" s="28" t="n">
        <f aca="false">IFERROR(INDEX('SKU Data'!$AF$2:$AF$95,MATCH($A12,'SKU Data'!$W$2:$W$95,0)),"")</f>
        <v>0.927971735744406</v>
      </c>
      <c r="O12" s="29" t="n">
        <f aca="false">IFERROR(INDEX('SKU Data'!$Q$2:$Q$95,MATCH($A12,'SKU Data'!$W$2:$W$95,0)),"")</f>
        <v>0.234824307862695</v>
      </c>
      <c r="P12" s="24" t="str">
        <f aca="false">IFERROR(INDEX('SKU Data'!$Y$2:$Y$95,MATCH($A12,'SKU Data'!$W$2:$W$95,0)),"")</f>
        <v/>
      </c>
    </row>
    <row r="13" customFormat="false" ht="15" hidden="false" customHeight="false" outlineLevel="0" collapsed="false">
      <c r="A13" s="19" t="n">
        <v>9</v>
      </c>
      <c r="B13" s="24" t="str">
        <f aca="false">IFERROR(INDEX('SKU Data'!$X$2:$X$95,MATCH($A13,'SKU Data'!$W$2:$W$95,0)),"")</f>
        <v>1 - Fix first</v>
      </c>
      <c r="C13" s="19" t="str">
        <f aca="false">IFERROR(INDEX('SKU Data'!$A$2:$A$95,MATCH($A13,'SKU Data'!$W$2:$W$95,0)),"")</f>
        <v>DCA-02-00</v>
      </c>
      <c r="D13" s="19" t="str">
        <f aca="false">IFERROR(INDEX('SKU Data'!$B$2:$B$95,MATCH($A13,'SKU Data'!$W$2:$W$95,0)),"")</f>
        <v>Anniversary Designer Collection II</v>
      </c>
      <c r="E13" s="19" t="str">
        <f aca="false">IFERROR(INDEX('SKU Data'!$C$2:$C$95,MATCH($A13,'SKU Data'!$W$2:$W$95,0)),"")</f>
        <v>Anniversary</v>
      </c>
      <c r="F13" s="20" t="n">
        <f aca="false">IFERROR(INDEX('SKU Data'!$E$2:$E$95,MATCH($A13,'SKU Data'!$W$2:$W$95,0)),"")</f>
        <v>36</v>
      </c>
      <c r="G13" s="20" t="n">
        <f aca="false">IFERROR(INDEX('SKU Data'!$F$2:$F$95,MATCH($A13,'SKU Data'!$W$2:$W$95,0)),"")</f>
        <v>8</v>
      </c>
      <c r="H13" s="20" t="n">
        <f aca="false">IFERROR(INDEX('SKU Data'!$J$2:$J$95,MATCH($A13,'SKU Data'!$W$2:$W$95,0)),"")</f>
        <v>8</v>
      </c>
      <c r="I13" s="21" t="n">
        <f aca="false">IFERROR(INDEX('SKU Data'!$L$2:$L$95,MATCH($A13,'SKU Data'!$W$2:$W$95,0)),"")</f>
        <v>0.222222222222222</v>
      </c>
      <c r="J13" s="22" t="n">
        <f aca="false">IFERROR(INDEX('SKU Data'!$H$2:$H$95,MATCH($A13,'SKU Data'!$W$2:$W$95,0)),"")</f>
        <v>735.3</v>
      </c>
      <c r="K13" s="33" t="n">
        <f aca="false">IFERROR(INDEX('SKU Data'!$N$2:$N$95,MATCH($A13,'SKU Data'!$W$2:$W$95,0)),"")</f>
        <v>0.000444422075394737</v>
      </c>
      <c r="L13" s="23" t="n">
        <f aca="false">IFERROR(INDEX('SKU Data'!$O$2:$O$95,MATCH($A13,'SKU Data'!$W$2:$W$95,0)),"")</f>
        <v>5.70829478510272E-005</v>
      </c>
      <c r="M13" s="28" t="n">
        <f aca="false">IFERROR(I13/Settings!$B$3,"")</f>
        <v>3.34201388888889</v>
      </c>
      <c r="N13" s="28" t="n">
        <f aca="false">IFERROR(INDEX('SKU Data'!$AF$2:$AF$95,MATCH($A13,'SKU Data'!$W$2:$W$95,0)),"")</f>
        <v>2.96633700143938</v>
      </c>
      <c r="O13" s="29" t="n">
        <f aca="false">IFERROR(INDEX('SKU Data'!$Q$2:$Q$95,MATCH($A13,'SKU Data'!$W$2:$W$95,0)),"")</f>
        <v>3.75034881619314</v>
      </c>
      <c r="P13" s="24" t="str">
        <f aca="false">IFERROR(INDEX('SKU Data'!$Y$2:$Y$95,MATCH($A13,'SKU Data'!$W$2:$W$95,0)),"")</f>
        <v>HIGH RATE</v>
      </c>
    </row>
    <row r="14" customFormat="false" ht="15" hidden="false" customHeight="false" outlineLevel="0" collapsed="false">
      <c r="A14" s="19" t="n">
        <v>10</v>
      </c>
      <c r="B14" s="24" t="str">
        <f aca="false">IFERROR(INDEX('SKU Data'!$X$2:$X$95,MATCH($A14,'SKU Data'!$W$2:$W$95,0)),"")</f>
        <v>1 - Fix first</v>
      </c>
      <c r="C14" s="19" t="str">
        <f aca="false">IFERROR(INDEX('SKU Data'!$A$2:$A$95,MATCH($A14,'SKU Data'!$W$2:$W$95,0)),"")</f>
        <v>DCS-02</v>
      </c>
      <c r="D14" s="19" t="str">
        <f aca="false">IFERROR(INDEX('SKU Data'!$B$2:$B$95,MATCH($A14,'SKU Data'!$W$2:$W$95,0)),"")</f>
        <v>Designer Sympathy Collection II</v>
      </c>
      <c r="E14" s="19" t="str">
        <f aca="false">IFERROR(INDEX('SKU Data'!$C$2:$C$95,MATCH($A14,'SKU Data'!$W$2:$W$95,0)),"")</f>
        <v>Sympathy</v>
      </c>
      <c r="F14" s="20" t="n">
        <f aca="false">IFERROR(INDEX('SKU Data'!$E$2:$E$95,MATCH($A14,'SKU Data'!$W$2:$W$95,0)),"")</f>
        <v>79</v>
      </c>
      <c r="G14" s="20" t="n">
        <f aca="false">IFERROR(INDEX('SKU Data'!$F$2:$F$95,MATCH($A14,'SKU Data'!$W$2:$W$95,0)),"")</f>
        <v>8</v>
      </c>
      <c r="H14" s="20" t="n">
        <f aca="false">IFERROR(INDEX('SKU Data'!$J$2:$J$95,MATCH($A14,'SKU Data'!$W$2:$W$95,0)),"")</f>
        <v>7</v>
      </c>
      <c r="I14" s="21" t="n">
        <f aca="false">IFERROR(INDEX('SKU Data'!$L$2:$L$95,MATCH($A14,'SKU Data'!$W$2:$W$95,0)),"")</f>
        <v>0.0886075949367089</v>
      </c>
      <c r="J14" s="22" t="n">
        <f aca="false">IFERROR(INDEX('SKU Data'!$H$2:$H$95,MATCH($A14,'SKU Data'!$W$2:$W$95,0)),"")</f>
        <v>798.41</v>
      </c>
      <c r="K14" s="33" t="n">
        <f aca="false">IFERROR(INDEX('SKU Data'!$N$2:$N$95,MATCH($A14,'SKU Data'!$W$2:$W$95,0)),"")</f>
        <v>0.000482566339202927</v>
      </c>
      <c r="L14" s="23" t="n">
        <f aca="false">IFERROR(INDEX('SKU Data'!$O$2:$O$95,MATCH($A14,'SKU Data'!$W$2:$W$95,0)),"")</f>
        <v>6.19823152369626E-005</v>
      </c>
      <c r="M14" s="28" t="n">
        <f aca="false">IFERROR(I14/Settings!$B$3,"")</f>
        <v>1.33257515822785</v>
      </c>
      <c r="N14" s="28" t="n">
        <f aca="false">IFERROR(INDEX('SKU Data'!$AF$2:$AF$95,MATCH($A14,'SKU Data'!$W$2:$W$95,0)),"")</f>
        <v>1.18277994361191</v>
      </c>
      <c r="O14" s="29" t="n">
        <f aca="false">IFERROR(INDEX('SKU Data'!$Q$2:$Q$95,MATCH($A14,'SKU Data'!$W$2:$W$95,0)),"")</f>
        <v>0.788922420096286</v>
      </c>
      <c r="P14" s="24" t="str">
        <f aca="false">IFERROR(INDEX('SKU Data'!$Y$2:$Y$95,MATCH($A14,'SKU Data'!$W$2:$W$95,0)),"")</f>
        <v/>
      </c>
    </row>
    <row r="15" customFormat="false" ht="15" hidden="false" customHeight="false" outlineLevel="0" collapsed="false">
      <c r="A15" s="19" t="n">
        <v>11</v>
      </c>
      <c r="B15" s="24" t="str">
        <f aca="false">IFERROR(INDEX('SKU Data'!$X$2:$X$95,MATCH($A15,'SKU Data'!$W$2:$W$95,0)),"")</f>
        <v>2 - Review</v>
      </c>
      <c r="C15" s="19" t="str">
        <f aca="false">IFERROR(INDEX('SKU Data'!$A$2:$A$95,MATCH($A15,'SKU Data'!$W$2:$W$95,0)),"")</f>
        <v>DCMJ-03A</v>
      </c>
      <c r="D15" s="19" t="str">
        <f aca="false">IFERROR(INDEX('SKU Data'!$B$2:$B$95,MATCH($A15,'SKU Data'!$W$2:$W$95,0)),"")</f>
        <v>Designer Collection Mason Jar III</v>
      </c>
      <c r="E15" s="19" t="str">
        <f aca="false">IFERROR(INDEX('SKU Data'!$C$2:$C$95,MATCH($A15,'SKU Data'!$W$2:$W$95,0)),"")</f>
        <v>Mason Jar</v>
      </c>
      <c r="F15" s="20" t="n">
        <f aca="false">IFERROR(INDEX('SKU Data'!$E$2:$E$95,MATCH($A15,'SKU Data'!$W$2:$W$95,0)),"")</f>
        <v>108</v>
      </c>
      <c r="G15" s="20" t="n">
        <f aca="false">IFERROR(INDEX('SKU Data'!$F$2:$F$95,MATCH($A15,'SKU Data'!$W$2:$W$95,0)),"")</f>
        <v>10</v>
      </c>
      <c r="H15" s="20" t="n">
        <f aca="false">IFERROR(INDEX('SKU Data'!$J$2:$J$95,MATCH($A15,'SKU Data'!$W$2:$W$95,0)),"")</f>
        <v>8</v>
      </c>
      <c r="I15" s="21" t="n">
        <f aca="false">IFERROR(INDEX('SKU Data'!$L$2:$L$95,MATCH($A15,'SKU Data'!$W$2:$W$95,0)),"")</f>
        <v>0.0740740740740741</v>
      </c>
      <c r="J15" s="22" t="n">
        <f aca="false">IFERROR(INDEX('SKU Data'!$H$2:$H$95,MATCH($A15,'SKU Data'!$W$2:$W$95,0)),"")</f>
        <v>762.09</v>
      </c>
      <c r="K15" s="33" t="n">
        <f aca="false">IFERROR(INDEX('SKU Data'!$N$2:$N$95,MATCH($A15,'SKU Data'!$W$2:$W$95,0)),"")</f>
        <v>0.000460614197521522</v>
      </c>
      <c r="L15" s="23" t="n">
        <f aca="false">IFERROR(INDEX('SKU Data'!$O$2:$O$95,MATCH($A15,'SKU Data'!$W$2:$W$95,0)),"")</f>
        <v>5.91627141680801E-005</v>
      </c>
      <c r="M15" s="28" t="n">
        <f aca="false">IFERROR(I15/Settings!$B$3,"")</f>
        <v>1.11400462962963</v>
      </c>
      <c r="N15" s="28" t="n">
        <f aca="false">IFERROR(INDEX('SKU Data'!$AF$2:$AF$95,MATCH($A15,'SKU Data'!$W$2:$W$95,0)),"")</f>
        <v>0.988779000479794</v>
      </c>
      <c r="O15" s="29" t="n">
        <f aca="false">IFERROR(INDEX('SKU Data'!$Q$2:$Q$95,MATCH($A15,'SKU Data'!$W$2:$W$95,0)),"")</f>
        <v>0.316202509281741</v>
      </c>
      <c r="P15" s="24" t="str">
        <f aca="false">IFERROR(INDEX('SKU Data'!$Y$2:$Y$95,MATCH($A15,'SKU Data'!$W$2:$W$95,0)),"")</f>
        <v/>
      </c>
    </row>
    <row r="16" customFormat="false" ht="15" hidden="false" customHeight="false" outlineLevel="0" collapsed="false">
      <c r="A16" s="19" t="n">
        <v>12</v>
      </c>
      <c r="B16" s="24" t="str">
        <f aca="false">IFERROR(INDEX('SKU Data'!$X$2:$X$95,MATCH($A16,'SKU Data'!$W$2:$W$95,0)),"")</f>
        <v>2 - Review</v>
      </c>
      <c r="C16" s="19" t="str">
        <f aca="false">IFERROR(INDEX('SKU Data'!$A$2:$A$95,MATCH($A16,'SKU Data'!$W$2:$W$95,0)),"")</f>
        <v>DCS-01</v>
      </c>
      <c r="D16" s="19" t="str">
        <f aca="false">IFERROR(INDEX('SKU Data'!$B$2:$B$95,MATCH($A16,'SKU Data'!$W$2:$W$95,0)),"")</f>
        <v>Designer Sympathy Collection I</v>
      </c>
      <c r="E16" s="19" t="str">
        <f aca="false">IFERROR(INDEX('SKU Data'!$C$2:$C$95,MATCH($A16,'SKU Data'!$W$2:$W$95,0)),"")</f>
        <v>Sympathy</v>
      </c>
      <c r="F16" s="20" t="n">
        <f aca="false">IFERROR(INDEX('SKU Data'!$E$2:$E$95,MATCH($A16,'SKU Data'!$W$2:$W$95,0)),"")</f>
        <v>47</v>
      </c>
      <c r="G16" s="20" t="n">
        <f aca="false">IFERROR(INDEX('SKU Data'!$F$2:$F$95,MATCH($A16,'SKU Data'!$W$2:$W$95,0)),"")</f>
        <v>8</v>
      </c>
      <c r="H16" s="20" t="n">
        <f aca="false">IFERROR(INDEX('SKU Data'!$J$2:$J$95,MATCH($A16,'SKU Data'!$W$2:$W$95,0)),"")</f>
        <v>6</v>
      </c>
      <c r="I16" s="21" t="n">
        <f aca="false">IFERROR(INDEX('SKU Data'!$L$2:$L$95,MATCH($A16,'SKU Data'!$W$2:$W$95,0)),"")</f>
        <v>0.127659574468085</v>
      </c>
      <c r="J16" s="22" t="n">
        <f aca="false">IFERROR(INDEX('SKU Data'!$H$2:$H$95,MATCH($A16,'SKU Data'!$W$2:$W$95,0)),"")</f>
        <v>609.82</v>
      </c>
      <c r="K16" s="33" t="n">
        <f aca="false">IFERROR(INDEX('SKU Data'!$N$2:$N$95,MATCH($A16,'SKU Data'!$W$2:$W$95,0)),"")</f>
        <v>0.000368580810576933</v>
      </c>
      <c r="L16" s="23" t="n">
        <f aca="false">IFERROR(INDEX('SKU Data'!$O$2:$O$95,MATCH($A16,'SKU Data'!$W$2:$W$95,0)),"")</f>
        <v>4.7341660898291E-005</v>
      </c>
      <c r="M16" s="28" t="n">
        <f aca="false">IFERROR(I16/Settings!$B$3,"")</f>
        <v>1.91988031914894</v>
      </c>
      <c r="N16" s="28" t="n">
        <f aca="false">IFERROR(INDEX('SKU Data'!$AF$2:$AF$95,MATCH($A16,'SKU Data'!$W$2:$W$95,0)),"")</f>
        <v>1.70406593699709</v>
      </c>
      <c r="O16" s="29" t="n">
        <f aca="false">IFERROR(INDEX('SKU Data'!$Q$2:$Q$95,MATCH($A16,'SKU Data'!$W$2:$W$95,0)),"")</f>
        <v>1.68310497018526</v>
      </c>
      <c r="P16" s="24" t="str">
        <f aca="false">IFERROR(INDEX('SKU Data'!$Y$2:$Y$95,MATCH($A16,'SKU Data'!$W$2:$W$95,0)),"")</f>
        <v/>
      </c>
    </row>
    <row r="17" customFormat="false" ht="15" hidden="false" customHeight="false" outlineLevel="0" collapsed="false">
      <c r="A17" s="19" t="n">
        <v>13</v>
      </c>
      <c r="B17" s="24" t="str">
        <f aca="false">IFERROR(INDEX('SKU Data'!$X$2:$X$95,MATCH($A17,'SKU Data'!$W$2:$W$95,0)),"")</f>
        <v>2 - Review</v>
      </c>
      <c r="C17" s="19" t="str">
        <f aca="false">IFERROR(INDEX('SKU Data'!$A$2:$A$95,MATCH($A17,'SKU Data'!$W$2:$W$95,0)),"")</f>
        <v>DCS-03</v>
      </c>
      <c r="D17" s="19" t="str">
        <f aca="false">IFERROR(INDEX('SKU Data'!$B$2:$B$95,MATCH($A17,'SKU Data'!$W$2:$W$95,0)),"")</f>
        <v>Designer Sympathy Collection III</v>
      </c>
      <c r="E17" s="19" t="str">
        <f aca="false">IFERROR(INDEX('SKU Data'!$C$2:$C$95,MATCH($A17,'SKU Data'!$W$2:$W$95,0)),"")</f>
        <v>Sympathy</v>
      </c>
      <c r="F17" s="20" t="n">
        <f aca="false">IFERROR(INDEX('SKU Data'!$E$2:$E$95,MATCH($A17,'SKU Data'!$W$2:$W$95,0)),"")</f>
        <v>41</v>
      </c>
      <c r="G17" s="20" t="n">
        <f aca="false">IFERROR(INDEX('SKU Data'!$F$2:$F$95,MATCH($A17,'SKU Data'!$W$2:$W$95,0)),"")</f>
        <v>6</v>
      </c>
      <c r="H17" s="20" t="n">
        <f aca="false">IFERROR(INDEX('SKU Data'!$J$2:$J$95,MATCH($A17,'SKU Data'!$W$2:$W$95,0)),"")</f>
        <v>3</v>
      </c>
      <c r="I17" s="21" t="n">
        <f aca="false">IFERROR(INDEX('SKU Data'!$L$2:$L$95,MATCH($A17,'SKU Data'!$W$2:$W$95,0)),"")</f>
        <v>0.0731707317073171</v>
      </c>
      <c r="J17" s="22" t="n">
        <f aca="false">IFERROR(INDEX('SKU Data'!$H$2:$H$95,MATCH($A17,'SKU Data'!$W$2:$W$95,0)),"")</f>
        <v>967.81</v>
      </c>
      <c r="K17" s="33" t="n">
        <f aca="false">IFERROR(INDEX('SKU Data'!$N$2:$N$95,MATCH($A17,'SKU Data'!$W$2:$W$95,0)),"")</f>
        <v>0.000584953255525337</v>
      </c>
      <c r="L17" s="23" t="n">
        <f aca="false">IFERROR(INDEX('SKU Data'!$O$2:$O$95,MATCH($A17,'SKU Data'!$W$2:$W$95,0)),"")</f>
        <v>7.51332078875325E-005</v>
      </c>
      <c r="M17" s="28" t="n">
        <f aca="false">IFERROR(I17/Settings!$B$3,"")</f>
        <v>1.10041920731707</v>
      </c>
      <c r="N17" s="28" t="n">
        <f aca="false">IFERROR(INDEX('SKU Data'!$AF$2:$AF$95,MATCH($A17,'SKU Data'!$W$2:$W$95,0)),"")</f>
        <v>0.976720719986138</v>
      </c>
      <c r="O17" s="29" t="n">
        <f aca="false">IFERROR(INDEX('SKU Data'!$Q$2:$Q$95,MATCH($A17,'SKU Data'!$W$2:$W$95,0)),"")</f>
        <v>0.171608843078875</v>
      </c>
      <c r="P17" s="24" t="str">
        <f aca="false">IFERROR(INDEX('SKU Data'!$Y$2:$Y$95,MATCH($A17,'SKU Data'!$W$2:$W$95,0)),"")</f>
        <v/>
      </c>
    </row>
    <row r="18" customFormat="false" ht="15" hidden="false" customHeight="false" outlineLevel="0" collapsed="false">
      <c r="A18" s="19" t="n">
        <v>14</v>
      </c>
      <c r="B18" s="24" t="str">
        <f aca="false">IFERROR(INDEX('SKU Data'!$X$2:$X$95,MATCH($A18,'SKU Data'!$W$2:$W$95,0)),"")</f>
        <v>2 - Review</v>
      </c>
      <c r="C18" s="19" t="str">
        <f aca="false">IFERROR(INDEX('SKU Data'!$A$2:$A$95,MATCH($A18,'SKU Data'!$W$2:$W$95,0)),"")</f>
        <v>DC-02A</v>
      </c>
      <c r="D18" s="19" t="str">
        <f aca="false">IFERROR(INDEX('SKU Data'!$B$2:$B$95,MATCH($A18,'SKU Data'!$W$2:$W$95,0)),"")</f>
        <v>Designer Collection Anniversary II</v>
      </c>
      <c r="E18" s="19" t="str">
        <f aca="false">IFERROR(INDEX('SKU Data'!$C$2:$C$95,MATCH($A18,'SKU Data'!$W$2:$W$95,0)),"")</f>
        <v>Anniversary</v>
      </c>
      <c r="F18" s="20" t="n">
        <f aca="false">IFERROR(INDEX('SKU Data'!$E$2:$E$95,MATCH($A18,'SKU Data'!$W$2:$W$95,0)),"")</f>
        <v>59</v>
      </c>
      <c r="G18" s="20" t="n">
        <f aca="false">IFERROR(INDEX('SKU Data'!$F$2:$F$95,MATCH($A18,'SKU Data'!$W$2:$W$95,0)),"")</f>
        <v>6</v>
      </c>
      <c r="H18" s="20" t="n">
        <f aca="false">IFERROR(INDEX('SKU Data'!$J$2:$J$95,MATCH($A18,'SKU Data'!$W$2:$W$95,0)),"")</f>
        <v>5</v>
      </c>
      <c r="I18" s="21" t="n">
        <f aca="false">IFERROR(INDEX('SKU Data'!$L$2:$L$95,MATCH($A18,'SKU Data'!$W$2:$W$95,0)),"")</f>
        <v>0.0847457627118644</v>
      </c>
      <c r="J18" s="22" t="n">
        <f aca="false">IFERROR(INDEX('SKU Data'!$H$2:$H$95,MATCH($A18,'SKU Data'!$W$2:$W$95,0)),"")</f>
        <v>466.03</v>
      </c>
      <c r="K18" s="33" t="n">
        <f aca="false">IFERROR(INDEX('SKU Data'!$N$2:$N$95,MATCH($A18,'SKU Data'!$W$2:$W$95,0)),"")</f>
        <v>0.000281672813540336</v>
      </c>
      <c r="L18" s="23" t="n">
        <f aca="false">IFERROR(INDEX('SKU Data'!$O$2:$O$95,MATCH($A18,'SKU Data'!$W$2:$W$95,0)),"")</f>
        <v>3.61789285829107E-005</v>
      </c>
      <c r="M18" s="28" t="n">
        <f aca="false">IFERROR(I18/Settings!$B$3,"")</f>
        <v>1.2744968220339</v>
      </c>
      <c r="N18" s="28" t="n">
        <f aca="false">IFERROR(INDEX('SKU Data'!$AF$2:$AF$95,MATCH($A18,'SKU Data'!$W$2:$W$95,0)),"")</f>
        <v>1.13123021241332</v>
      </c>
      <c r="O18" s="29" t="n">
        <f aca="false">IFERROR(INDEX('SKU Data'!$Q$2:$Q$95,MATCH($A18,'SKU Data'!$W$2:$W$95,0)),"")</f>
        <v>0.562722490259731</v>
      </c>
      <c r="P18" s="24" t="str">
        <f aca="false">IFERROR(INDEX('SKU Data'!$Y$2:$Y$95,MATCH($A18,'SKU Data'!$W$2:$W$95,0)),"")</f>
        <v/>
      </c>
    </row>
    <row r="19" customFormat="false" ht="15" hidden="false" customHeight="false" outlineLevel="0" collapsed="false">
      <c r="A19" s="19" t="n">
        <v>15</v>
      </c>
      <c r="B19" s="24" t="str">
        <f aca="false">IFERROR(INDEX('SKU Data'!$X$2:$X$95,MATCH($A19,'SKU Data'!$W$2:$W$95,0)),"")</f>
        <v>2 - Review</v>
      </c>
      <c r="C19" s="19" t="str">
        <f aca="false">IFERROR(INDEX('SKU Data'!$A$2:$A$95,MATCH($A19,'SKU Data'!$W$2:$W$95,0)),"")</f>
        <v>AUDC-04A</v>
      </c>
      <c r="D19" s="19" t="str">
        <f aca="false">IFERROR(INDEX('SKU Data'!$B$2:$B$95,MATCH($A19,'SKU Data'!$W$2:$W$95,0)),"")</f>
        <v>Designer Collection Anniversary IV</v>
      </c>
      <c r="E19" s="19" t="str">
        <f aca="false">IFERROR(INDEX('SKU Data'!$C$2:$C$95,MATCH($A19,'SKU Data'!$W$2:$W$95,0)),"")</f>
        <v>Anniversary</v>
      </c>
      <c r="F19" s="20" t="n">
        <f aca="false">IFERROR(INDEX('SKU Data'!$E$2:$E$95,MATCH($A19,'SKU Data'!$W$2:$W$95,0)),"")</f>
        <v>41</v>
      </c>
      <c r="G19" s="20" t="n">
        <f aca="false">IFERROR(INDEX('SKU Data'!$F$2:$F$95,MATCH($A19,'SKU Data'!$W$2:$W$95,0)),"")</f>
        <v>5</v>
      </c>
      <c r="H19" s="20" t="n">
        <f aca="false">IFERROR(INDEX('SKU Data'!$J$2:$J$95,MATCH($A19,'SKU Data'!$W$2:$W$95,0)),"")</f>
        <v>3</v>
      </c>
      <c r="I19" s="21" t="n">
        <f aca="false">IFERROR(INDEX('SKU Data'!$L$2:$L$95,MATCH($A19,'SKU Data'!$W$2:$W$95,0)),"")</f>
        <v>0.0731707317073171</v>
      </c>
      <c r="J19" s="22" t="n">
        <f aca="false">IFERROR(INDEX('SKU Data'!$H$2:$H$95,MATCH($A19,'SKU Data'!$W$2:$W$95,0)),"")</f>
        <v>711.15</v>
      </c>
      <c r="K19" s="33" t="n">
        <f aca="false">IFERROR(INDEX('SKU Data'!$N$2:$N$95,MATCH($A19,'SKU Data'!$W$2:$W$95,0)),"")</f>
        <v>0.000429825593522327</v>
      </c>
      <c r="L19" s="23" t="n">
        <f aca="false">IFERROR(INDEX('SKU Data'!$O$2:$O$95,MATCH($A19,'SKU Data'!$W$2:$W$95,0)),"")</f>
        <v>5.52081305103468E-005</v>
      </c>
      <c r="M19" s="28" t="n">
        <f aca="false">IFERROR(I19/Settings!$B$3,"")</f>
        <v>1.10041920731707</v>
      </c>
      <c r="N19" s="28" t="n">
        <f aca="false">IFERROR(INDEX('SKU Data'!$AF$2:$AF$95,MATCH($A19,'SKU Data'!$W$2:$W$95,0)),"")</f>
        <v>0.976720719986138</v>
      </c>
      <c r="O19" s="29" t="n">
        <f aca="false">IFERROR(INDEX('SKU Data'!$Q$2:$Q$95,MATCH($A19,'SKU Data'!$W$2:$W$95,0)),"")</f>
        <v>0.171608843078875</v>
      </c>
      <c r="P19" s="24" t="str">
        <f aca="false">IFERROR(INDEX('SKU Data'!$Y$2:$Y$95,MATCH($A19,'SKU Data'!$W$2:$W$95,0)),"")</f>
        <v/>
      </c>
    </row>
    <row r="20" customFormat="false" ht="15" hidden="false" customHeight="false" outlineLevel="0" collapsed="false">
      <c r="A20" s="19" t="n">
        <v>16</v>
      </c>
      <c r="B20" s="24" t="str">
        <f aca="false">IFERROR(INDEX('SKU Data'!$X$2:$X$95,MATCH($A20,'SKU Data'!$W$2:$W$95,0)),"")</f>
        <v>2 - Review</v>
      </c>
      <c r="C20" s="19" t="str">
        <f aca="false">IFERROR(INDEX('SKU Data'!$A$2:$A$95,MATCH($A20,'SKU Data'!$W$2:$W$95,0)),"")</f>
        <v>DCA-01-00</v>
      </c>
      <c r="D20" s="19" t="str">
        <f aca="false">IFERROR(INDEX('SKU Data'!$B$2:$B$95,MATCH($A20,'SKU Data'!$W$2:$W$95,0)),"")</f>
        <v>Anniversary Designer Collection I</v>
      </c>
      <c r="E20" s="19" t="str">
        <f aca="false">IFERROR(INDEX('SKU Data'!$C$2:$C$95,MATCH($A20,'SKU Data'!$W$2:$W$95,0)),"")</f>
        <v>Anniversary</v>
      </c>
      <c r="F20" s="20" t="n">
        <f aca="false">IFERROR(INDEX('SKU Data'!$E$2:$E$95,MATCH($A20,'SKU Data'!$W$2:$W$95,0)),"")</f>
        <v>39</v>
      </c>
      <c r="G20" s="20" t="n">
        <f aca="false">IFERROR(INDEX('SKU Data'!$F$2:$F$95,MATCH($A20,'SKU Data'!$W$2:$W$95,0)),"")</f>
        <v>5</v>
      </c>
      <c r="H20" s="20" t="n">
        <f aca="false">IFERROR(INDEX('SKU Data'!$J$2:$J$95,MATCH($A20,'SKU Data'!$W$2:$W$95,0)),"")</f>
        <v>5</v>
      </c>
      <c r="I20" s="21" t="n">
        <f aca="false">IFERROR(INDEX('SKU Data'!$L$2:$L$95,MATCH($A20,'SKU Data'!$W$2:$W$95,0)),"")</f>
        <v>0.128205128205128</v>
      </c>
      <c r="J20" s="22" t="n">
        <f aca="false">IFERROR(INDEX('SKU Data'!$H$2:$H$95,MATCH($A20,'SKU Data'!$W$2:$W$95,0)),"")</f>
        <v>381.59</v>
      </c>
      <c r="K20" s="33" t="n">
        <f aca="false">IFERROR(INDEX('SKU Data'!$N$2:$N$95,MATCH($A20,'SKU Data'!$W$2:$W$95,0)),"")</f>
        <v>0.00023063650176782</v>
      </c>
      <c r="L20" s="23" t="n">
        <f aca="false">IFERROR(INDEX('SKU Data'!$O$2:$O$95,MATCH($A20,'SKU Data'!$W$2:$W$95,0)),"")</f>
        <v>2.96236666265109E-005</v>
      </c>
      <c r="M20" s="28" t="n">
        <f aca="false">IFERROR(I20/Settings!$B$3,"")</f>
        <v>1.92808493589744</v>
      </c>
      <c r="N20" s="28" t="n">
        <f aca="false">IFERROR(INDEX('SKU Data'!$AF$2:$AF$95,MATCH($A20,'SKU Data'!$W$2:$W$95,0)),"")</f>
        <v>1.71134827006118</v>
      </c>
      <c r="O20" s="29" t="n">
        <f aca="false">IFERROR(INDEX('SKU Data'!$Q$2:$Q$95,MATCH($A20,'SKU Data'!$W$2:$W$95,0)),"")</f>
        <v>1.54685987198501</v>
      </c>
      <c r="P20" s="24" t="str">
        <f aca="false">IFERROR(INDEX('SKU Data'!$Y$2:$Y$95,MATCH($A20,'SKU Data'!$W$2:$W$95,0)),"")</f>
        <v/>
      </c>
    </row>
    <row r="21" customFormat="false" ht="15" hidden="false" customHeight="false" outlineLevel="0" collapsed="false">
      <c r="A21" s="19" t="n">
        <v>17</v>
      </c>
      <c r="B21" s="24" t="str">
        <f aca="false">IFERROR(INDEX('SKU Data'!$X$2:$X$95,MATCH($A21,'SKU Data'!$W$2:$W$95,0)),"")</f>
        <v>2 - Review</v>
      </c>
      <c r="C21" s="19" t="str">
        <f aca="false">IFERROR(INDEX('SKU Data'!$A$2:$A$95,MATCH($A21,'SKU Data'!$W$2:$W$95,0)),"")</f>
        <v>DCMJ-04</v>
      </c>
      <c r="D21" s="19" t="str">
        <f aca="false">IFERROR(INDEX('SKU Data'!$B$2:$B$95,MATCH($A21,'SKU Data'!$W$2:$W$95,0)),"")</f>
        <v>Designer Collection Mason Jar IV</v>
      </c>
      <c r="E21" s="19" t="str">
        <f aca="false">IFERROR(INDEX('SKU Data'!$C$2:$C$95,MATCH($A21,'SKU Data'!$W$2:$W$95,0)),"")</f>
        <v>Mason Jar</v>
      </c>
      <c r="F21" s="20" t="n">
        <f aca="false">IFERROR(INDEX('SKU Data'!$E$2:$E$95,MATCH($A21,'SKU Data'!$W$2:$W$95,0)),"")</f>
        <v>58</v>
      </c>
      <c r="G21" s="20" t="n">
        <f aca="false">IFERROR(INDEX('SKU Data'!$F$2:$F$95,MATCH($A21,'SKU Data'!$W$2:$W$95,0)),"")</f>
        <v>7</v>
      </c>
      <c r="H21" s="20" t="n">
        <f aca="false">IFERROR(INDEX('SKU Data'!$J$2:$J$95,MATCH($A21,'SKU Data'!$W$2:$W$95,0)),"")</f>
        <v>4</v>
      </c>
      <c r="I21" s="21" t="n">
        <f aca="false">IFERROR(INDEX('SKU Data'!$L$2:$L$95,MATCH($A21,'SKU Data'!$W$2:$W$95,0)),"")</f>
        <v>0.0689655172413793</v>
      </c>
      <c r="J21" s="22" t="n">
        <f aca="false">IFERROR(INDEX('SKU Data'!$H$2:$H$95,MATCH($A21,'SKU Data'!$W$2:$W$95,0)),"")</f>
        <v>531.83</v>
      </c>
      <c r="K21" s="33" t="n">
        <f aca="false">IFERROR(INDEX('SKU Data'!$N$2:$N$95,MATCH($A21,'SKU Data'!$W$2:$W$95,0)),"")</f>
        <v>0.000321442938062264</v>
      </c>
      <c r="L21" s="23" t="n">
        <f aca="false">IFERROR(INDEX('SKU Data'!$O$2:$O$95,MATCH($A21,'SKU Data'!$W$2:$W$95,0)),"")</f>
        <v>4.12871265546196E-005</v>
      </c>
      <c r="M21" s="28" t="n">
        <f aca="false">IFERROR(I21/Settings!$B$3,"")</f>
        <v>1.03717672413793</v>
      </c>
      <c r="N21" s="28" t="n">
        <f aca="false">IFERROR(INDEX('SKU Data'!$AF$2:$AF$95,MATCH($A21,'SKU Data'!$W$2:$W$95,0)),"")</f>
        <v>0.920587345274291</v>
      </c>
      <c r="O21" s="29" t="n">
        <f aca="false">IFERROR(INDEX('SKU Data'!$Q$2:$Q$95,MATCH($A21,'SKU Data'!$W$2:$W$95,0)),"")</f>
        <v>0.0755641953165594</v>
      </c>
      <c r="P21" s="24" t="str">
        <f aca="false">IFERROR(INDEX('SKU Data'!$Y$2:$Y$95,MATCH($A21,'SKU Data'!$W$2:$W$95,0)),"")</f>
        <v/>
      </c>
    </row>
    <row r="22" customFormat="false" ht="15" hidden="false" customHeight="false" outlineLevel="0" collapsed="false">
      <c r="A22" s="19" t="n">
        <v>18</v>
      </c>
      <c r="B22" s="24" t="str">
        <f aca="false">IFERROR(INDEX('SKU Data'!$X$2:$X$95,MATCH($A22,'SKU Data'!$W$2:$W$95,0)),"")</f>
        <v>2 - Review</v>
      </c>
      <c r="C22" s="19" t="str">
        <f aca="false">IFERROR(INDEX('SKU Data'!$A$2:$A$95,MATCH($A22,'SKU Data'!$W$2:$W$95,0)),"")</f>
        <v>AUDC-02</v>
      </c>
      <c r="D22" s="19" t="str">
        <f aca="false">IFERROR(INDEX('SKU Data'!$B$2:$B$95,MATCH($A22,'SKU Data'!$W$2:$W$95,0)),"")</f>
        <v>Designer Collection II</v>
      </c>
      <c r="E22" s="19" t="str">
        <f aca="false">IFERROR(INDEX('SKU Data'!$C$2:$C$95,MATCH($A22,'SKU Data'!$W$2:$W$95,0)),"")</f>
        <v>General (Designer Collection)</v>
      </c>
      <c r="F22" s="20" t="n">
        <f aca="false">IFERROR(INDEX('SKU Data'!$E$2:$E$95,MATCH($A22,'SKU Data'!$W$2:$W$95,0)),"")</f>
        <v>45</v>
      </c>
      <c r="G22" s="20" t="n">
        <f aca="false">IFERROR(INDEX('SKU Data'!$F$2:$F$95,MATCH($A22,'SKU Data'!$W$2:$W$95,0)),"")</f>
        <v>4</v>
      </c>
      <c r="H22" s="20" t="n">
        <f aca="false">IFERROR(INDEX('SKU Data'!$J$2:$J$95,MATCH($A22,'SKU Data'!$W$2:$W$95,0)),"")</f>
        <v>4</v>
      </c>
      <c r="I22" s="21" t="n">
        <f aca="false">IFERROR(INDEX('SKU Data'!$L$2:$L$95,MATCH($A22,'SKU Data'!$W$2:$W$95,0)),"")</f>
        <v>0.0888888888888889</v>
      </c>
      <c r="J22" s="22" t="n">
        <f aca="false">IFERROR(INDEX('SKU Data'!$H$2:$H$95,MATCH($A22,'SKU Data'!$W$2:$W$95,0)),"")</f>
        <v>404.36</v>
      </c>
      <c r="K22" s="33" t="n">
        <f aca="false">IFERROR(INDEX('SKU Data'!$N$2:$N$95,MATCH($A22,'SKU Data'!$W$2:$W$95,0)),"")</f>
        <v>0.000244398898961806</v>
      </c>
      <c r="L22" s="23" t="n">
        <f aca="false">IFERROR(INDEX('SKU Data'!$O$2:$O$95,MATCH($A22,'SKU Data'!$W$2:$W$95,0)),"")</f>
        <v>3.13913515477239E-005</v>
      </c>
      <c r="M22" s="28" t="n">
        <f aca="false">IFERROR(I22/Settings!$B$3,"")</f>
        <v>1.33680555555556</v>
      </c>
      <c r="N22" s="28" t="n">
        <f aca="false">IFERROR(INDEX('SKU Data'!$AF$2:$AF$95,MATCH($A22,'SKU Data'!$W$2:$W$95,0)),"")</f>
        <v>1.18653480057575</v>
      </c>
      <c r="O22" s="29" t="n">
        <f aca="false">IFERROR(INDEX('SKU Data'!$Q$2:$Q$95,MATCH($A22,'SKU Data'!$W$2:$W$95,0)),"")</f>
        <v>0.602998802488762</v>
      </c>
      <c r="P22" s="24" t="str">
        <f aca="false">IFERROR(INDEX('SKU Data'!$Y$2:$Y$95,MATCH($A22,'SKU Data'!$W$2:$W$95,0)),"")</f>
        <v/>
      </c>
    </row>
    <row r="23" customFormat="false" ht="15" hidden="false" customHeight="false" outlineLevel="0" collapsed="false">
      <c r="A23" s="19" t="n">
        <v>19</v>
      </c>
      <c r="B23" s="24" t="str">
        <f aca="false">IFERROR(INDEX('SKU Data'!$X$2:$X$95,MATCH($A23,'SKU Data'!$W$2:$W$95,0)),"")</f>
        <v>2 - Review</v>
      </c>
      <c r="C23" s="19" t="str">
        <f aca="false">IFERROR(INDEX('SKU Data'!$A$2:$A$95,MATCH($A23,'SKU Data'!$W$2:$W$95,0)),"")</f>
        <v>DC-04B</v>
      </c>
      <c r="D23" s="19" t="str">
        <f aca="false">IFERROR(INDEX('SKU Data'!$B$2:$B$95,MATCH($A23,'SKU Data'!$W$2:$W$95,0)),"")</f>
        <v>Birthday Designer Collection IV</v>
      </c>
      <c r="E23" s="19" t="str">
        <f aca="false">IFERROR(INDEX('SKU Data'!$C$2:$C$95,MATCH($A23,'SKU Data'!$W$2:$W$95,0)),"")</f>
        <v>Birthday</v>
      </c>
      <c r="F23" s="20" t="n">
        <f aca="false">IFERROR(INDEX('SKU Data'!$E$2:$E$95,MATCH($A23,'SKU Data'!$W$2:$W$95,0)),"")</f>
        <v>35</v>
      </c>
      <c r="G23" s="20" t="n">
        <f aca="false">IFERROR(INDEX('SKU Data'!$F$2:$F$95,MATCH($A23,'SKU Data'!$W$2:$W$95,0)),"")</f>
        <v>3</v>
      </c>
      <c r="H23" s="20" t="n">
        <f aca="false">IFERROR(INDEX('SKU Data'!$J$2:$J$95,MATCH($A23,'SKU Data'!$W$2:$W$95,0)),"")</f>
        <v>3</v>
      </c>
      <c r="I23" s="21" t="n">
        <f aca="false">IFERROR(INDEX('SKU Data'!$L$2:$L$95,MATCH($A23,'SKU Data'!$W$2:$W$95,0)),"")</f>
        <v>0.0857142857142857</v>
      </c>
      <c r="J23" s="22" t="n">
        <f aca="false">IFERROR(INDEX('SKU Data'!$H$2:$H$95,MATCH($A23,'SKU Data'!$W$2:$W$95,0)),"")</f>
        <v>374.66</v>
      </c>
      <c r="K23" s="33" t="n">
        <f aca="false">IFERROR(INDEX('SKU Data'!$N$2:$N$95,MATCH($A23,'SKU Data'!$W$2:$W$95,0)),"")</f>
        <v>0.000226447946100085</v>
      </c>
      <c r="L23" s="23" t="n">
        <f aca="false">IFERROR(INDEX('SKU Data'!$O$2:$O$95,MATCH($A23,'SKU Data'!$W$2:$W$95,0)),"")</f>
        <v>2.9085675563533E-005</v>
      </c>
      <c r="M23" s="28" t="n">
        <f aca="false">IFERROR(I23/Settings!$B$3,"")</f>
        <v>1.2890625</v>
      </c>
      <c r="N23" s="28" t="n">
        <f aca="false">IFERROR(INDEX('SKU Data'!$AF$2:$AF$95,MATCH($A23,'SKU Data'!$W$2:$W$95,0)),"")</f>
        <v>1.14415855769805</v>
      </c>
      <c r="O23" s="29" t="n">
        <f aca="false">IFERROR(INDEX('SKU Data'!$Q$2:$Q$95,MATCH($A23,'SKU Data'!$W$2:$W$95,0)),"")</f>
        <v>0.45641165159873</v>
      </c>
      <c r="P23" s="24" t="str">
        <f aca="false">IFERROR(INDEX('SKU Data'!$Y$2:$Y$95,MATCH($A23,'SKU Data'!$W$2:$W$95,0)),"")</f>
        <v/>
      </c>
    </row>
    <row r="24" customFormat="false" ht="15" hidden="false" customHeight="false" outlineLevel="0" collapsed="false">
      <c r="A24" s="19" t="n">
        <v>20</v>
      </c>
      <c r="B24" s="24" t="str">
        <f aca="false">IFERROR(INDEX('SKU Data'!$X$2:$X$95,MATCH($A24,'SKU Data'!$W$2:$W$95,0)),"")</f>
        <v>2 - Review</v>
      </c>
      <c r="C24" s="19" t="str">
        <f aca="false">IFERROR(INDEX('SKU Data'!$A$2:$A$95,MATCH($A24,'SKU Data'!$W$2:$W$95,0)),"")</f>
        <v>AUDNAT-MJ-02</v>
      </c>
      <c r="D24" s="19" t="str">
        <f aca="false">IFERROR(INDEX('SKU Data'!$B$2:$B$95,MATCH($A24,'SKU Data'!$W$2:$W$95,0)),"")</f>
        <v>Native Flowers Mason Jar Florist Selection II</v>
      </c>
      <c r="E24" s="19" t="str">
        <f aca="false">IFERROR(INDEX('SKU Data'!$C$2:$C$95,MATCH($A24,'SKU Data'!$W$2:$W$95,0)),"")</f>
        <v>Mason Jar</v>
      </c>
      <c r="F24" s="20" t="n">
        <f aca="false">IFERROR(INDEX('SKU Data'!$E$2:$E$95,MATCH($A24,'SKU Data'!$W$2:$W$95,0)),"")</f>
        <v>33</v>
      </c>
      <c r="G24" s="20" t="n">
        <f aca="false">IFERROR(INDEX('SKU Data'!$F$2:$F$95,MATCH($A24,'SKU Data'!$W$2:$W$95,0)),"")</f>
        <v>3</v>
      </c>
      <c r="H24" s="20" t="n">
        <f aca="false">IFERROR(INDEX('SKU Data'!$J$2:$J$95,MATCH($A24,'SKU Data'!$W$2:$W$95,0)),"")</f>
        <v>3</v>
      </c>
      <c r="I24" s="21" t="n">
        <f aca="false">IFERROR(INDEX('SKU Data'!$L$2:$L$95,MATCH($A24,'SKU Data'!$W$2:$W$95,0)),"")</f>
        <v>0.0909090909090909</v>
      </c>
      <c r="J24" s="22" t="n">
        <f aca="false">IFERROR(INDEX('SKU Data'!$H$2:$H$95,MATCH($A24,'SKU Data'!$W$2:$W$95,0)),"")</f>
        <v>259.88</v>
      </c>
      <c r="K24" s="33" t="n">
        <f aca="false">IFERROR(INDEX('SKU Data'!$N$2:$N$95,MATCH($A24,'SKU Data'!$W$2:$W$95,0)),"")</f>
        <v>0.000157073859585998</v>
      </c>
      <c r="L24" s="23" t="n">
        <f aca="false">IFERROR(INDEX('SKU Data'!$O$2:$O$95,MATCH($A24,'SKU Data'!$W$2:$W$95,0)),"")</f>
        <v>2.01750530226097E-005</v>
      </c>
      <c r="M24" s="28" t="n">
        <f aca="false">IFERROR(I24/Settings!$B$3,"")</f>
        <v>1.3671875</v>
      </c>
      <c r="N24" s="28" t="n">
        <f aca="false">IFERROR(INDEX('SKU Data'!$AF$2:$AF$95,MATCH($A24,'SKU Data'!$W$2:$W$95,0)),"")</f>
        <v>1.21350150058884</v>
      </c>
      <c r="O24" s="29" t="n">
        <f aca="false">IFERROR(INDEX('SKU Data'!$Q$2:$Q$95,MATCH($A24,'SKU Data'!$W$2:$W$95,0)),"")</f>
        <v>0.562957752902105</v>
      </c>
      <c r="P24" s="24" t="str">
        <f aca="false">IFERROR(INDEX('SKU Data'!$Y$2:$Y$95,MATCH($A24,'SKU Data'!$W$2:$W$95,0)),"")</f>
        <v/>
      </c>
    </row>
    <row r="25" customFormat="false" ht="15" hidden="false" customHeight="false" outlineLevel="0" collapsed="false">
      <c r="A25" s="19" t="n">
        <v>21</v>
      </c>
      <c r="B25" s="24" t="str">
        <f aca="false">IFERROR(INDEX('SKU Data'!$X$2:$X$95,MATCH($A25,'SKU Data'!$W$2:$W$95,0)),"")</f>
        <v>2 - Review</v>
      </c>
      <c r="C25" s="19" t="str">
        <f aca="false">IFERROR(INDEX('SKU Data'!$A$2:$A$95,MATCH($A25,'SKU Data'!$W$2:$W$95,0)),"")</f>
        <v>DC-04S</v>
      </c>
      <c r="D25" s="19" t="str">
        <f aca="false">IFERROR(INDEX('SKU Data'!$B$2:$B$95,MATCH($A25,'SKU Data'!$W$2:$W$95,0)),"")</f>
        <v>Designer Sympathy Collection IV</v>
      </c>
      <c r="E25" s="19" t="str">
        <f aca="false">IFERROR(INDEX('SKU Data'!$C$2:$C$95,MATCH($A25,'SKU Data'!$W$2:$W$95,0)),"")</f>
        <v>Sympathy</v>
      </c>
      <c r="F25" s="20" t="n">
        <f aca="false">IFERROR(INDEX('SKU Data'!$E$2:$E$95,MATCH($A25,'SKU Data'!$W$2:$W$95,0)),"")</f>
        <v>1192</v>
      </c>
      <c r="G25" s="20" t="n">
        <f aca="false">IFERROR(INDEX('SKU Data'!$F$2:$F$95,MATCH($A25,'SKU Data'!$W$2:$W$95,0)),"")</f>
        <v>75</v>
      </c>
      <c r="H25" s="20" t="n">
        <f aca="false">IFERROR(INDEX('SKU Data'!$J$2:$J$95,MATCH($A25,'SKU Data'!$W$2:$W$95,0)),"")</f>
        <v>68</v>
      </c>
      <c r="I25" s="21" t="n">
        <f aca="false">IFERROR(INDEX('SKU Data'!$L$2:$L$95,MATCH($A25,'SKU Data'!$W$2:$W$95,0)),"")</f>
        <v>0.0570469798657718</v>
      </c>
      <c r="J25" s="22" t="n">
        <f aca="false">IFERROR(INDEX('SKU Data'!$H$2:$H$95,MATCH($A25,'SKU Data'!$W$2:$W$95,0)),"")</f>
        <v>8683.47</v>
      </c>
      <c r="K25" s="33" t="n">
        <f aca="false">IFERROR(INDEX('SKU Data'!$N$2:$N$95,MATCH($A25,'SKU Data'!$W$2:$W$95,0)),"")</f>
        <v>0.00524836904532563</v>
      </c>
      <c r="L25" s="23" t="n">
        <f aca="false">IFERROR(INDEX('SKU Data'!$O$2:$O$95,MATCH($A25,'SKU Data'!$W$2:$W$95,0)),"")</f>
        <v>0.000674116775705099</v>
      </c>
      <c r="M25" s="28" t="n">
        <f aca="false">IFERROR(I25/Settings!$B$3,"")</f>
        <v>0.857933095637584</v>
      </c>
      <c r="N25" s="28" t="n">
        <f aca="false">IFERROR(INDEX('SKU Data'!$AF$2:$AF$95,MATCH($A25,'SKU Data'!$W$2:$W$95,0)),"")</f>
        <v>0.761492552382929</v>
      </c>
      <c r="O25" s="29" t="n">
        <f aca="false">IFERROR(INDEX('SKU Data'!$Q$2:$Q$95,MATCH($A25,'SKU Data'!$W$2:$W$95,0)),"")</f>
        <v>-1.30906735056015</v>
      </c>
      <c r="P25" s="24" t="str">
        <f aca="false">IFERROR(INDEX('SKU Data'!$Y$2:$Y$95,MATCH($A25,'SKU Data'!$W$2:$W$95,0)),"")</f>
        <v/>
      </c>
    </row>
    <row r="26" customFormat="false" ht="15" hidden="false" customHeight="false" outlineLevel="0" collapsed="false">
      <c r="A26" s="19" t="n">
        <v>22</v>
      </c>
      <c r="B26" s="24" t="str">
        <f aca="false">IFERROR(INDEX('SKU Data'!$X$2:$X$95,MATCH($A26,'SKU Data'!$W$2:$W$95,0)),"")</f>
        <v>2 - Review</v>
      </c>
      <c r="C26" s="19" t="str">
        <f aca="false">IFERROR(INDEX('SKU Data'!$A$2:$A$95,MATCH($A26,'SKU Data'!$W$2:$W$95,0)),"")</f>
        <v>DC-03S</v>
      </c>
      <c r="D26" s="19" t="str">
        <f aca="false">IFERROR(INDEX('SKU Data'!$B$2:$B$95,MATCH($A26,'SKU Data'!$W$2:$W$95,0)),"")</f>
        <v>Designer Sympathy Collection III</v>
      </c>
      <c r="E26" s="19" t="str">
        <f aca="false">IFERROR(INDEX('SKU Data'!$C$2:$C$95,MATCH($A26,'SKU Data'!$W$2:$W$95,0)),"")</f>
        <v>Sympathy</v>
      </c>
      <c r="F26" s="20" t="n">
        <f aca="false">IFERROR(INDEX('SKU Data'!$E$2:$E$95,MATCH($A26,'SKU Data'!$W$2:$W$95,0)),"")</f>
        <v>549</v>
      </c>
      <c r="G26" s="20" t="n">
        <f aca="false">IFERROR(INDEX('SKU Data'!$F$2:$F$95,MATCH($A26,'SKU Data'!$W$2:$W$95,0)),"")</f>
        <v>39</v>
      </c>
      <c r="H26" s="20" t="n">
        <f aca="false">IFERROR(INDEX('SKU Data'!$J$2:$J$95,MATCH($A26,'SKU Data'!$W$2:$W$95,0)),"")</f>
        <v>29</v>
      </c>
      <c r="I26" s="21" t="n">
        <f aca="false">IFERROR(INDEX('SKU Data'!$L$2:$L$95,MATCH($A26,'SKU Data'!$W$2:$W$95,0)),"")</f>
        <v>0.0528233151183971</v>
      </c>
      <c r="J26" s="22" t="n">
        <f aca="false">IFERROR(INDEX('SKU Data'!$H$2:$H$95,MATCH($A26,'SKU Data'!$W$2:$W$95,0)),"")</f>
        <v>4565.17</v>
      </c>
      <c r="K26" s="33" t="n">
        <f aca="false">IFERROR(INDEX('SKU Data'!$N$2:$N$95,MATCH($A26,'SKU Data'!$W$2:$W$95,0)),"")</f>
        <v>0.002759230689419</v>
      </c>
      <c r="L26" s="23" t="n">
        <f aca="false">IFERROR(INDEX('SKU Data'!$O$2:$O$95,MATCH($A26,'SKU Data'!$W$2:$W$95,0)),"")</f>
        <v>0.000354404135782774</v>
      </c>
      <c r="M26" s="28" t="n">
        <f aca="false">IFERROR(I26/Settings!$B$3,"")</f>
        <v>0.794413137522769</v>
      </c>
      <c r="N26" s="28" t="n">
        <f aca="false">IFERROR(INDEX('SKU Data'!$AF$2:$AF$95,MATCH($A26,'SKU Data'!$W$2:$W$95,0)),"")</f>
        <v>0.705112893784772</v>
      </c>
      <c r="O26" s="29" t="n">
        <f aca="false">IFERROR(INDEX('SKU Data'!$Q$2:$Q$95,MATCH($A26,'SKU Data'!$W$2:$W$95,0)),"")</f>
        <v>-1.28561957724254</v>
      </c>
      <c r="P26" s="24" t="str">
        <f aca="false">IFERROR(INDEX('SKU Data'!$Y$2:$Y$95,MATCH($A26,'SKU Data'!$W$2:$W$95,0)),"")</f>
        <v/>
      </c>
    </row>
    <row r="27" customFormat="false" ht="15" hidden="false" customHeight="false" outlineLevel="0" collapsed="false">
      <c r="A27" s="19" t="n">
        <v>23</v>
      </c>
      <c r="B27" s="24" t="str">
        <f aca="false">IFERROR(INDEX('SKU Data'!$X$2:$X$95,MATCH($A27,'SKU Data'!$W$2:$W$95,0)),"")</f>
        <v>2 - Review</v>
      </c>
      <c r="C27" s="19" t="str">
        <f aca="false">IFERROR(INDEX('SKU Data'!$A$2:$A$95,MATCH($A27,'SKU Data'!$W$2:$W$95,0)),"")</f>
        <v>DC-01B</v>
      </c>
      <c r="D27" s="19" t="str">
        <f aca="false">IFERROR(INDEX('SKU Data'!$B$2:$B$95,MATCH($A27,'SKU Data'!$W$2:$W$95,0)),"")</f>
        <v>Birthday Designer Collection I</v>
      </c>
      <c r="E27" s="19" t="str">
        <f aca="false">IFERROR(INDEX('SKU Data'!$C$2:$C$95,MATCH($A27,'SKU Data'!$W$2:$W$95,0)),"")</f>
        <v>Birthday</v>
      </c>
      <c r="F27" s="20" t="n">
        <f aca="false">IFERROR(INDEX('SKU Data'!$E$2:$E$95,MATCH($A27,'SKU Data'!$W$2:$W$95,0)),"")</f>
        <v>551</v>
      </c>
      <c r="G27" s="20" t="n">
        <f aca="false">IFERROR(INDEX('SKU Data'!$F$2:$F$95,MATCH($A27,'SKU Data'!$W$2:$W$95,0)),"")</f>
        <v>36</v>
      </c>
      <c r="H27" s="20" t="n">
        <f aca="false">IFERROR(INDEX('SKU Data'!$J$2:$J$95,MATCH($A27,'SKU Data'!$W$2:$W$95,0)),"")</f>
        <v>35</v>
      </c>
      <c r="I27" s="21" t="n">
        <f aca="false">IFERROR(INDEX('SKU Data'!$L$2:$L$95,MATCH($A27,'SKU Data'!$W$2:$W$95,0)),"")</f>
        <v>0.0635208711433757</v>
      </c>
      <c r="J27" s="22" t="n">
        <f aca="false">IFERROR(INDEX('SKU Data'!$H$2:$H$95,MATCH($A27,'SKU Data'!$W$2:$W$95,0)),"")</f>
        <v>2433.11</v>
      </c>
      <c r="K27" s="33" t="n">
        <f aca="false">IFERROR(INDEX('SKU Data'!$N$2:$N$95,MATCH($A27,'SKU Data'!$W$2:$W$95,0)),"")</f>
        <v>0.00147059403762232</v>
      </c>
      <c r="L27" s="23" t="n">
        <f aca="false">IFERROR(INDEX('SKU Data'!$O$2:$O$95,MATCH($A27,'SKU Data'!$W$2:$W$95,0)),"")</f>
        <v>0.000188887652993081</v>
      </c>
      <c r="M27" s="28" t="n">
        <f aca="false">IFERROR(I27/Settings!$B$3,"")</f>
        <v>0.955294351179673</v>
      </c>
      <c r="N27" s="28" t="n">
        <f aca="false">IFERROR(INDEX('SKU Data'!$AF$2:$AF$95,MATCH($A27,'SKU Data'!$W$2:$W$95,0)),"")</f>
        <v>0.847909396963163</v>
      </c>
      <c r="O27" s="29" t="n">
        <f aca="false">IFERROR(INDEX('SKU Data'!$Q$2:$Q$95,MATCH($A27,'SKU Data'!$W$2:$W$95,0)),"")</f>
        <v>-0.280071648685835</v>
      </c>
      <c r="P27" s="24" t="str">
        <f aca="false">IFERROR(INDEX('SKU Data'!$Y$2:$Y$95,MATCH($A27,'SKU Data'!$W$2:$W$95,0)),"")</f>
        <v/>
      </c>
    </row>
    <row r="28" customFormat="false" ht="15" hidden="false" customHeight="false" outlineLevel="0" collapsed="false">
      <c r="A28" s="19" t="n">
        <v>24</v>
      </c>
      <c r="B28" s="24" t="str">
        <f aca="false">IFERROR(INDEX('SKU Data'!$X$2:$X$95,MATCH($A28,'SKU Data'!$W$2:$W$95,0)),"")</f>
        <v>2 - Review</v>
      </c>
      <c r="C28" s="19" t="str">
        <f aca="false">IFERROR(INDEX('SKU Data'!$A$2:$A$95,MATCH($A28,'SKU Data'!$W$2:$W$95,0)),"")</f>
        <v>DC-01S</v>
      </c>
      <c r="D28" s="19" t="str">
        <f aca="false">IFERROR(INDEX('SKU Data'!$B$2:$B$95,MATCH($A28,'SKU Data'!$W$2:$W$95,0)),"")</f>
        <v>Designer Sympathy Collection I</v>
      </c>
      <c r="E28" s="19" t="str">
        <f aca="false">IFERROR(INDEX('SKU Data'!$C$2:$C$95,MATCH($A28,'SKU Data'!$W$2:$W$95,0)),"")</f>
        <v>Sympathy</v>
      </c>
      <c r="F28" s="20" t="n">
        <f aca="false">IFERROR(INDEX('SKU Data'!$E$2:$E$95,MATCH($A28,'SKU Data'!$W$2:$W$95,0)),"")</f>
        <v>997</v>
      </c>
      <c r="G28" s="20" t="n">
        <f aca="false">IFERROR(INDEX('SKU Data'!$F$2:$F$95,MATCH($A28,'SKU Data'!$W$2:$W$95,0)),"")</f>
        <v>60</v>
      </c>
      <c r="H28" s="20" t="n">
        <f aca="false">IFERROR(INDEX('SKU Data'!$J$2:$J$95,MATCH($A28,'SKU Data'!$W$2:$W$95,0)),"")</f>
        <v>48</v>
      </c>
      <c r="I28" s="21" t="n">
        <f aca="false">IFERROR(INDEX('SKU Data'!$L$2:$L$95,MATCH($A28,'SKU Data'!$W$2:$W$95,0)),"")</f>
        <v>0.0481444332998997</v>
      </c>
      <c r="J28" s="22" t="n">
        <f aca="false">IFERROR(INDEX('SKU Data'!$H$2:$H$95,MATCH($A28,'SKU Data'!$W$2:$W$95,0)),"")</f>
        <v>4255.73</v>
      </c>
      <c r="K28" s="33" t="n">
        <f aca="false">IFERROR(INDEX('SKU Data'!$N$2:$N$95,MATCH($A28,'SKU Data'!$W$2:$W$95,0)),"")</f>
        <v>0.00257220231051223</v>
      </c>
      <c r="L28" s="23" t="n">
        <f aca="false">IFERROR(INDEX('SKU Data'!$O$2:$O$95,MATCH($A28,'SKU Data'!$W$2:$W$95,0)),"")</f>
        <v>0.000330381631521899</v>
      </c>
      <c r="M28" s="28" t="n">
        <f aca="false">IFERROR(I28/Settings!$B$3,"")</f>
        <v>0.724047141424273</v>
      </c>
      <c r="N28" s="28" t="n">
        <f aca="false">IFERROR(INDEX('SKU Data'!$AF$2:$AF$95,MATCH($A28,'SKU Data'!$W$2:$W$95,0)),"")</f>
        <v>0.642656762598703</v>
      </c>
      <c r="O28" s="29" t="n">
        <f aca="false">IFERROR(INDEX('SKU Data'!$Q$2:$Q$95,MATCH($A28,'SKU Data'!$W$2:$W$95,0)),"")</f>
        <v>-2.32548435816223</v>
      </c>
      <c r="P28" s="24" t="str">
        <f aca="false">IFERROR(INDEX('SKU Data'!$Y$2:$Y$95,MATCH($A28,'SKU Data'!$W$2:$W$95,0)),"")</f>
        <v/>
      </c>
    </row>
    <row r="29" customFormat="false" ht="15" hidden="false" customHeight="false" outlineLevel="0" collapsed="false">
      <c r="A29" s="19" t="n">
        <v>25</v>
      </c>
      <c r="B29" s="24" t="str">
        <f aca="false">IFERROR(INDEX('SKU Data'!$X$2:$X$95,MATCH($A29,'SKU Data'!$W$2:$W$95,0)),"")</f>
        <v>2 - Review</v>
      </c>
      <c r="C29" s="19" t="str">
        <f aca="false">IFERROR(INDEX('SKU Data'!$A$2:$A$95,MATCH($A29,'SKU Data'!$W$2:$W$95,0)),"")</f>
        <v>DCMJ-04A</v>
      </c>
      <c r="D29" s="19" t="str">
        <f aca="false">IFERROR(INDEX('SKU Data'!$B$2:$B$95,MATCH($A29,'SKU Data'!$W$2:$W$95,0)),"")</f>
        <v>Designer Collection Mason Jar IV</v>
      </c>
      <c r="E29" s="19" t="str">
        <f aca="false">IFERROR(INDEX('SKU Data'!$C$2:$C$95,MATCH($A29,'SKU Data'!$W$2:$W$95,0)),"")</f>
        <v>Mason Jar</v>
      </c>
      <c r="F29" s="20" t="n">
        <f aca="false">IFERROR(INDEX('SKU Data'!$E$2:$E$95,MATCH($A29,'SKU Data'!$W$2:$W$95,0)),"")</f>
        <v>133</v>
      </c>
      <c r="G29" s="20" t="n">
        <f aca="false">IFERROR(INDEX('SKU Data'!$F$2:$F$95,MATCH($A29,'SKU Data'!$W$2:$W$95,0)),"")</f>
        <v>13</v>
      </c>
      <c r="H29" s="20" t="n">
        <f aca="false">IFERROR(INDEX('SKU Data'!$J$2:$J$95,MATCH($A29,'SKU Data'!$W$2:$W$95,0)),"")</f>
        <v>8</v>
      </c>
      <c r="I29" s="21" t="n">
        <f aca="false">IFERROR(INDEX('SKU Data'!$L$2:$L$95,MATCH($A29,'SKU Data'!$W$2:$W$95,0)),"")</f>
        <v>0.0601503759398496</v>
      </c>
      <c r="J29" s="22" t="n">
        <f aca="false">IFERROR(INDEX('SKU Data'!$H$2:$H$95,MATCH($A29,'SKU Data'!$W$2:$W$95,0)),"")</f>
        <v>1072.34</v>
      </c>
      <c r="K29" s="33" t="n">
        <f aca="false">IFERROR(INDEX('SKU Data'!$N$2:$N$95,MATCH($A29,'SKU Data'!$W$2:$W$95,0)),"")</f>
        <v>0.000648132147869975</v>
      </c>
      <c r="L29" s="23" t="n">
        <f aca="false">IFERROR(INDEX('SKU Data'!$O$2:$O$95,MATCH($A29,'SKU Data'!$W$2:$W$95,0)),"")</f>
        <v>8.32481005012519E-005</v>
      </c>
      <c r="M29" s="28" t="n">
        <f aca="false">IFERROR(I29/Settings!$B$3,"")</f>
        <v>0.904605263157895</v>
      </c>
      <c r="N29" s="28" t="n">
        <f aca="false">IFERROR(INDEX('SKU Data'!$AF$2:$AF$95,MATCH($A29,'SKU Data'!$W$2:$W$95,0)),"")</f>
        <v>0.802918286103893</v>
      </c>
      <c r="O29" s="29" t="n">
        <f aca="false">IFERROR(INDEX('SKU Data'!$Q$2:$Q$95,MATCH($A29,'SKU Data'!$W$2:$W$95,0)),"")</f>
        <v>-0.293616989215398</v>
      </c>
      <c r="P29" s="24" t="str">
        <f aca="false">IFERROR(INDEX('SKU Data'!$Y$2:$Y$95,MATCH($A29,'SKU Data'!$W$2:$W$95,0)),"")</f>
        <v/>
      </c>
    </row>
  </sheetData>
  <mergeCells count="1">
    <mergeCell ref="A2:P2"/>
  </mergeCells>
  <conditionalFormatting sqref="B5:B29">
    <cfRule type="expression" priority="2" aboveAverage="0" equalAverage="0" bottom="0" percent="0" rank="0" text="" dxfId="2">
      <formula>LEFT($B5,1)="1"</formula>
    </cfRule>
    <cfRule type="expression" priority="3" aboveAverage="0" equalAverage="0" bottom="0" percent="0" rank="0" text="" dxfId="3">
      <formula>LEFT($B5,1)="2"</formula>
    </cfRule>
  </conditionalFormatting>
  <conditionalFormatting sqref="I5:I29">
    <cfRule type="colorScale" priority="4">
      <colorScale>
        <cfvo type="num" val="0.03"/>
        <cfvo type="num" val="0.15"/>
        <color rgb="FFFFFFFF"/>
        <color rgb="FFF08A80"/>
      </colorScale>
    </cfRule>
  </conditionalFormatting>
  <conditionalFormatting sqref="J5:J29">
    <cfRule type="dataBar" priority="5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{8DE0313D-D370-4FFD-BA40-576DD0168A55}</x14:id>
        </ext>
      </extLst>
    </cfRule>
  </conditionalFormatting>
  <conditionalFormatting sqref="G5:G29">
    <cfRule type="dataBar" priority="6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{906F8D3B-D040-4E48-B789-731C1F5F6E41}</x14:id>
        </ext>
      </extLst>
    </cfRule>
  </conditionalFormatting>
  <conditionalFormatting sqref="P5:P29">
    <cfRule type="cellIs" priority="7" operator="equal" aboveAverage="0" equalAverage="0" bottom="0" percent="0" rank="0" text="" dxfId="1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E0313D-D370-4FFD-BA40-576DD0168A55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J5:J29</xm:sqref>
        </x14:conditionalFormatting>
        <x14:conditionalFormatting xmlns:xm="http://schemas.microsoft.com/office/excel/2006/main">
          <x14:cfRule type="dataBar" id="{906F8D3B-D040-4E48-B789-731C1F5F6E41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G5:G29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26" t="s">
        <v>78</v>
      </c>
    </row>
    <row r="2" customFormat="false" ht="15" hidden="false" customHeight="false" outlineLevel="0" collapsed="false">
      <c r="A2" s="25" t="s">
        <v>79</v>
      </c>
    </row>
    <row r="3" customFormat="false" ht="21.75" hidden="false" customHeight="true" outlineLevel="0" collapsed="false">
      <c r="A3" s="17" t="s">
        <v>80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45.75" hidden="false" customHeight="true" outlineLevel="0" collapsed="false">
      <c r="A4" s="18" t="s">
        <v>81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76</v>
      </c>
      <c r="G4" s="18" t="s">
        <v>21</v>
      </c>
      <c r="H4" s="18" t="s">
        <v>22</v>
      </c>
      <c r="I4" s="18" t="s">
        <v>77</v>
      </c>
      <c r="J4" s="18" t="s">
        <v>23</v>
      </c>
      <c r="K4" s="18" t="s">
        <v>82</v>
      </c>
    </row>
    <row r="5" customFormat="false" ht="15" hidden="false" customHeight="false" outlineLevel="0" collapsed="false">
      <c r="A5" s="19" t="n">
        <v>1</v>
      </c>
      <c r="B5" s="19" t="str">
        <f aca="false">IFERROR(INDEX('SKU Data'!$A$2:$A$95,MATCH($A5,'SKU Data'!$Z$2:$Z$95,0)),"")</f>
        <v>DC-04S</v>
      </c>
      <c r="C5" s="19" t="str">
        <f aca="false">IFERROR(INDEX('SKU Data'!$B$2:$B$95,MATCH($A5,'SKU Data'!$Z$2:$Z$95,0)),"")</f>
        <v>Designer Sympathy Collection IV</v>
      </c>
      <c r="D5" s="19" t="str">
        <f aca="false">IFERROR(INDEX('SKU Data'!$C$2:$C$95,MATCH($A5,'SKU Data'!$Z$2:$Z$95,0)),"")</f>
        <v>Sympathy</v>
      </c>
      <c r="E5" s="20" t="n">
        <f aca="false">IFERROR(INDEX('SKU Data'!$E$2:$E$95,MATCH($A5,'SKU Data'!$Z$2:$Z$95,0)),"")</f>
        <v>1192</v>
      </c>
      <c r="F5" s="20" t="n">
        <f aca="false">IFERROR(INDEX('SKU Data'!$F$2:$F$95,MATCH($A5,'SKU Data'!$Z$2:$Z$95,0)),"")</f>
        <v>75</v>
      </c>
      <c r="G5" s="21" t="n">
        <f aca="false">IFERROR(INDEX('SKU Data'!$L$2:$L$95,MATCH($A5,'SKU Data'!$Z$2:$Z$95,0)),"")</f>
        <v>0.0570469798657718</v>
      </c>
      <c r="H5" s="22" t="n">
        <f aca="false">IFERROR(INDEX('SKU Data'!$H$2:$H$95,MATCH($A5,'SKU Data'!$Z$2:$Z$95,0)),"")</f>
        <v>8683.47</v>
      </c>
      <c r="I5" s="21" t="n">
        <f aca="false">IFERROR(INDEX('SKU Data'!$N$2:$N$95,MATCH($A5,'SKU Data'!$Z$2:$Z$95,0)),"")</f>
        <v>0.00524836904532563</v>
      </c>
      <c r="J5" s="23" t="n">
        <f aca="false">IFERROR(INDEX('SKU Data'!$O$2:$O$95,MATCH($A5,'SKU Data'!$Z$2:$Z$95,0)),"")</f>
        <v>0.000674116775705099</v>
      </c>
      <c r="K5" s="21" t="n">
        <f aca="false">Settings!$B$3</f>
        <v>0.0664935064935065</v>
      </c>
    </row>
    <row r="6" customFormat="false" ht="15" hidden="false" customHeight="false" outlineLevel="0" collapsed="false">
      <c r="A6" s="19" t="n">
        <v>2</v>
      </c>
      <c r="B6" s="19" t="str">
        <f aca="false">IFERROR(INDEX('SKU Data'!$A$2:$A$95,MATCH($A6,'SKU Data'!$Z$2:$Z$95,0)),"")</f>
        <v>DC-02S</v>
      </c>
      <c r="C6" s="19" t="str">
        <f aca="false">IFERROR(INDEX('SKU Data'!$B$2:$B$95,MATCH($A6,'SKU Data'!$Z$2:$Z$95,0)),"")</f>
        <v>Designer Sympathy Collection II</v>
      </c>
      <c r="D6" s="19" t="str">
        <f aca="false">IFERROR(INDEX('SKU Data'!$C$2:$C$95,MATCH($A6,'SKU Data'!$Z$2:$Z$95,0)),"")</f>
        <v>Sympathy</v>
      </c>
      <c r="E6" s="20" t="n">
        <f aca="false">IFERROR(INDEX('SKU Data'!$E$2:$E$95,MATCH($A6,'SKU Data'!$Z$2:$Z$95,0)),"")</f>
        <v>849</v>
      </c>
      <c r="F6" s="20" t="n">
        <f aca="false">IFERROR(INDEX('SKU Data'!$F$2:$F$95,MATCH($A6,'SKU Data'!$Z$2:$Z$95,0)),"")</f>
        <v>62</v>
      </c>
      <c r="G6" s="21" t="n">
        <f aca="false">IFERROR(INDEX('SKU Data'!$L$2:$L$95,MATCH($A6,'SKU Data'!$Z$2:$Z$95,0)),"")</f>
        <v>0.0694935217903416</v>
      </c>
      <c r="H6" s="22" t="n">
        <f aca="false">IFERROR(INDEX('SKU Data'!$H$2:$H$95,MATCH($A6,'SKU Data'!$Z$2:$Z$95,0)),"")</f>
        <v>6122.41</v>
      </c>
      <c r="I6" s="21" t="n">
        <f aca="false">IFERROR(INDEX('SKU Data'!$N$2:$N$95,MATCH($A6,'SKU Data'!$Z$2:$Z$95,0)),"")</f>
        <v>0.00370044085219297</v>
      </c>
      <c r="J6" s="23" t="n">
        <f aca="false">IFERROR(INDEX('SKU Data'!$O$2:$O$95,MATCH($A6,'SKU Data'!$Z$2:$Z$95,0)),"")</f>
        <v>0.000475296084254872</v>
      </c>
      <c r="K6" s="21" t="n">
        <f aca="false">Settings!$B$3</f>
        <v>0.0664935064935065</v>
      </c>
    </row>
    <row r="7" customFormat="false" ht="15" hidden="false" customHeight="false" outlineLevel="0" collapsed="false">
      <c r="A7" s="19" t="n">
        <v>3</v>
      </c>
      <c r="B7" s="19" t="str">
        <f aca="false">IFERROR(INDEX('SKU Data'!$A$2:$A$95,MATCH($A7,'SKU Data'!$Z$2:$Z$95,0)),"")</f>
        <v>AUDNAT-02</v>
      </c>
      <c r="C7" s="19" t="str">
        <f aca="false">IFERROR(INDEX('SKU Data'!$B$2:$B$95,MATCH($A7,'SKU Data'!$Z$2:$Z$95,0)),"")</f>
        <v>Native Flowers Bouquet Designer Collection II</v>
      </c>
      <c r="D7" s="19" t="str">
        <f aca="false">IFERROR(INDEX('SKU Data'!$C$2:$C$95,MATCH($A7,'SKU Data'!$Z$2:$Z$95,0)),"")</f>
        <v>Native Flowers</v>
      </c>
      <c r="E7" s="20" t="n">
        <f aca="false">IFERROR(INDEX('SKU Data'!$E$2:$E$95,MATCH($A7,'SKU Data'!$Z$2:$Z$95,0)),"")</f>
        <v>802</v>
      </c>
      <c r="F7" s="20" t="n">
        <f aca="false">IFERROR(INDEX('SKU Data'!$F$2:$F$95,MATCH($A7,'SKU Data'!$Z$2:$Z$95,0)),"")</f>
        <v>62</v>
      </c>
      <c r="G7" s="21" t="n">
        <f aca="false">IFERROR(INDEX('SKU Data'!$L$2:$L$95,MATCH($A7,'SKU Data'!$Z$2:$Z$95,0)),"")</f>
        <v>0.0685785536159601</v>
      </c>
      <c r="H7" s="22" t="n">
        <f aca="false">IFERROR(INDEX('SKU Data'!$H$2:$H$95,MATCH($A7,'SKU Data'!$Z$2:$Z$95,0)),"")</f>
        <v>6090.57</v>
      </c>
      <c r="I7" s="21" t="n">
        <f aca="false">IFERROR(INDEX('SKU Data'!$N$2:$N$95,MATCH($A7,'SKU Data'!$Z$2:$Z$95,0)),"")</f>
        <v>0.00368119646367051</v>
      </c>
      <c r="J7" s="23" t="n">
        <f aca="false">IFERROR(INDEX('SKU Data'!$O$2:$O$95,MATCH($A7,'SKU Data'!$Z$2:$Z$95,0)),"")</f>
        <v>0.000472824275388319</v>
      </c>
      <c r="K7" s="21" t="n">
        <f aca="false">Settings!$B$3</f>
        <v>0.0664935064935065</v>
      </c>
    </row>
    <row r="8" customFormat="false" ht="15" hidden="false" customHeight="false" outlineLevel="0" collapsed="false">
      <c r="A8" s="19" t="n">
        <v>4</v>
      </c>
      <c r="B8" s="19" t="str">
        <f aca="false">IFERROR(INDEX('SKU Data'!$A$2:$A$95,MATCH($A8,'SKU Data'!$Z$2:$Z$95,0)),"")</f>
        <v>DC-01S</v>
      </c>
      <c r="C8" s="19" t="str">
        <f aca="false">IFERROR(INDEX('SKU Data'!$B$2:$B$95,MATCH($A8,'SKU Data'!$Z$2:$Z$95,0)),"")</f>
        <v>Designer Sympathy Collection I</v>
      </c>
      <c r="D8" s="19" t="str">
        <f aca="false">IFERROR(INDEX('SKU Data'!$C$2:$C$95,MATCH($A8,'SKU Data'!$Z$2:$Z$95,0)),"")</f>
        <v>Sympathy</v>
      </c>
      <c r="E8" s="20" t="n">
        <f aca="false">IFERROR(INDEX('SKU Data'!$E$2:$E$95,MATCH($A8,'SKU Data'!$Z$2:$Z$95,0)),"")</f>
        <v>997</v>
      </c>
      <c r="F8" s="20" t="n">
        <f aca="false">IFERROR(INDEX('SKU Data'!$F$2:$F$95,MATCH($A8,'SKU Data'!$Z$2:$Z$95,0)),"")</f>
        <v>60</v>
      </c>
      <c r="G8" s="21" t="n">
        <f aca="false">IFERROR(INDEX('SKU Data'!$L$2:$L$95,MATCH($A8,'SKU Data'!$Z$2:$Z$95,0)),"")</f>
        <v>0.0481444332998997</v>
      </c>
      <c r="H8" s="22" t="n">
        <f aca="false">IFERROR(INDEX('SKU Data'!$H$2:$H$95,MATCH($A8,'SKU Data'!$Z$2:$Z$95,0)),"")</f>
        <v>4255.73</v>
      </c>
      <c r="I8" s="21" t="n">
        <f aca="false">IFERROR(INDEX('SKU Data'!$N$2:$N$95,MATCH($A8,'SKU Data'!$Z$2:$Z$95,0)),"")</f>
        <v>0.00257220231051223</v>
      </c>
      <c r="J8" s="23" t="n">
        <f aca="false">IFERROR(INDEX('SKU Data'!$O$2:$O$95,MATCH($A8,'SKU Data'!$Z$2:$Z$95,0)),"")</f>
        <v>0.000330381631521899</v>
      </c>
      <c r="K8" s="21" t="n">
        <f aca="false">Settings!$B$3</f>
        <v>0.0664935064935065</v>
      </c>
    </row>
    <row r="9" customFormat="false" ht="15" hidden="false" customHeight="false" outlineLevel="0" collapsed="false">
      <c r="A9" s="19" t="n">
        <v>5</v>
      </c>
      <c r="B9" s="19" t="str">
        <f aca="false">IFERROR(INDEX('SKU Data'!$A$2:$A$95,MATCH($A9,'SKU Data'!$Z$2:$Z$95,0)),"")</f>
        <v>DC-03S</v>
      </c>
      <c r="C9" s="19" t="str">
        <f aca="false">IFERROR(INDEX('SKU Data'!$B$2:$B$95,MATCH($A9,'SKU Data'!$Z$2:$Z$95,0)),"")</f>
        <v>Designer Sympathy Collection III</v>
      </c>
      <c r="D9" s="19" t="str">
        <f aca="false">IFERROR(INDEX('SKU Data'!$C$2:$C$95,MATCH($A9,'SKU Data'!$Z$2:$Z$95,0)),"")</f>
        <v>Sympathy</v>
      </c>
      <c r="E9" s="20" t="n">
        <f aca="false">IFERROR(INDEX('SKU Data'!$E$2:$E$95,MATCH($A9,'SKU Data'!$Z$2:$Z$95,0)),"")</f>
        <v>549</v>
      </c>
      <c r="F9" s="20" t="n">
        <f aca="false">IFERROR(INDEX('SKU Data'!$F$2:$F$95,MATCH($A9,'SKU Data'!$Z$2:$Z$95,0)),"")</f>
        <v>39</v>
      </c>
      <c r="G9" s="21" t="n">
        <f aca="false">IFERROR(INDEX('SKU Data'!$L$2:$L$95,MATCH($A9,'SKU Data'!$Z$2:$Z$95,0)),"")</f>
        <v>0.0528233151183971</v>
      </c>
      <c r="H9" s="22" t="n">
        <f aca="false">IFERROR(INDEX('SKU Data'!$H$2:$H$95,MATCH($A9,'SKU Data'!$Z$2:$Z$95,0)),"")</f>
        <v>4565.17</v>
      </c>
      <c r="I9" s="21" t="n">
        <f aca="false">IFERROR(INDEX('SKU Data'!$N$2:$N$95,MATCH($A9,'SKU Data'!$Z$2:$Z$95,0)),"")</f>
        <v>0.002759230689419</v>
      </c>
      <c r="J9" s="23" t="n">
        <f aca="false">IFERROR(INDEX('SKU Data'!$O$2:$O$95,MATCH($A9,'SKU Data'!$Z$2:$Z$95,0)),"")</f>
        <v>0.000354404135782774</v>
      </c>
      <c r="K9" s="21" t="n">
        <f aca="false">Settings!$B$3</f>
        <v>0.0664935064935065</v>
      </c>
    </row>
    <row r="10" customFormat="false" ht="15" hidden="false" customHeight="false" outlineLevel="0" collapsed="false">
      <c r="A10" s="19" t="n">
        <v>6</v>
      </c>
      <c r="B10" s="19" t="str">
        <f aca="false">IFERROR(INDEX('SKU Data'!$A$2:$A$95,MATCH($A10,'SKU Data'!$Z$2:$Z$95,0)),"")</f>
        <v>DC-01B</v>
      </c>
      <c r="C10" s="19" t="str">
        <f aca="false">IFERROR(INDEX('SKU Data'!$B$2:$B$95,MATCH($A10,'SKU Data'!$Z$2:$Z$95,0)),"")</f>
        <v>Birthday Designer Collection I</v>
      </c>
      <c r="D10" s="19" t="str">
        <f aca="false">IFERROR(INDEX('SKU Data'!$C$2:$C$95,MATCH($A10,'SKU Data'!$Z$2:$Z$95,0)),"")</f>
        <v>Birthday</v>
      </c>
      <c r="E10" s="20" t="n">
        <f aca="false">IFERROR(INDEX('SKU Data'!$E$2:$E$95,MATCH($A10,'SKU Data'!$Z$2:$Z$95,0)),"")</f>
        <v>551</v>
      </c>
      <c r="F10" s="20" t="n">
        <f aca="false">IFERROR(INDEX('SKU Data'!$F$2:$F$95,MATCH($A10,'SKU Data'!$Z$2:$Z$95,0)),"")</f>
        <v>36</v>
      </c>
      <c r="G10" s="21" t="n">
        <f aca="false">IFERROR(INDEX('SKU Data'!$L$2:$L$95,MATCH($A10,'SKU Data'!$Z$2:$Z$95,0)),"")</f>
        <v>0.0635208711433757</v>
      </c>
      <c r="H10" s="22" t="n">
        <f aca="false">IFERROR(INDEX('SKU Data'!$H$2:$H$95,MATCH($A10,'SKU Data'!$Z$2:$Z$95,0)),"")</f>
        <v>2433.11</v>
      </c>
      <c r="I10" s="21" t="n">
        <f aca="false">IFERROR(INDEX('SKU Data'!$N$2:$N$95,MATCH($A10,'SKU Data'!$Z$2:$Z$95,0)),"")</f>
        <v>0.00147059403762232</v>
      </c>
      <c r="J10" s="23" t="n">
        <f aca="false">IFERROR(INDEX('SKU Data'!$O$2:$O$95,MATCH($A10,'SKU Data'!$Z$2:$Z$95,0)),"")</f>
        <v>0.000188887652993081</v>
      </c>
      <c r="K10" s="21" t="n">
        <f aca="false">Settings!$B$3</f>
        <v>0.0664935064935065</v>
      </c>
    </row>
    <row r="11" customFormat="false" ht="15" hidden="false" customHeight="false" outlineLevel="0" collapsed="false">
      <c r="A11" s="19" t="n">
        <v>7</v>
      </c>
      <c r="B11" s="19" t="str">
        <f aca="false">IFERROR(INDEX('SKU Data'!$A$2:$A$95,MATCH($A11,'SKU Data'!$Z$2:$Z$95,0)),"")</f>
        <v>AUDNAT-01</v>
      </c>
      <c r="C11" s="19" t="str">
        <f aca="false">IFERROR(INDEX('SKU Data'!$B$2:$B$95,MATCH($A11,'SKU Data'!$Z$2:$Z$95,0)),"")</f>
        <v>Native Flowers Bouquet Designer Collection I</v>
      </c>
      <c r="D11" s="19" t="str">
        <f aca="false">IFERROR(INDEX('SKU Data'!$C$2:$C$95,MATCH($A11,'SKU Data'!$Z$2:$Z$95,0)),"")</f>
        <v>Native Flowers</v>
      </c>
      <c r="E11" s="20" t="n">
        <f aca="false">IFERROR(INDEX('SKU Data'!$E$2:$E$95,MATCH($A11,'SKU Data'!$Z$2:$Z$95,0)),"")</f>
        <v>374</v>
      </c>
      <c r="F11" s="20" t="n">
        <f aca="false">IFERROR(INDEX('SKU Data'!$F$2:$F$95,MATCH($A11,'SKU Data'!$Z$2:$Z$95,0)),"")</f>
        <v>34</v>
      </c>
      <c r="G11" s="21" t="n">
        <f aca="false">IFERROR(INDEX('SKU Data'!$L$2:$L$95,MATCH($A11,'SKU Data'!$Z$2:$Z$95,0)),"")</f>
        <v>0.0695187165775401</v>
      </c>
      <c r="H11" s="22" t="n">
        <f aca="false">IFERROR(INDEX('SKU Data'!$H$2:$H$95,MATCH($A11,'SKU Data'!$Z$2:$Z$95,0)),"")</f>
        <v>2872.37</v>
      </c>
      <c r="I11" s="21" t="n">
        <f aca="false">IFERROR(INDEX('SKU Data'!$N$2:$N$95,MATCH($A11,'SKU Data'!$Z$2:$Z$95,0)),"")</f>
        <v>0.00173608681721961</v>
      </c>
      <c r="J11" s="23" t="n">
        <f aca="false">IFERROR(INDEX('SKU Data'!$O$2:$O$95,MATCH($A11,'SKU Data'!$Z$2:$Z$95,0)),"")</f>
        <v>0.0002229883679027</v>
      </c>
      <c r="K11" s="21" t="n">
        <f aca="false">Settings!$B$3</f>
        <v>0.0664935064935065</v>
      </c>
    </row>
    <row r="12" customFormat="false" ht="15" hidden="false" customHeight="false" outlineLevel="0" collapsed="false">
      <c r="A12" s="19" t="n">
        <v>8</v>
      </c>
      <c r="B12" s="19" t="str">
        <f aca="false">IFERROR(INDEX('SKU Data'!$A$2:$A$95,MATCH($A12,'SKU Data'!$Z$2:$Z$95,0)),"")</f>
        <v>AUDNAT-03</v>
      </c>
      <c r="C12" s="19" t="str">
        <f aca="false">IFERROR(INDEX('SKU Data'!$B$2:$B$95,MATCH($A12,'SKU Data'!$Z$2:$Z$95,0)),"")</f>
        <v>Native Flowers Bouquet Designer Collection III</v>
      </c>
      <c r="D12" s="19" t="str">
        <f aca="false">IFERROR(INDEX('SKU Data'!$C$2:$C$95,MATCH($A12,'SKU Data'!$Z$2:$Z$95,0)),"")</f>
        <v>Native Flowers</v>
      </c>
      <c r="E12" s="20" t="n">
        <f aca="false">IFERROR(INDEX('SKU Data'!$E$2:$E$95,MATCH($A12,'SKU Data'!$Z$2:$Z$95,0)),"")</f>
        <v>353</v>
      </c>
      <c r="F12" s="20" t="n">
        <f aca="false">IFERROR(INDEX('SKU Data'!$F$2:$F$95,MATCH($A12,'SKU Data'!$Z$2:$Z$95,0)),"")</f>
        <v>31</v>
      </c>
      <c r="G12" s="21" t="n">
        <f aca="false">IFERROR(INDEX('SKU Data'!$L$2:$L$95,MATCH($A12,'SKU Data'!$Z$2:$Z$95,0)),"")</f>
        <v>0.0708215297450425</v>
      </c>
      <c r="H12" s="22" t="n">
        <f aca="false">IFERROR(INDEX('SKU Data'!$H$2:$H$95,MATCH($A12,'SKU Data'!$Z$2:$Z$95,0)),"")</f>
        <v>4128.81</v>
      </c>
      <c r="I12" s="21" t="n">
        <f aca="false">IFERROR(INDEX('SKU Data'!$N$2:$N$95,MATCH($A12,'SKU Data'!$Z$2:$Z$95,0)),"")</f>
        <v>0.00249549069646477</v>
      </c>
      <c r="J12" s="23" t="n">
        <f aca="false">IFERROR(INDEX('SKU Data'!$O$2:$O$95,MATCH($A12,'SKU Data'!$Z$2:$Z$95,0)),"")</f>
        <v>0.000320528554218414</v>
      </c>
      <c r="K12" s="21" t="n">
        <f aca="false">Settings!$B$3</f>
        <v>0.0664935064935065</v>
      </c>
    </row>
    <row r="13" customFormat="false" ht="15" hidden="false" customHeight="false" outlineLevel="0" collapsed="false">
      <c r="A13" s="19" t="n">
        <v>9</v>
      </c>
      <c r="B13" s="19" t="str">
        <f aca="false">IFERROR(INDEX('SKU Data'!$A$2:$A$95,MATCH($A13,'SKU Data'!$Z$2:$Z$95,0)),"")</f>
        <v>DC-02B</v>
      </c>
      <c r="C13" s="19" t="str">
        <f aca="false">IFERROR(INDEX('SKU Data'!$B$2:$B$95,MATCH($A13,'SKU Data'!$Z$2:$Z$95,0)),"")</f>
        <v>Birthday Designer Collection II</v>
      </c>
      <c r="D13" s="19" t="str">
        <f aca="false">IFERROR(INDEX('SKU Data'!$C$2:$C$95,MATCH($A13,'SKU Data'!$Z$2:$Z$95,0)),"")</f>
        <v>Birthday</v>
      </c>
      <c r="E13" s="20" t="n">
        <f aca="false">IFERROR(INDEX('SKU Data'!$E$2:$E$95,MATCH($A13,'SKU Data'!$Z$2:$Z$95,0)),"")</f>
        <v>223</v>
      </c>
      <c r="F13" s="20" t="n">
        <f aca="false">IFERROR(INDEX('SKU Data'!$F$2:$F$95,MATCH($A13,'SKU Data'!$Z$2:$Z$95,0)),"")</f>
        <v>28</v>
      </c>
      <c r="G13" s="21" t="n">
        <f aca="false">IFERROR(INDEX('SKU Data'!$L$2:$L$95,MATCH($A13,'SKU Data'!$Z$2:$Z$95,0)),"")</f>
        <v>0.112107623318386</v>
      </c>
      <c r="H13" s="22" t="n">
        <f aca="false">IFERROR(INDEX('SKU Data'!$H$2:$H$95,MATCH($A13,'SKU Data'!$Z$2:$Z$95,0)),"")</f>
        <v>2889.28</v>
      </c>
      <c r="I13" s="21" t="n">
        <f aca="false">IFERROR(INDEX('SKU Data'!$N$2:$N$95,MATCH($A13,'SKU Data'!$Z$2:$Z$95,0)),"")</f>
        <v>0.00174630737657623</v>
      </c>
      <c r="J13" s="23" t="n">
        <f aca="false">IFERROR(INDEX('SKU Data'!$O$2:$O$95,MATCH($A13,'SKU Data'!$Z$2:$Z$95,0)),"")</f>
        <v>0.000224301128202116</v>
      </c>
      <c r="K13" s="21" t="n">
        <f aca="false">Settings!$B$3</f>
        <v>0.0664935064935065</v>
      </c>
    </row>
    <row r="14" customFormat="false" ht="15" hidden="false" customHeight="false" outlineLevel="0" collapsed="false">
      <c r="A14" s="19" t="n">
        <v>10</v>
      </c>
      <c r="B14" s="19" t="str">
        <f aca="false">IFERROR(INDEX('SKU Data'!$A$2:$A$95,MATCH($A14,'SKU Data'!$Z$2:$Z$95,0)),"")</f>
        <v>DCMJ-01</v>
      </c>
      <c r="C14" s="19" t="str">
        <f aca="false">IFERROR(INDEX('SKU Data'!$B$2:$B$95,MATCH($A14,'SKU Data'!$Z$2:$Z$95,0)),"")</f>
        <v>Designer Collection Mason Jar I</v>
      </c>
      <c r="D14" s="19" t="str">
        <f aca="false">IFERROR(INDEX('SKU Data'!$C$2:$C$95,MATCH($A14,'SKU Data'!$Z$2:$Z$95,0)),"")</f>
        <v>Mason Jar</v>
      </c>
      <c r="E14" s="20" t="n">
        <f aca="false">IFERROR(INDEX('SKU Data'!$E$2:$E$95,MATCH($A14,'SKU Data'!$Z$2:$Z$95,0)),"")</f>
        <v>110</v>
      </c>
      <c r="F14" s="20" t="n">
        <f aca="false">IFERROR(INDEX('SKU Data'!$F$2:$F$95,MATCH($A14,'SKU Data'!$Z$2:$Z$95,0)),"")</f>
        <v>18</v>
      </c>
      <c r="G14" s="21" t="n">
        <f aca="false">IFERROR(INDEX('SKU Data'!$L$2:$L$95,MATCH($A14,'SKU Data'!$Z$2:$Z$95,0)),"")</f>
        <v>0.127272727272727</v>
      </c>
      <c r="H14" s="22" t="n">
        <f aca="false">IFERROR(INDEX('SKU Data'!$H$2:$H$95,MATCH($A14,'SKU Data'!$Z$2:$Z$95,0)),"")</f>
        <v>941.68</v>
      </c>
      <c r="I14" s="21" t="n">
        <f aca="false">IFERROR(INDEX('SKU Data'!$N$2:$N$95,MATCH($A14,'SKU Data'!$Z$2:$Z$95,0)),"")</f>
        <v>0.000569160043462146</v>
      </c>
      <c r="J14" s="23" t="n">
        <f aca="false">IFERROR(INDEX('SKU Data'!$O$2:$O$95,MATCH($A14,'SKU Data'!$Z$2:$Z$95,0)),"")</f>
        <v>7.31046788145727E-005</v>
      </c>
      <c r="K14" s="21" t="n">
        <f aca="false">Settings!$B$3</f>
        <v>0.0664935064935065</v>
      </c>
    </row>
    <row r="15" customFormat="false" ht="15" hidden="false" customHeight="false" outlineLevel="0" collapsed="false">
      <c r="A15" s="19" t="n">
        <v>11</v>
      </c>
      <c r="B15" s="19" t="str">
        <f aca="false">IFERROR(INDEX('SKU Data'!$A$2:$A$95,MATCH($A15,'SKU Data'!$Z$2:$Z$95,0)),"")</f>
        <v>DCMJ-04A</v>
      </c>
      <c r="C15" s="19" t="str">
        <f aca="false">IFERROR(INDEX('SKU Data'!$B$2:$B$95,MATCH($A15,'SKU Data'!$Z$2:$Z$95,0)),"")</f>
        <v>Designer Collection Mason Jar IV</v>
      </c>
      <c r="D15" s="19" t="str">
        <f aca="false">IFERROR(INDEX('SKU Data'!$C$2:$C$95,MATCH($A15,'SKU Data'!$Z$2:$Z$95,0)),"")</f>
        <v>Mason Jar</v>
      </c>
      <c r="E15" s="20" t="n">
        <f aca="false">IFERROR(INDEX('SKU Data'!$E$2:$E$95,MATCH($A15,'SKU Data'!$Z$2:$Z$95,0)),"")</f>
        <v>133</v>
      </c>
      <c r="F15" s="20" t="n">
        <f aca="false">IFERROR(INDEX('SKU Data'!$F$2:$F$95,MATCH($A15,'SKU Data'!$Z$2:$Z$95,0)),"")</f>
        <v>13</v>
      </c>
      <c r="G15" s="21" t="n">
        <f aca="false">IFERROR(INDEX('SKU Data'!$L$2:$L$95,MATCH($A15,'SKU Data'!$Z$2:$Z$95,0)),"")</f>
        <v>0.0601503759398496</v>
      </c>
      <c r="H15" s="22" t="n">
        <f aca="false">IFERROR(INDEX('SKU Data'!$H$2:$H$95,MATCH($A15,'SKU Data'!$Z$2:$Z$95,0)),"")</f>
        <v>1072.34</v>
      </c>
      <c r="I15" s="21" t="n">
        <f aca="false">IFERROR(INDEX('SKU Data'!$N$2:$N$95,MATCH($A15,'SKU Data'!$Z$2:$Z$95,0)),"")</f>
        <v>0.000648132147869975</v>
      </c>
      <c r="J15" s="23" t="n">
        <f aca="false">IFERROR(INDEX('SKU Data'!$O$2:$O$95,MATCH($A15,'SKU Data'!$Z$2:$Z$95,0)),"")</f>
        <v>8.32481005012519E-005</v>
      </c>
      <c r="K15" s="21" t="n">
        <f aca="false">Settings!$B$3</f>
        <v>0.0664935064935065</v>
      </c>
    </row>
    <row r="16" customFormat="false" ht="15" hidden="false" customHeight="false" outlineLevel="0" collapsed="false">
      <c r="A16" s="19" t="n">
        <v>12</v>
      </c>
      <c r="B16" s="19" t="str">
        <f aca="false">IFERROR(INDEX('SKU Data'!$A$2:$A$95,MATCH($A16,'SKU Data'!$Z$2:$Z$95,0)),"")</f>
        <v>DCB-02</v>
      </c>
      <c r="C16" s="19" t="str">
        <f aca="false">IFERROR(INDEX('SKU Data'!$B$2:$B$95,MATCH($A16,'SKU Data'!$Z$2:$Z$95,0)),"")</f>
        <v>Birthday Designer Collection II</v>
      </c>
      <c r="D16" s="19" t="str">
        <f aca="false">IFERROR(INDEX('SKU Data'!$C$2:$C$95,MATCH($A16,'SKU Data'!$Z$2:$Z$95,0)),"")</f>
        <v>Birthday</v>
      </c>
      <c r="E16" s="20" t="n">
        <f aca="false">IFERROR(INDEX('SKU Data'!$E$2:$E$95,MATCH($A16,'SKU Data'!$Z$2:$Z$95,0)),"")</f>
        <v>87</v>
      </c>
      <c r="F16" s="20" t="n">
        <f aca="false">IFERROR(INDEX('SKU Data'!$F$2:$F$95,MATCH($A16,'SKU Data'!$Z$2:$Z$95,0)),"")</f>
        <v>12</v>
      </c>
      <c r="G16" s="21" t="n">
        <f aca="false">IFERROR(INDEX('SKU Data'!$L$2:$L$95,MATCH($A16,'SKU Data'!$Z$2:$Z$95,0)),"")</f>
        <v>0.114942528735632</v>
      </c>
      <c r="H16" s="22" t="n">
        <f aca="false">IFERROR(INDEX('SKU Data'!$H$2:$H$95,MATCH($A16,'SKU Data'!$Z$2:$Z$95,0)),"")</f>
        <v>1216.35</v>
      </c>
      <c r="I16" s="21" t="n">
        <f aca="false">IFERROR(INDEX('SKU Data'!$N$2:$N$95,MATCH($A16,'SKU Data'!$Z$2:$Z$95,0)),"")</f>
        <v>0.000735173114927769</v>
      </c>
      <c r="J16" s="23" t="n">
        <f aca="false">IFERROR(INDEX('SKU Data'!$O$2:$O$95,MATCH($A16,'SKU Data'!$Z$2:$Z$95,0)),"")</f>
        <v>9.44279118979966E-005</v>
      </c>
      <c r="K16" s="21" t="n">
        <f aca="false">Settings!$B$3</f>
        <v>0.0664935064935065</v>
      </c>
    </row>
    <row r="17" customFormat="false" ht="15" hidden="false" customHeight="false" outlineLevel="0" collapsed="false">
      <c r="A17" s="19" t="n">
        <v>13</v>
      </c>
      <c r="B17" s="19" t="str">
        <f aca="false">IFERROR(INDEX('SKU Data'!$A$2:$A$95,MATCH($A17,'SKU Data'!$Z$2:$Z$95,0)),"")</f>
        <v>DCB-01C</v>
      </c>
      <c r="C17" s="19" t="str">
        <f aca="false">IFERROR(INDEX('SKU Data'!$B$2:$B$95,MATCH($A17,'SKU Data'!$Z$2:$Z$95,0)),"")</f>
        <v>Birthday Designer Collection I Combo</v>
      </c>
      <c r="D17" s="19" t="str">
        <f aca="false">IFERROR(INDEX('SKU Data'!$C$2:$C$95,MATCH($A17,'SKU Data'!$Z$2:$Z$95,0)),"")</f>
        <v>Birthday</v>
      </c>
      <c r="E17" s="20" t="n">
        <f aca="false">IFERROR(INDEX('SKU Data'!$E$2:$E$95,MATCH($A17,'SKU Data'!$Z$2:$Z$95,0)),"")</f>
        <v>95</v>
      </c>
      <c r="F17" s="20" t="n">
        <f aca="false">IFERROR(INDEX('SKU Data'!$F$2:$F$95,MATCH($A17,'SKU Data'!$Z$2:$Z$95,0)),"")</f>
        <v>12</v>
      </c>
      <c r="G17" s="21" t="n">
        <f aca="false">IFERROR(INDEX('SKU Data'!$L$2:$L$95,MATCH($A17,'SKU Data'!$Z$2:$Z$95,0)),"")</f>
        <v>0.105263157894737</v>
      </c>
      <c r="H17" s="22" t="n">
        <f aca="false">IFERROR(INDEX('SKU Data'!$H$2:$H$95,MATCH($A17,'SKU Data'!$Z$2:$Z$95,0)),"")</f>
        <v>957.93</v>
      </c>
      <c r="I17" s="21" t="n">
        <f aca="false">IFERROR(INDEX('SKU Data'!$N$2:$N$95,MATCH($A17,'SKU Data'!$Z$2:$Z$95,0)),"")</f>
        <v>0.000578981692755175</v>
      </c>
      <c r="J17" s="23" t="n">
        <f aca="false">IFERROR(INDEX('SKU Data'!$O$2:$O$95,MATCH($A17,'SKU Data'!$Z$2:$Z$95,0)),"")</f>
        <v>7.43662018698959E-005</v>
      </c>
      <c r="K17" s="21" t="n">
        <f aca="false">Settings!$B$3</f>
        <v>0.0664935064935065</v>
      </c>
    </row>
    <row r="18" customFormat="false" ht="15" hidden="false" customHeight="false" outlineLevel="0" collapsed="false">
      <c r="A18" s="19" t="n">
        <v>14</v>
      </c>
      <c r="B18" s="19" t="str">
        <f aca="false">IFERROR(INDEX('SKU Data'!$A$2:$A$95,MATCH($A18,'SKU Data'!$Z$2:$Z$95,0)),"")</f>
        <v>DCMJ-03A</v>
      </c>
      <c r="C18" s="19" t="str">
        <f aca="false">IFERROR(INDEX('SKU Data'!$B$2:$B$95,MATCH($A18,'SKU Data'!$Z$2:$Z$95,0)),"")</f>
        <v>Designer Collection Mason Jar III</v>
      </c>
      <c r="D18" s="19" t="str">
        <f aca="false">IFERROR(INDEX('SKU Data'!$C$2:$C$95,MATCH($A18,'SKU Data'!$Z$2:$Z$95,0)),"")</f>
        <v>Mason Jar</v>
      </c>
      <c r="E18" s="20" t="n">
        <f aca="false">IFERROR(INDEX('SKU Data'!$E$2:$E$95,MATCH($A18,'SKU Data'!$Z$2:$Z$95,0)),"")</f>
        <v>108</v>
      </c>
      <c r="F18" s="20" t="n">
        <f aca="false">IFERROR(INDEX('SKU Data'!$F$2:$F$95,MATCH($A18,'SKU Data'!$Z$2:$Z$95,0)),"")</f>
        <v>10</v>
      </c>
      <c r="G18" s="21" t="n">
        <f aca="false">IFERROR(INDEX('SKU Data'!$L$2:$L$95,MATCH($A18,'SKU Data'!$Z$2:$Z$95,0)),"")</f>
        <v>0.0740740740740741</v>
      </c>
      <c r="H18" s="22" t="n">
        <f aca="false">IFERROR(INDEX('SKU Data'!$H$2:$H$95,MATCH($A18,'SKU Data'!$Z$2:$Z$95,0)),"")</f>
        <v>762.09</v>
      </c>
      <c r="I18" s="21" t="n">
        <f aca="false">IFERROR(INDEX('SKU Data'!$N$2:$N$95,MATCH($A18,'SKU Data'!$Z$2:$Z$95,0)),"")</f>
        <v>0.000460614197521522</v>
      </c>
      <c r="J18" s="23" t="n">
        <f aca="false">IFERROR(INDEX('SKU Data'!$O$2:$O$95,MATCH($A18,'SKU Data'!$Z$2:$Z$95,0)),"")</f>
        <v>5.91627141680801E-005</v>
      </c>
      <c r="K18" s="21" t="n">
        <f aca="false">Settings!$B$3</f>
        <v>0.0664935064935065</v>
      </c>
    </row>
    <row r="19" customFormat="false" ht="15" hidden="false" customHeight="false" outlineLevel="0" collapsed="false">
      <c r="A19" s="19" t="n">
        <v>15</v>
      </c>
      <c r="B19" s="19" t="str">
        <f aca="false">IFERROR(INDEX('SKU Data'!$A$2:$A$95,MATCH($A19,'SKU Data'!$Z$2:$Z$95,0)),"")</f>
        <v>DC-01A</v>
      </c>
      <c r="C19" s="19" t="str">
        <f aca="false">IFERROR(INDEX('SKU Data'!$B$2:$B$95,MATCH($A19,'SKU Data'!$Z$2:$Z$95,0)),"")</f>
        <v>Designer Collection Anniversary I</v>
      </c>
      <c r="D19" s="19" t="str">
        <f aca="false">IFERROR(INDEX('SKU Data'!$C$2:$C$95,MATCH($A19,'SKU Data'!$Z$2:$Z$95,0)),"")</f>
        <v>Anniversary</v>
      </c>
      <c r="E19" s="20" t="n">
        <f aca="false">IFERROR(INDEX('SKU Data'!$E$2:$E$95,MATCH($A19,'SKU Data'!$Z$2:$Z$95,0)),"")</f>
        <v>158</v>
      </c>
      <c r="F19" s="20" t="n">
        <f aca="false">IFERROR(INDEX('SKU Data'!$F$2:$F$95,MATCH($A19,'SKU Data'!$Z$2:$Z$95,0)),"")</f>
        <v>9</v>
      </c>
      <c r="G19" s="21" t="n">
        <f aca="false">IFERROR(INDEX('SKU Data'!$L$2:$L$95,MATCH($A19,'SKU Data'!$Z$2:$Z$95,0)),"")</f>
        <v>0.0506329113924051</v>
      </c>
      <c r="H19" s="22" t="n">
        <f aca="false">IFERROR(INDEX('SKU Data'!$H$2:$H$95,MATCH($A19,'SKU Data'!$Z$2:$Z$95,0)),"")</f>
        <v>669.8</v>
      </c>
      <c r="I19" s="21" t="n">
        <f aca="false">IFERROR(INDEX('SKU Data'!$N$2:$N$95,MATCH($A19,'SKU Data'!$Z$2:$Z$95,0)),"")</f>
        <v>0.000404833273628988</v>
      </c>
      <c r="J19" s="23" t="n">
        <f aca="false">IFERROR(INDEX('SKU Data'!$O$2:$O$95,MATCH($A19,'SKU Data'!$Z$2:$Z$95,0)),"")</f>
        <v>5.19980395357242E-005</v>
      </c>
      <c r="K19" s="21" t="n">
        <f aca="false">Settings!$B$3</f>
        <v>0.0664935064935065</v>
      </c>
    </row>
    <row r="22" customFormat="false" ht="21.75" hidden="false" customHeight="true" outlineLevel="0" collapsed="false">
      <c r="A22" s="17" t="s">
        <v>83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45.75" hidden="false" customHeight="true" outlineLevel="0" collapsed="false">
      <c r="A23" s="18" t="s">
        <v>81</v>
      </c>
      <c r="B23" s="18" t="s">
        <v>16</v>
      </c>
      <c r="C23" s="18" t="s">
        <v>17</v>
      </c>
      <c r="D23" s="18" t="s">
        <v>18</v>
      </c>
      <c r="E23" s="18" t="s">
        <v>19</v>
      </c>
      <c r="F23" s="18" t="s">
        <v>76</v>
      </c>
      <c r="G23" s="18" t="s">
        <v>21</v>
      </c>
      <c r="H23" s="18" t="s">
        <v>22</v>
      </c>
      <c r="I23" s="18" t="s">
        <v>77</v>
      </c>
      <c r="J23" s="18" t="s">
        <v>23</v>
      </c>
      <c r="K23" s="18" t="s">
        <v>82</v>
      </c>
    </row>
    <row r="24" customFormat="false" ht="15" hidden="false" customHeight="false" outlineLevel="0" collapsed="false">
      <c r="A24" s="19" t="n">
        <v>1</v>
      </c>
      <c r="B24" s="19" t="str">
        <f aca="false">IFERROR(INDEX('SKU Data'!$A$2:$A$95,MATCH($A24,'SKU Data'!$AA$2:$AA$95,0)),"")</f>
        <v>DC-04S</v>
      </c>
      <c r="C24" s="19" t="str">
        <f aca="false">IFERROR(INDEX('SKU Data'!$B$2:$B$95,MATCH($A24,'SKU Data'!$AA$2:$AA$95,0)),"")</f>
        <v>Designer Sympathy Collection IV</v>
      </c>
      <c r="D24" s="19" t="str">
        <f aca="false">IFERROR(INDEX('SKU Data'!$C$2:$C$95,MATCH($A24,'SKU Data'!$AA$2:$AA$95,0)),"")</f>
        <v>Sympathy</v>
      </c>
      <c r="E24" s="20" t="n">
        <f aca="false">IFERROR(INDEX('SKU Data'!$E$2:$E$95,MATCH($A24,'SKU Data'!$AA$2:$AA$95,0)),"")</f>
        <v>1192</v>
      </c>
      <c r="F24" s="20" t="n">
        <f aca="false">IFERROR(INDEX('SKU Data'!$F$2:$F$95,MATCH($A24,'SKU Data'!$AA$2:$AA$95,0)),"")</f>
        <v>75</v>
      </c>
      <c r="G24" s="21" t="n">
        <f aca="false">IFERROR(INDEX('SKU Data'!$L$2:$L$95,MATCH($A24,'SKU Data'!$AA$2:$AA$95,0)),"")</f>
        <v>0.0570469798657718</v>
      </c>
      <c r="H24" s="22" t="n">
        <f aca="false">IFERROR(INDEX('SKU Data'!$H$2:$H$95,MATCH($A24,'SKU Data'!$AA$2:$AA$95,0)),"")</f>
        <v>8683.47</v>
      </c>
      <c r="I24" s="21" t="n">
        <f aca="false">IFERROR(INDEX('SKU Data'!$N$2:$N$95,MATCH($A24,'SKU Data'!$AA$2:$AA$95,0)),"")</f>
        <v>0.00524836904532563</v>
      </c>
      <c r="J24" s="23" t="n">
        <f aca="false">IFERROR(INDEX('SKU Data'!$O$2:$O$95,MATCH($A24,'SKU Data'!$AA$2:$AA$95,0)),"")</f>
        <v>0.000674116775705099</v>
      </c>
      <c r="K24" s="21" t="n">
        <f aca="false">Settings!$B$3</f>
        <v>0.0664935064935065</v>
      </c>
    </row>
    <row r="25" customFormat="false" ht="15" hidden="false" customHeight="false" outlineLevel="0" collapsed="false">
      <c r="A25" s="19" t="n">
        <v>2</v>
      </c>
      <c r="B25" s="19" t="str">
        <f aca="false">IFERROR(INDEX('SKU Data'!$A$2:$A$95,MATCH($A25,'SKU Data'!$AA$2:$AA$95,0)),"")</f>
        <v>DC-02S</v>
      </c>
      <c r="C25" s="19" t="str">
        <f aca="false">IFERROR(INDEX('SKU Data'!$B$2:$B$95,MATCH($A25,'SKU Data'!$AA$2:$AA$95,0)),"")</f>
        <v>Designer Sympathy Collection II</v>
      </c>
      <c r="D25" s="19" t="str">
        <f aca="false">IFERROR(INDEX('SKU Data'!$C$2:$C$95,MATCH($A25,'SKU Data'!$AA$2:$AA$95,0)),"")</f>
        <v>Sympathy</v>
      </c>
      <c r="E25" s="20" t="n">
        <f aca="false">IFERROR(INDEX('SKU Data'!$E$2:$E$95,MATCH($A25,'SKU Data'!$AA$2:$AA$95,0)),"")</f>
        <v>849</v>
      </c>
      <c r="F25" s="20" t="n">
        <f aca="false">IFERROR(INDEX('SKU Data'!$F$2:$F$95,MATCH($A25,'SKU Data'!$AA$2:$AA$95,0)),"")</f>
        <v>62</v>
      </c>
      <c r="G25" s="21" t="n">
        <f aca="false">IFERROR(INDEX('SKU Data'!$L$2:$L$95,MATCH($A25,'SKU Data'!$AA$2:$AA$95,0)),"")</f>
        <v>0.0694935217903416</v>
      </c>
      <c r="H25" s="22" t="n">
        <f aca="false">IFERROR(INDEX('SKU Data'!$H$2:$H$95,MATCH($A25,'SKU Data'!$AA$2:$AA$95,0)),"")</f>
        <v>6122.41</v>
      </c>
      <c r="I25" s="21" t="n">
        <f aca="false">IFERROR(INDEX('SKU Data'!$N$2:$N$95,MATCH($A25,'SKU Data'!$AA$2:$AA$95,0)),"")</f>
        <v>0.00370044085219297</v>
      </c>
      <c r="J25" s="23" t="n">
        <f aca="false">IFERROR(INDEX('SKU Data'!$O$2:$O$95,MATCH($A25,'SKU Data'!$AA$2:$AA$95,0)),"")</f>
        <v>0.000475296084254872</v>
      </c>
      <c r="K25" s="21" t="n">
        <f aca="false">Settings!$B$3</f>
        <v>0.0664935064935065</v>
      </c>
    </row>
    <row r="26" customFormat="false" ht="15" hidden="false" customHeight="false" outlineLevel="0" collapsed="false">
      <c r="A26" s="19" t="n">
        <v>3</v>
      </c>
      <c r="B26" s="19" t="str">
        <f aca="false">IFERROR(INDEX('SKU Data'!$A$2:$A$95,MATCH($A26,'SKU Data'!$AA$2:$AA$95,0)),"")</f>
        <v>AUDNAT-02</v>
      </c>
      <c r="C26" s="19" t="str">
        <f aca="false">IFERROR(INDEX('SKU Data'!$B$2:$B$95,MATCH($A26,'SKU Data'!$AA$2:$AA$95,0)),"")</f>
        <v>Native Flowers Bouquet Designer Collection II</v>
      </c>
      <c r="D26" s="19" t="str">
        <f aca="false">IFERROR(INDEX('SKU Data'!$C$2:$C$95,MATCH($A26,'SKU Data'!$AA$2:$AA$95,0)),"")</f>
        <v>Native Flowers</v>
      </c>
      <c r="E26" s="20" t="n">
        <f aca="false">IFERROR(INDEX('SKU Data'!$E$2:$E$95,MATCH($A26,'SKU Data'!$AA$2:$AA$95,0)),"")</f>
        <v>802</v>
      </c>
      <c r="F26" s="20" t="n">
        <f aca="false">IFERROR(INDEX('SKU Data'!$F$2:$F$95,MATCH($A26,'SKU Data'!$AA$2:$AA$95,0)),"")</f>
        <v>62</v>
      </c>
      <c r="G26" s="21" t="n">
        <f aca="false">IFERROR(INDEX('SKU Data'!$L$2:$L$95,MATCH($A26,'SKU Data'!$AA$2:$AA$95,0)),"")</f>
        <v>0.0685785536159601</v>
      </c>
      <c r="H26" s="22" t="n">
        <f aca="false">IFERROR(INDEX('SKU Data'!$H$2:$H$95,MATCH($A26,'SKU Data'!$AA$2:$AA$95,0)),"")</f>
        <v>6090.57</v>
      </c>
      <c r="I26" s="21" t="n">
        <f aca="false">IFERROR(INDEX('SKU Data'!$N$2:$N$95,MATCH($A26,'SKU Data'!$AA$2:$AA$95,0)),"")</f>
        <v>0.00368119646367051</v>
      </c>
      <c r="J26" s="23" t="n">
        <f aca="false">IFERROR(INDEX('SKU Data'!$O$2:$O$95,MATCH($A26,'SKU Data'!$AA$2:$AA$95,0)),"")</f>
        <v>0.000472824275388319</v>
      </c>
      <c r="K26" s="21" t="n">
        <f aca="false">Settings!$B$3</f>
        <v>0.0664935064935065</v>
      </c>
    </row>
    <row r="27" customFormat="false" ht="15" hidden="false" customHeight="false" outlineLevel="0" collapsed="false">
      <c r="A27" s="19" t="n">
        <v>4</v>
      </c>
      <c r="B27" s="19" t="str">
        <f aca="false">IFERROR(INDEX('SKU Data'!$A$2:$A$95,MATCH($A27,'SKU Data'!$AA$2:$AA$95,0)),"")</f>
        <v>DC-03S</v>
      </c>
      <c r="C27" s="19" t="str">
        <f aca="false">IFERROR(INDEX('SKU Data'!$B$2:$B$95,MATCH($A27,'SKU Data'!$AA$2:$AA$95,0)),"")</f>
        <v>Designer Sympathy Collection III</v>
      </c>
      <c r="D27" s="19" t="str">
        <f aca="false">IFERROR(INDEX('SKU Data'!$C$2:$C$95,MATCH($A27,'SKU Data'!$AA$2:$AA$95,0)),"")</f>
        <v>Sympathy</v>
      </c>
      <c r="E27" s="20" t="n">
        <f aca="false">IFERROR(INDEX('SKU Data'!$E$2:$E$95,MATCH($A27,'SKU Data'!$AA$2:$AA$95,0)),"")</f>
        <v>549</v>
      </c>
      <c r="F27" s="20" t="n">
        <f aca="false">IFERROR(INDEX('SKU Data'!$F$2:$F$95,MATCH($A27,'SKU Data'!$AA$2:$AA$95,0)),"")</f>
        <v>39</v>
      </c>
      <c r="G27" s="21" t="n">
        <f aca="false">IFERROR(INDEX('SKU Data'!$L$2:$L$95,MATCH($A27,'SKU Data'!$AA$2:$AA$95,0)),"")</f>
        <v>0.0528233151183971</v>
      </c>
      <c r="H27" s="22" t="n">
        <f aca="false">IFERROR(INDEX('SKU Data'!$H$2:$H$95,MATCH($A27,'SKU Data'!$AA$2:$AA$95,0)),"")</f>
        <v>4565.17</v>
      </c>
      <c r="I27" s="21" t="n">
        <f aca="false">IFERROR(INDEX('SKU Data'!$N$2:$N$95,MATCH($A27,'SKU Data'!$AA$2:$AA$95,0)),"")</f>
        <v>0.002759230689419</v>
      </c>
      <c r="J27" s="23" t="n">
        <f aca="false">IFERROR(INDEX('SKU Data'!$O$2:$O$95,MATCH($A27,'SKU Data'!$AA$2:$AA$95,0)),"")</f>
        <v>0.000354404135782774</v>
      </c>
      <c r="K27" s="21" t="n">
        <f aca="false">Settings!$B$3</f>
        <v>0.0664935064935065</v>
      </c>
    </row>
    <row r="28" customFormat="false" ht="15" hidden="false" customHeight="false" outlineLevel="0" collapsed="false">
      <c r="A28" s="19" t="n">
        <v>5</v>
      </c>
      <c r="B28" s="19" t="str">
        <f aca="false">IFERROR(INDEX('SKU Data'!$A$2:$A$95,MATCH($A28,'SKU Data'!$AA$2:$AA$95,0)),"")</f>
        <v>DC-01S</v>
      </c>
      <c r="C28" s="19" t="str">
        <f aca="false">IFERROR(INDEX('SKU Data'!$B$2:$B$95,MATCH($A28,'SKU Data'!$AA$2:$AA$95,0)),"")</f>
        <v>Designer Sympathy Collection I</v>
      </c>
      <c r="D28" s="19" t="str">
        <f aca="false">IFERROR(INDEX('SKU Data'!$C$2:$C$95,MATCH($A28,'SKU Data'!$AA$2:$AA$95,0)),"")</f>
        <v>Sympathy</v>
      </c>
      <c r="E28" s="20" t="n">
        <f aca="false">IFERROR(INDEX('SKU Data'!$E$2:$E$95,MATCH($A28,'SKU Data'!$AA$2:$AA$95,0)),"")</f>
        <v>997</v>
      </c>
      <c r="F28" s="20" t="n">
        <f aca="false">IFERROR(INDEX('SKU Data'!$F$2:$F$95,MATCH($A28,'SKU Data'!$AA$2:$AA$95,0)),"")</f>
        <v>60</v>
      </c>
      <c r="G28" s="21" t="n">
        <f aca="false">IFERROR(INDEX('SKU Data'!$L$2:$L$95,MATCH($A28,'SKU Data'!$AA$2:$AA$95,0)),"")</f>
        <v>0.0481444332998997</v>
      </c>
      <c r="H28" s="22" t="n">
        <f aca="false">IFERROR(INDEX('SKU Data'!$H$2:$H$95,MATCH($A28,'SKU Data'!$AA$2:$AA$95,0)),"")</f>
        <v>4255.73</v>
      </c>
      <c r="I28" s="21" t="n">
        <f aca="false">IFERROR(INDEX('SKU Data'!$N$2:$N$95,MATCH($A28,'SKU Data'!$AA$2:$AA$95,0)),"")</f>
        <v>0.00257220231051223</v>
      </c>
      <c r="J28" s="23" t="n">
        <f aca="false">IFERROR(INDEX('SKU Data'!$O$2:$O$95,MATCH($A28,'SKU Data'!$AA$2:$AA$95,0)),"")</f>
        <v>0.000330381631521899</v>
      </c>
      <c r="K28" s="21" t="n">
        <f aca="false">Settings!$B$3</f>
        <v>0.0664935064935065</v>
      </c>
    </row>
    <row r="29" customFormat="false" ht="15" hidden="false" customHeight="false" outlineLevel="0" collapsed="false">
      <c r="A29" s="19" t="n">
        <v>6</v>
      </c>
      <c r="B29" s="19" t="str">
        <f aca="false">IFERROR(INDEX('SKU Data'!$A$2:$A$95,MATCH($A29,'SKU Data'!$AA$2:$AA$95,0)),"")</f>
        <v>AUDNAT-03</v>
      </c>
      <c r="C29" s="19" t="str">
        <f aca="false">IFERROR(INDEX('SKU Data'!$B$2:$B$95,MATCH($A29,'SKU Data'!$AA$2:$AA$95,0)),"")</f>
        <v>Native Flowers Bouquet Designer Collection III</v>
      </c>
      <c r="D29" s="19" t="str">
        <f aca="false">IFERROR(INDEX('SKU Data'!$C$2:$C$95,MATCH($A29,'SKU Data'!$AA$2:$AA$95,0)),"")</f>
        <v>Native Flowers</v>
      </c>
      <c r="E29" s="20" t="n">
        <f aca="false">IFERROR(INDEX('SKU Data'!$E$2:$E$95,MATCH($A29,'SKU Data'!$AA$2:$AA$95,0)),"")</f>
        <v>353</v>
      </c>
      <c r="F29" s="20" t="n">
        <f aca="false">IFERROR(INDEX('SKU Data'!$F$2:$F$95,MATCH($A29,'SKU Data'!$AA$2:$AA$95,0)),"")</f>
        <v>31</v>
      </c>
      <c r="G29" s="21" t="n">
        <f aca="false">IFERROR(INDEX('SKU Data'!$L$2:$L$95,MATCH($A29,'SKU Data'!$AA$2:$AA$95,0)),"")</f>
        <v>0.0708215297450425</v>
      </c>
      <c r="H29" s="22" t="n">
        <f aca="false">IFERROR(INDEX('SKU Data'!$H$2:$H$95,MATCH($A29,'SKU Data'!$AA$2:$AA$95,0)),"")</f>
        <v>4128.81</v>
      </c>
      <c r="I29" s="21" t="n">
        <f aca="false">IFERROR(INDEX('SKU Data'!$N$2:$N$95,MATCH($A29,'SKU Data'!$AA$2:$AA$95,0)),"")</f>
        <v>0.00249549069646477</v>
      </c>
      <c r="J29" s="23" t="n">
        <f aca="false">IFERROR(INDEX('SKU Data'!$O$2:$O$95,MATCH($A29,'SKU Data'!$AA$2:$AA$95,0)),"")</f>
        <v>0.000320528554218414</v>
      </c>
      <c r="K29" s="21" t="n">
        <f aca="false">Settings!$B$3</f>
        <v>0.0664935064935065</v>
      </c>
    </row>
    <row r="30" customFormat="false" ht="15" hidden="false" customHeight="false" outlineLevel="0" collapsed="false">
      <c r="A30" s="19" t="n">
        <v>7</v>
      </c>
      <c r="B30" s="19" t="str">
        <f aca="false">IFERROR(INDEX('SKU Data'!$A$2:$A$95,MATCH($A30,'SKU Data'!$AA$2:$AA$95,0)),"")</f>
        <v>DC-02B</v>
      </c>
      <c r="C30" s="19" t="str">
        <f aca="false">IFERROR(INDEX('SKU Data'!$B$2:$B$95,MATCH($A30,'SKU Data'!$AA$2:$AA$95,0)),"")</f>
        <v>Birthday Designer Collection II</v>
      </c>
      <c r="D30" s="19" t="str">
        <f aca="false">IFERROR(INDEX('SKU Data'!$C$2:$C$95,MATCH($A30,'SKU Data'!$AA$2:$AA$95,0)),"")</f>
        <v>Birthday</v>
      </c>
      <c r="E30" s="20" t="n">
        <f aca="false">IFERROR(INDEX('SKU Data'!$E$2:$E$95,MATCH($A30,'SKU Data'!$AA$2:$AA$95,0)),"")</f>
        <v>223</v>
      </c>
      <c r="F30" s="20" t="n">
        <f aca="false">IFERROR(INDEX('SKU Data'!$F$2:$F$95,MATCH($A30,'SKU Data'!$AA$2:$AA$95,0)),"")</f>
        <v>28</v>
      </c>
      <c r="G30" s="21" t="n">
        <f aca="false">IFERROR(INDEX('SKU Data'!$L$2:$L$95,MATCH($A30,'SKU Data'!$AA$2:$AA$95,0)),"")</f>
        <v>0.112107623318386</v>
      </c>
      <c r="H30" s="22" t="n">
        <f aca="false">IFERROR(INDEX('SKU Data'!$H$2:$H$95,MATCH($A30,'SKU Data'!$AA$2:$AA$95,0)),"")</f>
        <v>2889.28</v>
      </c>
      <c r="I30" s="21" t="n">
        <f aca="false">IFERROR(INDEX('SKU Data'!$N$2:$N$95,MATCH($A30,'SKU Data'!$AA$2:$AA$95,0)),"")</f>
        <v>0.00174630737657623</v>
      </c>
      <c r="J30" s="23" t="n">
        <f aca="false">IFERROR(INDEX('SKU Data'!$O$2:$O$95,MATCH($A30,'SKU Data'!$AA$2:$AA$95,0)),"")</f>
        <v>0.000224301128202116</v>
      </c>
      <c r="K30" s="21" t="n">
        <f aca="false">Settings!$B$3</f>
        <v>0.0664935064935065</v>
      </c>
    </row>
    <row r="31" customFormat="false" ht="15" hidden="false" customHeight="false" outlineLevel="0" collapsed="false">
      <c r="A31" s="19" t="n">
        <v>8</v>
      </c>
      <c r="B31" s="19" t="str">
        <f aca="false">IFERROR(INDEX('SKU Data'!$A$2:$A$95,MATCH($A31,'SKU Data'!$AA$2:$AA$95,0)),"")</f>
        <v>AUDNAT-01</v>
      </c>
      <c r="C31" s="19" t="str">
        <f aca="false">IFERROR(INDEX('SKU Data'!$B$2:$B$95,MATCH($A31,'SKU Data'!$AA$2:$AA$95,0)),"")</f>
        <v>Native Flowers Bouquet Designer Collection I</v>
      </c>
      <c r="D31" s="19" t="str">
        <f aca="false">IFERROR(INDEX('SKU Data'!$C$2:$C$95,MATCH($A31,'SKU Data'!$AA$2:$AA$95,0)),"")</f>
        <v>Native Flowers</v>
      </c>
      <c r="E31" s="20" t="n">
        <f aca="false">IFERROR(INDEX('SKU Data'!$E$2:$E$95,MATCH($A31,'SKU Data'!$AA$2:$AA$95,0)),"")</f>
        <v>374</v>
      </c>
      <c r="F31" s="20" t="n">
        <f aca="false">IFERROR(INDEX('SKU Data'!$F$2:$F$95,MATCH($A31,'SKU Data'!$AA$2:$AA$95,0)),"")</f>
        <v>34</v>
      </c>
      <c r="G31" s="21" t="n">
        <f aca="false">IFERROR(INDEX('SKU Data'!$L$2:$L$95,MATCH($A31,'SKU Data'!$AA$2:$AA$95,0)),"")</f>
        <v>0.0695187165775401</v>
      </c>
      <c r="H31" s="22" t="n">
        <f aca="false">IFERROR(INDEX('SKU Data'!$H$2:$H$95,MATCH($A31,'SKU Data'!$AA$2:$AA$95,0)),"")</f>
        <v>2872.37</v>
      </c>
      <c r="I31" s="21" t="n">
        <f aca="false">IFERROR(INDEX('SKU Data'!$N$2:$N$95,MATCH($A31,'SKU Data'!$AA$2:$AA$95,0)),"")</f>
        <v>0.00173608681721961</v>
      </c>
      <c r="J31" s="23" t="n">
        <f aca="false">IFERROR(INDEX('SKU Data'!$O$2:$O$95,MATCH($A31,'SKU Data'!$AA$2:$AA$95,0)),"")</f>
        <v>0.0002229883679027</v>
      </c>
      <c r="K31" s="21" t="n">
        <f aca="false">Settings!$B$3</f>
        <v>0.0664935064935065</v>
      </c>
    </row>
    <row r="32" customFormat="false" ht="15" hidden="false" customHeight="false" outlineLevel="0" collapsed="false">
      <c r="A32" s="19" t="n">
        <v>9</v>
      </c>
      <c r="B32" s="19" t="str">
        <f aca="false">IFERROR(INDEX('SKU Data'!$A$2:$A$95,MATCH($A32,'SKU Data'!$AA$2:$AA$95,0)),"")</f>
        <v>DC-01B</v>
      </c>
      <c r="C32" s="19" t="str">
        <f aca="false">IFERROR(INDEX('SKU Data'!$B$2:$B$95,MATCH($A32,'SKU Data'!$AA$2:$AA$95,0)),"")</f>
        <v>Birthday Designer Collection I</v>
      </c>
      <c r="D32" s="19" t="str">
        <f aca="false">IFERROR(INDEX('SKU Data'!$C$2:$C$95,MATCH($A32,'SKU Data'!$AA$2:$AA$95,0)),"")</f>
        <v>Birthday</v>
      </c>
      <c r="E32" s="20" t="n">
        <f aca="false">IFERROR(INDEX('SKU Data'!$E$2:$E$95,MATCH($A32,'SKU Data'!$AA$2:$AA$95,0)),"")</f>
        <v>551</v>
      </c>
      <c r="F32" s="20" t="n">
        <f aca="false">IFERROR(INDEX('SKU Data'!$F$2:$F$95,MATCH($A32,'SKU Data'!$AA$2:$AA$95,0)),"")</f>
        <v>36</v>
      </c>
      <c r="G32" s="21" t="n">
        <f aca="false">IFERROR(INDEX('SKU Data'!$L$2:$L$95,MATCH($A32,'SKU Data'!$AA$2:$AA$95,0)),"")</f>
        <v>0.0635208711433757</v>
      </c>
      <c r="H32" s="22" t="n">
        <f aca="false">IFERROR(INDEX('SKU Data'!$H$2:$H$95,MATCH($A32,'SKU Data'!$AA$2:$AA$95,0)),"")</f>
        <v>2433.11</v>
      </c>
      <c r="I32" s="21" t="n">
        <f aca="false">IFERROR(INDEX('SKU Data'!$N$2:$N$95,MATCH($A32,'SKU Data'!$AA$2:$AA$95,0)),"")</f>
        <v>0.00147059403762232</v>
      </c>
      <c r="J32" s="23" t="n">
        <f aca="false">IFERROR(INDEX('SKU Data'!$O$2:$O$95,MATCH($A32,'SKU Data'!$AA$2:$AA$95,0)),"")</f>
        <v>0.000188887652993081</v>
      </c>
      <c r="K32" s="21" t="n">
        <f aca="false">Settings!$B$3</f>
        <v>0.0664935064935065</v>
      </c>
    </row>
    <row r="33" customFormat="false" ht="15" hidden="false" customHeight="false" outlineLevel="0" collapsed="false">
      <c r="A33" s="19" t="n">
        <v>10</v>
      </c>
      <c r="B33" s="19" t="str">
        <f aca="false">IFERROR(INDEX('SKU Data'!$A$2:$A$95,MATCH($A33,'SKU Data'!$AA$2:$AA$95,0)),"")</f>
        <v>DCB-02</v>
      </c>
      <c r="C33" s="19" t="str">
        <f aca="false">IFERROR(INDEX('SKU Data'!$B$2:$B$95,MATCH($A33,'SKU Data'!$AA$2:$AA$95,0)),"")</f>
        <v>Birthday Designer Collection II</v>
      </c>
      <c r="D33" s="19" t="str">
        <f aca="false">IFERROR(INDEX('SKU Data'!$C$2:$C$95,MATCH($A33,'SKU Data'!$AA$2:$AA$95,0)),"")</f>
        <v>Birthday</v>
      </c>
      <c r="E33" s="20" t="n">
        <f aca="false">IFERROR(INDEX('SKU Data'!$E$2:$E$95,MATCH($A33,'SKU Data'!$AA$2:$AA$95,0)),"")</f>
        <v>87</v>
      </c>
      <c r="F33" s="20" t="n">
        <f aca="false">IFERROR(INDEX('SKU Data'!$F$2:$F$95,MATCH($A33,'SKU Data'!$AA$2:$AA$95,0)),"")</f>
        <v>12</v>
      </c>
      <c r="G33" s="21" t="n">
        <f aca="false">IFERROR(INDEX('SKU Data'!$L$2:$L$95,MATCH($A33,'SKU Data'!$AA$2:$AA$95,0)),"")</f>
        <v>0.114942528735632</v>
      </c>
      <c r="H33" s="22" t="n">
        <f aca="false">IFERROR(INDEX('SKU Data'!$H$2:$H$95,MATCH($A33,'SKU Data'!$AA$2:$AA$95,0)),"")</f>
        <v>1216.35</v>
      </c>
      <c r="I33" s="21" t="n">
        <f aca="false">IFERROR(INDEX('SKU Data'!$N$2:$N$95,MATCH($A33,'SKU Data'!$AA$2:$AA$95,0)),"")</f>
        <v>0.000735173114927769</v>
      </c>
      <c r="J33" s="23" t="n">
        <f aca="false">IFERROR(INDEX('SKU Data'!$O$2:$O$95,MATCH($A33,'SKU Data'!$AA$2:$AA$95,0)),"")</f>
        <v>9.44279118979966E-005</v>
      </c>
      <c r="K33" s="21" t="n">
        <f aca="false">Settings!$B$3</f>
        <v>0.0664935064935065</v>
      </c>
    </row>
    <row r="34" customFormat="false" ht="15" hidden="false" customHeight="false" outlineLevel="0" collapsed="false">
      <c r="A34" s="19" t="n">
        <v>11</v>
      </c>
      <c r="B34" s="19" t="str">
        <f aca="false">IFERROR(INDEX('SKU Data'!$A$2:$A$95,MATCH($A34,'SKU Data'!$AA$2:$AA$95,0)),"")</f>
        <v>DCMJ-04A</v>
      </c>
      <c r="C34" s="19" t="str">
        <f aca="false">IFERROR(INDEX('SKU Data'!$B$2:$B$95,MATCH($A34,'SKU Data'!$AA$2:$AA$95,0)),"")</f>
        <v>Designer Collection Mason Jar IV</v>
      </c>
      <c r="D34" s="19" t="str">
        <f aca="false">IFERROR(INDEX('SKU Data'!$C$2:$C$95,MATCH($A34,'SKU Data'!$AA$2:$AA$95,0)),"")</f>
        <v>Mason Jar</v>
      </c>
      <c r="E34" s="20" t="n">
        <f aca="false">IFERROR(INDEX('SKU Data'!$E$2:$E$95,MATCH($A34,'SKU Data'!$AA$2:$AA$95,0)),"")</f>
        <v>133</v>
      </c>
      <c r="F34" s="20" t="n">
        <f aca="false">IFERROR(INDEX('SKU Data'!$F$2:$F$95,MATCH($A34,'SKU Data'!$AA$2:$AA$95,0)),"")</f>
        <v>13</v>
      </c>
      <c r="G34" s="21" t="n">
        <f aca="false">IFERROR(INDEX('SKU Data'!$L$2:$L$95,MATCH($A34,'SKU Data'!$AA$2:$AA$95,0)),"")</f>
        <v>0.0601503759398496</v>
      </c>
      <c r="H34" s="22" t="n">
        <f aca="false">IFERROR(INDEX('SKU Data'!$H$2:$H$95,MATCH($A34,'SKU Data'!$AA$2:$AA$95,0)),"")</f>
        <v>1072.34</v>
      </c>
      <c r="I34" s="21" t="n">
        <f aca="false">IFERROR(INDEX('SKU Data'!$N$2:$N$95,MATCH($A34,'SKU Data'!$AA$2:$AA$95,0)),"")</f>
        <v>0.000648132147869975</v>
      </c>
      <c r="J34" s="23" t="n">
        <f aca="false">IFERROR(INDEX('SKU Data'!$O$2:$O$95,MATCH($A34,'SKU Data'!$AA$2:$AA$95,0)),"")</f>
        <v>8.32481005012519E-005</v>
      </c>
      <c r="K34" s="21" t="n">
        <f aca="false">Settings!$B$3</f>
        <v>0.0664935064935065</v>
      </c>
    </row>
    <row r="35" customFormat="false" ht="15" hidden="false" customHeight="false" outlineLevel="0" collapsed="false">
      <c r="A35" s="19" t="n">
        <v>12</v>
      </c>
      <c r="B35" s="19" t="str">
        <f aca="false">IFERROR(INDEX('SKU Data'!$A$2:$A$95,MATCH($A35,'SKU Data'!$AA$2:$AA$95,0)),"")</f>
        <v>DCS-03</v>
      </c>
      <c r="C35" s="19" t="str">
        <f aca="false">IFERROR(INDEX('SKU Data'!$B$2:$B$95,MATCH($A35,'SKU Data'!$AA$2:$AA$95,0)),"")</f>
        <v>Designer Sympathy Collection III</v>
      </c>
      <c r="D35" s="19" t="str">
        <f aca="false">IFERROR(INDEX('SKU Data'!$C$2:$C$95,MATCH($A35,'SKU Data'!$AA$2:$AA$95,0)),"")</f>
        <v>Sympathy</v>
      </c>
      <c r="E35" s="20" t="n">
        <f aca="false">IFERROR(INDEX('SKU Data'!$E$2:$E$95,MATCH($A35,'SKU Data'!$AA$2:$AA$95,0)),"")</f>
        <v>41</v>
      </c>
      <c r="F35" s="20" t="n">
        <f aca="false">IFERROR(INDEX('SKU Data'!$F$2:$F$95,MATCH($A35,'SKU Data'!$AA$2:$AA$95,0)),"")</f>
        <v>6</v>
      </c>
      <c r="G35" s="21" t="n">
        <f aca="false">IFERROR(INDEX('SKU Data'!$L$2:$L$95,MATCH($A35,'SKU Data'!$AA$2:$AA$95,0)),"")</f>
        <v>0.0731707317073171</v>
      </c>
      <c r="H35" s="22" t="n">
        <f aca="false">IFERROR(INDEX('SKU Data'!$H$2:$H$95,MATCH($A35,'SKU Data'!$AA$2:$AA$95,0)),"")</f>
        <v>967.81</v>
      </c>
      <c r="I35" s="21" t="n">
        <f aca="false">IFERROR(INDEX('SKU Data'!$N$2:$N$95,MATCH($A35,'SKU Data'!$AA$2:$AA$95,0)),"")</f>
        <v>0.000584953255525337</v>
      </c>
      <c r="J35" s="23" t="n">
        <f aca="false">IFERROR(INDEX('SKU Data'!$O$2:$O$95,MATCH($A35,'SKU Data'!$AA$2:$AA$95,0)),"")</f>
        <v>7.51332078875325E-005</v>
      </c>
      <c r="K35" s="21" t="n">
        <f aca="false">Settings!$B$3</f>
        <v>0.0664935064935065</v>
      </c>
    </row>
    <row r="36" customFormat="false" ht="15" hidden="false" customHeight="false" outlineLevel="0" collapsed="false">
      <c r="A36" s="19" t="n">
        <v>13</v>
      </c>
      <c r="B36" s="19" t="str">
        <f aca="false">IFERROR(INDEX('SKU Data'!$A$2:$A$95,MATCH($A36,'SKU Data'!$AA$2:$AA$95,0)),"")</f>
        <v>DCB-01C</v>
      </c>
      <c r="C36" s="19" t="str">
        <f aca="false">IFERROR(INDEX('SKU Data'!$B$2:$B$95,MATCH($A36,'SKU Data'!$AA$2:$AA$95,0)),"")</f>
        <v>Birthday Designer Collection I Combo</v>
      </c>
      <c r="D36" s="19" t="str">
        <f aca="false">IFERROR(INDEX('SKU Data'!$C$2:$C$95,MATCH($A36,'SKU Data'!$AA$2:$AA$95,0)),"")</f>
        <v>Birthday</v>
      </c>
      <c r="E36" s="20" t="n">
        <f aca="false">IFERROR(INDEX('SKU Data'!$E$2:$E$95,MATCH($A36,'SKU Data'!$AA$2:$AA$95,0)),"")</f>
        <v>95</v>
      </c>
      <c r="F36" s="20" t="n">
        <f aca="false">IFERROR(INDEX('SKU Data'!$F$2:$F$95,MATCH($A36,'SKU Data'!$AA$2:$AA$95,0)),"")</f>
        <v>12</v>
      </c>
      <c r="G36" s="21" t="n">
        <f aca="false">IFERROR(INDEX('SKU Data'!$L$2:$L$95,MATCH($A36,'SKU Data'!$AA$2:$AA$95,0)),"")</f>
        <v>0.105263157894737</v>
      </c>
      <c r="H36" s="22" t="n">
        <f aca="false">IFERROR(INDEX('SKU Data'!$H$2:$H$95,MATCH($A36,'SKU Data'!$AA$2:$AA$95,0)),"")</f>
        <v>957.93</v>
      </c>
      <c r="I36" s="21" t="n">
        <f aca="false">IFERROR(INDEX('SKU Data'!$N$2:$N$95,MATCH($A36,'SKU Data'!$AA$2:$AA$95,0)),"")</f>
        <v>0.000578981692755175</v>
      </c>
      <c r="J36" s="23" t="n">
        <f aca="false">IFERROR(INDEX('SKU Data'!$O$2:$O$95,MATCH($A36,'SKU Data'!$AA$2:$AA$95,0)),"")</f>
        <v>7.43662018698959E-005</v>
      </c>
      <c r="K36" s="21" t="n">
        <f aca="false">Settings!$B$3</f>
        <v>0.0664935064935065</v>
      </c>
    </row>
    <row r="37" customFormat="false" ht="15" hidden="false" customHeight="false" outlineLevel="0" collapsed="false">
      <c r="A37" s="19" t="n">
        <v>14</v>
      </c>
      <c r="B37" s="19" t="str">
        <f aca="false">IFERROR(INDEX('SKU Data'!$A$2:$A$95,MATCH($A37,'SKU Data'!$AA$2:$AA$95,0)),"")</f>
        <v>DCMJ-01</v>
      </c>
      <c r="C37" s="19" t="str">
        <f aca="false">IFERROR(INDEX('SKU Data'!$B$2:$B$95,MATCH($A37,'SKU Data'!$AA$2:$AA$95,0)),"")</f>
        <v>Designer Collection Mason Jar I</v>
      </c>
      <c r="D37" s="19" t="str">
        <f aca="false">IFERROR(INDEX('SKU Data'!$C$2:$C$95,MATCH($A37,'SKU Data'!$AA$2:$AA$95,0)),"")</f>
        <v>Mason Jar</v>
      </c>
      <c r="E37" s="20" t="n">
        <f aca="false">IFERROR(INDEX('SKU Data'!$E$2:$E$95,MATCH($A37,'SKU Data'!$AA$2:$AA$95,0)),"")</f>
        <v>110</v>
      </c>
      <c r="F37" s="20" t="n">
        <f aca="false">IFERROR(INDEX('SKU Data'!$F$2:$F$95,MATCH($A37,'SKU Data'!$AA$2:$AA$95,0)),"")</f>
        <v>18</v>
      </c>
      <c r="G37" s="21" t="n">
        <f aca="false">IFERROR(INDEX('SKU Data'!$L$2:$L$95,MATCH($A37,'SKU Data'!$AA$2:$AA$95,0)),"")</f>
        <v>0.127272727272727</v>
      </c>
      <c r="H37" s="22" t="n">
        <f aca="false">IFERROR(INDEX('SKU Data'!$H$2:$H$95,MATCH($A37,'SKU Data'!$AA$2:$AA$95,0)),"")</f>
        <v>941.68</v>
      </c>
      <c r="I37" s="21" t="n">
        <f aca="false">IFERROR(INDEX('SKU Data'!$N$2:$N$95,MATCH($A37,'SKU Data'!$AA$2:$AA$95,0)),"")</f>
        <v>0.000569160043462146</v>
      </c>
      <c r="J37" s="23" t="n">
        <f aca="false">IFERROR(INDEX('SKU Data'!$O$2:$O$95,MATCH($A37,'SKU Data'!$AA$2:$AA$95,0)),"")</f>
        <v>7.31046788145727E-005</v>
      </c>
      <c r="K37" s="21" t="n">
        <f aca="false">Settings!$B$3</f>
        <v>0.0664935064935065</v>
      </c>
    </row>
    <row r="38" customFormat="false" ht="15" hidden="false" customHeight="false" outlineLevel="0" collapsed="false">
      <c r="A38" s="19" t="n">
        <v>15</v>
      </c>
      <c r="B38" s="19" t="str">
        <f aca="false">IFERROR(INDEX('SKU Data'!$A$2:$A$95,MATCH($A38,'SKU Data'!$AA$2:$AA$95,0)),"")</f>
        <v>DCS-02</v>
      </c>
      <c r="C38" s="19" t="str">
        <f aca="false">IFERROR(INDEX('SKU Data'!$B$2:$B$95,MATCH($A38,'SKU Data'!$AA$2:$AA$95,0)),"")</f>
        <v>Designer Sympathy Collection II</v>
      </c>
      <c r="D38" s="19" t="str">
        <f aca="false">IFERROR(INDEX('SKU Data'!$C$2:$C$95,MATCH($A38,'SKU Data'!$AA$2:$AA$95,0)),"")</f>
        <v>Sympathy</v>
      </c>
      <c r="E38" s="20" t="n">
        <f aca="false">IFERROR(INDEX('SKU Data'!$E$2:$E$95,MATCH($A38,'SKU Data'!$AA$2:$AA$95,0)),"")</f>
        <v>79</v>
      </c>
      <c r="F38" s="20" t="n">
        <f aca="false">IFERROR(INDEX('SKU Data'!$F$2:$F$95,MATCH($A38,'SKU Data'!$AA$2:$AA$95,0)),"")</f>
        <v>8</v>
      </c>
      <c r="G38" s="21" t="n">
        <f aca="false">IFERROR(INDEX('SKU Data'!$L$2:$L$95,MATCH($A38,'SKU Data'!$AA$2:$AA$95,0)),"")</f>
        <v>0.0886075949367089</v>
      </c>
      <c r="H38" s="22" t="n">
        <f aca="false">IFERROR(INDEX('SKU Data'!$H$2:$H$95,MATCH($A38,'SKU Data'!$AA$2:$AA$95,0)),"")</f>
        <v>798.41</v>
      </c>
      <c r="I38" s="21" t="n">
        <f aca="false">IFERROR(INDEX('SKU Data'!$N$2:$N$95,MATCH($A38,'SKU Data'!$AA$2:$AA$95,0)),"")</f>
        <v>0.000482566339202927</v>
      </c>
      <c r="J38" s="23" t="n">
        <f aca="false">IFERROR(INDEX('SKU Data'!$O$2:$O$95,MATCH($A38,'SKU Data'!$AA$2:$AA$95,0)),"")</f>
        <v>6.19823152369626E-005</v>
      </c>
      <c r="K38" s="21" t="n">
        <f aca="false">Settings!$B$3</f>
        <v>0.0664935064935065</v>
      </c>
    </row>
    <row r="41" customFormat="false" ht="21.75" hidden="false" customHeight="true" outlineLevel="0" collapsed="false">
      <c r="A41" s="17" t="s">
        <v>84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45.75" hidden="false" customHeight="true" outlineLevel="0" collapsed="false">
      <c r="A42" s="18" t="s">
        <v>81</v>
      </c>
      <c r="B42" s="18" t="s">
        <v>16</v>
      </c>
      <c r="C42" s="18" t="s">
        <v>17</v>
      </c>
      <c r="D42" s="18" t="s">
        <v>18</v>
      </c>
      <c r="E42" s="18" t="s">
        <v>19</v>
      </c>
      <c r="F42" s="18" t="s">
        <v>76</v>
      </c>
      <c r="G42" s="18" t="s">
        <v>21</v>
      </c>
      <c r="H42" s="18" t="s">
        <v>22</v>
      </c>
      <c r="I42" s="18" t="s">
        <v>77</v>
      </c>
      <c r="J42" s="18" t="s">
        <v>23</v>
      </c>
      <c r="K42" s="18" t="s">
        <v>82</v>
      </c>
    </row>
    <row r="43" customFormat="false" ht="15" hidden="false" customHeight="false" outlineLevel="0" collapsed="false">
      <c r="A43" s="19" t="n">
        <v>1</v>
      </c>
      <c r="B43" s="19" t="str">
        <f aca="false">IFERROR(INDEX('SKU Data'!$A$2:$A$95,MATCH($A43,'SKU Data'!$AB$2:$AB$95,0)),"")</f>
        <v>DCA-02-00</v>
      </c>
      <c r="C43" s="19" t="str">
        <f aca="false">IFERROR(INDEX('SKU Data'!$B$2:$B$95,MATCH($A43,'SKU Data'!$AB$2:$AB$95,0)),"")</f>
        <v>Anniversary Designer Collection II</v>
      </c>
      <c r="D43" s="19" t="str">
        <f aca="false">IFERROR(INDEX('SKU Data'!$C$2:$C$95,MATCH($A43,'SKU Data'!$AB$2:$AB$95,0)),"")</f>
        <v>Anniversary</v>
      </c>
      <c r="E43" s="20" t="n">
        <f aca="false">IFERROR(INDEX('SKU Data'!$E$2:$E$95,MATCH($A43,'SKU Data'!$AB$2:$AB$95,0)),"")</f>
        <v>36</v>
      </c>
      <c r="F43" s="20" t="n">
        <f aca="false">IFERROR(INDEX('SKU Data'!$F$2:$F$95,MATCH($A43,'SKU Data'!$AB$2:$AB$95,0)),"")</f>
        <v>8</v>
      </c>
      <c r="G43" s="21" t="n">
        <f aca="false">IFERROR(INDEX('SKU Data'!$L$2:$L$95,MATCH($A43,'SKU Data'!$AB$2:$AB$95,0)),"")</f>
        <v>0.222222222222222</v>
      </c>
      <c r="H43" s="22" t="n">
        <f aca="false">IFERROR(INDEX('SKU Data'!$H$2:$H$95,MATCH($A43,'SKU Data'!$AB$2:$AB$95,0)),"")</f>
        <v>735.3</v>
      </c>
      <c r="I43" s="21" t="n">
        <f aca="false">IFERROR(INDEX('SKU Data'!$N$2:$N$95,MATCH($A43,'SKU Data'!$AB$2:$AB$95,0)),"")</f>
        <v>0.000444422075394737</v>
      </c>
      <c r="J43" s="23" t="n">
        <f aca="false">IFERROR(INDEX('SKU Data'!$O$2:$O$95,MATCH($A43,'SKU Data'!$AB$2:$AB$95,0)),"")</f>
        <v>5.70829478510272E-005</v>
      </c>
      <c r="K43" s="21" t="n">
        <f aca="false">Settings!$B$3</f>
        <v>0.0664935064935065</v>
      </c>
    </row>
    <row r="44" customFormat="false" ht="15" hidden="false" customHeight="false" outlineLevel="0" collapsed="false">
      <c r="A44" s="19" t="n">
        <v>2</v>
      </c>
      <c r="B44" s="19" t="str">
        <f aca="false">IFERROR(INDEX('SKU Data'!$A$2:$A$95,MATCH($A44,'SKU Data'!$AB$2:$AB$95,0)),"")</f>
        <v>DCA-01-00</v>
      </c>
      <c r="C44" s="19" t="str">
        <f aca="false">IFERROR(INDEX('SKU Data'!$B$2:$B$95,MATCH($A44,'SKU Data'!$AB$2:$AB$95,0)),"")</f>
        <v>Anniversary Designer Collection I</v>
      </c>
      <c r="D44" s="19" t="str">
        <f aca="false">IFERROR(INDEX('SKU Data'!$C$2:$C$95,MATCH($A44,'SKU Data'!$AB$2:$AB$95,0)),"")</f>
        <v>Anniversary</v>
      </c>
      <c r="E44" s="20" t="n">
        <f aca="false">IFERROR(INDEX('SKU Data'!$E$2:$E$95,MATCH($A44,'SKU Data'!$AB$2:$AB$95,0)),"")</f>
        <v>39</v>
      </c>
      <c r="F44" s="20" t="n">
        <f aca="false">IFERROR(INDEX('SKU Data'!$F$2:$F$95,MATCH($A44,'SKU Data'!$AB$2:$AB$95,0)),"")</f>
        <v>5</v>
      </c>
      <c r="G44" s="21" t="n">
        <f aca="false">IFERROR(INDEX('SKU Data'!$L$2:$L$95,MATCH($A44,'SKU Data'!$AB$2:$AB$95,0)),"")</f>
        <v>0.128205128205128</v>
      </c>
      <c r="H44" s="22" t="n">
        <f aca="false">IFERROR(INDEX('SKU Data'!$H$2:$H$95,MATCH($A44,'SKU Data'!$AB$2:$AB$95,0)),"")</f>
        <v>381.59</v>
      </c>
      <c r="I44" s="21" t="n">
        <f aca="false">IFERROR(INDEX('SKU Data'!$N$2:$N$95,MATCH($A44,'SKU Data'!$AB$2:$AB$95,0)),"")</f>
        <v>0.00023063650176782</v>
      </c>
      <c r="J44" s="23" t="n">
        <f aca="false">IFERROR(INDEX('SKU Data'!$O$2:$O$95,MATCH($A44,'SKU Data'!$AB$2:$AB$95,0)),"")</f>
        <v>2.96236666265109E-005</v>
      </c>
      <c r="K44" s="21" t="n">
        <f aca="false">Settings!$B$3</f>
        <v>0.0664935064935065</v>
      </c>
    </row>
    <row r="45" customFormat="false" ht="15" hidden="false" customHeight="false" outlineLevel="0" collapsed="false">
      <c r="A45" s="19" t="n">
        <v>3</v>
      </c>
      <c r="B45" s="19" t="str">
        <f aca="false">IFERROR(INDEX('SKU Data'!$A$2:$A$95,MATCH($A45,'SKU Data'!$AB$2:$AB$95,0)),"")</f>
        <v>DCS-01</v>
      </c>
      <c r="C45" s="19" t="str">
        <f aca="false">IFERROR(INDEX('SKU Data'!$B$2:$B$95,MATCH($A45,'SKU Data'!$AB$2:$AB$95,0)),"")</f>
        <v>Designer Sympathy Collection I</v>
      </c>
      <c r="D45" s="19" t="str">
        <f aca="false">IFERROR(INDEX('SKU Data'!$C$2:$C$95,MATCH($A45,'SKU Data'!$AB$2:$AB$95,0)),"")</f>
        <v>Sympathy</v>
      </c>
      <c r="E45" s="20" t="n">
        <f aca="false">IFERROR(INDEX('SKU Data'!$E$2:$E$95,MATCH($A45,'SKU Data'!$AB$2:$AB$95,0)),"")</f>
        <v>47</v>
      </c>
      <c r="F45" s="20" t="n">
        <f aca="false">IFERROR(INDEX('SKU Data'!$F$2:$F$95,MATCH($A45,'SKU Data'!$AB$2:$AB$95,0)),"")</f>
        <v>8</v>
      </c>
      <c r="G45" s="21" t="n">
        <f aca="false">IFERROR(INDEX('SKU Data'!$L$2:$L$95,MATCH($A45,'SKU Data'!$AB$2:$AB$95,0)),"")</f>
        <v>0.127659574468085</v>
      </c>
      <c r="H45" s="22" t="n">
        <f aca="false">IFERROR(INDEX('SKU Data'!$H$2:$H$95,MATCH($A45,'SKU Data'!$AB$2:$AB$95,0)),"")</f>
        <v>609.82</v>
      </c>
      <c r="I45" s="21" t="n">
        <f aca="false">IFERROR(INDEX('SKU Data'!$N$2:$N$95,MATCH($A45,'SKU Data'!$AB$2:$AB$95,0)),"")</f>
        <v>0.000368580810576933</v>
      </c>
      <c r="J45" s="23" t="n">
        <f aca="false">IFERROR(INDEX('SKU Data'!$O$2:$O$95,MATCH($A45,'SKU Data'!$AB$2:$AB$95,0)),"")</f>
        <v>4.7341660898291E-005</v>
      </c>
      <c r="K45" s="21" t="n">
        <f aca="false">Settings!$B$3</f>
        <v>0.0664935064935065</v>
      </c>
    </row>
    <row r="46" customFormat="false" ht="15" hidden="false" customHeight="false" outlineLevel="0" collapsed="false">
      <c r="A46" s="19" t="n">
        <v>4</v>
      </c>
      <c r="B46" s="19" t="str">
        <f aca="false">IFERROR(INDEX('SKU Data'!$A$2:$A$95,MATCH($A46,'SKU Data'!$AB$2:$AB$95,0)),"")</f>
        <v>DCMJ-01</v>
      </c>
      <c r="C46" s="19" t="str">
        <f aca="false">IFERROR(INDEX('SKU Data'!$B$2:$B$95,MATCH($A46,'SKU Data'!$AB$2:$AB$95,0)),"")</f>
        <v>Designer Collection Mason Jar I</v>
      </c>
      <c r="D46" s="19" t="str">
        <f aca="false">IFERROR(INDEX('SKU Data'!$C$2:$C$95,MATCH($A46,'SKU Data'!$AB$2:$AB$95,0)),"")</f>
        <v>Mason Jar</v>
      </c>
      <c r="E46" s="20" t="n">
        <f aca="false">IFERROR(INDEX('SKU Data'!$E$2:$E$95,MATCH($A46,'SKU Data'!$AB$2:$AB$95,0)),"")</f>
        <v>110</v>
      </c>
      <c r="F46" s="20" t="n">
        <f aca="false">IFERROR(INDEX('SKU Data'!$F$2:$F$95,MATCH($A46,'SKU Data'!$AB$2:$AB$95,0)),"")</f>
        <v>18</v>
      </c>
      <c r="G46" s="21" t="n">
        <f aca="false">IFERROR(INDEX('SKU Data'!$L$2:$L$95,MATCH($A46,'SKU Data'!$AB$2:$AB$95,0)),"")</f>
        <v>0.127272727272727</v>
      </c>
      <c r="H46" s="22" t="n">
        <f aca="false">IFERROR(INDEX('SKU Data'!$H$2:$H$95,MATCH($A46,'SKU Data'!$AB$2:$AB$95,0)),"")</f>
        <v>941.68</v>
      </c>
      <c r="I46" s="21" t="n">
        <f aca="false">IFERROR(INDEX('SKU Data'!$N$2:$N$95,MATCH($A46,'SKU Data'!$AB$2:$AB$95,0)),"")</f>
        <v>0.000569160043462146</v>
      </c>
      <c r="J46" s="23" t="n">
        <f aca="false">IFERROR(INDEX('SKU Data'!$O$2:$O$95,MATCH($A46,'SKU Data'!$AB$2:$AB$95,0)),"")</f>
        <v>7.31046788145727E-005</v>
      </c>
      <c r="K46" s="21" t="n">
        <f aca="false">Settings!$B$3</f>
        <v>0.0664935064935065</v>
      </c>
    </row>
    <row r="47" customFormat="false" ht="15" hidden="false" customHeight="false" outlineLevel="0" collapsed="false">
      <c r="A47" s="19" t="n">
        <v>5</v>
      </c>
      <c r="B47" s="19" t="str">
        <f aca="false">IFERROR(INDEX('SKU Data'!$A$2:$A$95,MATCH($A47,'SKU Data'!$AB$2:$AB$95,0)),"")</f>
        <v>DCB-02</v>
      </c>
      <c r="C47" s="19" t="str">
        <f aca="false">IFERROR(INDEX('SKU Data'!$B$2:$B$95,MATCH($A47,'SKU Data'!$AB$2:$AB$95,0)),"")</f>
        <v>Birthday Designer Collection II</v>
      </c>
      <c r="D47" s="19" t="str">
        <f aca="false">IFERROR(INDEX('SKU Data'!$C$2:$C$95,MATCH($A47,'SKU Data'!$AB$2:$AB$95,0)),"")</f>
        <v>Birthday</v>
      </c>
      <c r="E47" s="20" t="n">
        <f aca="false">IFERROR(INDEX('SKU Data'!$E$2:$E$95,MATCH($A47,'SKU Data'!$AB$2:$AB$95,0)),"")</f>
        <v>87</v>
      </c>
      <c r="F47" s="20" t="n">
        <f aca="false">IFERROR(INDEX('SKU Data'!$F$2:$F$95,MATCH($A47,'SKU Data'!$AB$2:$AB$95,0)),"")</f>
        <v>12</v>
      </c>
      <c r="G47" s="21" t="n">
        <f aca="false">IFERROR(INDEX('SKU Data'!$L$2:$L$95,MATCH($A47,'SKU Data'!$AB$2:$AB$95,0)),"")</f>
        <v>0.114942528735632</v>
      </c>
      <c r="H47" s="22" t="n">
        <f aca="false">IFERROR(INDEX('SKU Data'!$H$2:$H$95,MATCH($A47,'SKU Data'!$AB$2:$AB$95,0)),"")</f>
        <v>1216.35</v>
      </c>
      <c r="I47" s="21" t="n">
        <f aca="false">IFERROR(INDEX('SKU Data'!$N$2:$N$95,MATCH($A47,'SKU Data'!$AB$2:$AB$95,0)),"")</f>
        <v>0.000735173114927769</v>
      </c>
      <c r="J47" s="23" t="n">
        <f aca="false">IFERROR(INDEX('SKU Data'!$O$2:$O$95,MATCH($A47,'SKU Data'!$AB$2:$AB$95,0)),"")</f>
        <v>9.44279118979966E-005</v>
      </c>
      <c r="K47" s="21" t="n">
        <f aca="false">Settings!$B$3</f>
        <v>0.0664935064935065</v>
      </c>
    </row>
    <row r="48" customFormat="false" ht="15" hidden="false" customHeight="false" outlineLevel="0" collapsed="false">
      <c r="A48" s="19" t="n">
        <v>6</v>
      </c>
      <c r="B48" s="19" t="str">
        <f aca="false">IFERROR(INDEX('SKU Data'!$A$2:$A$95,MATCH($A48,'SKU Data'!$AB$2:$AB$95,0)),"")</f>
        <v>DC-02B</v>
      </c>
      <c r="C48" s="19" t="str">
        <f aca="false">IFERROR(INDEX('SKU Data'!$B$2:$B$95,MATCH($A48,'SKU Data'!$AB$2:$AB$95,0)),"")</f>
        <v>Birthday Designer Collection II</v>
      </c>
      <c r="D48" s="19" t="str">
        <f aca="false">IFERROR(INDEX('SKU Data'!$C$2:$C$95,MATCH($A48,'SKU Data'!$AB$2:$AB$95,0)),"")</f>
        <v>Birthday</v>
      </c>
      <c r="E48" s="20" t="n">
        <f aca="false">IFERROR(INDEX('SKU Data'!$E$2:$E$95,MATCH($A48,'SKU Data'!$AB$2:$AB$95,0)),"")</f>
        <v>223</v>
      </c>
      <c r="F48" s="20" t="n">
        <f aca="false">IFERROR(INDEX('SKU Data'!$F$2:$F$95,MATCH($A48,'SKU Data'!$AB$2:$AB$95,0)),"")</f>
        <v>28</v>
      </c>
      <c r="G48" s="21" t="n">
        <f aca="false">IFERROR(INDEX('SKU Data'!$L$2:$L$95,MATCH($A48,'SKU Data'!$AB$2:$AB$95,0)),"")</f>
        <v>0.112107623318386</v>
      </c>
      <c r="H48" s="22" t="n">
        <f aca="false">IFERROR(INDEX('SKU Data'!$H$2:$H$95,MATCH($A48,'SKU Data'!$AB$2:$AB$95,0)),"")</f>
        <v>2889.28</v>
      </c>
      <c r="I48" s="21" t="n">
        <f aca="false">IFERROR(INDEX('SKU Data'!$N$2:$N$95,MATCH($A48,'SKU Data'!$AB$2:$AB$95,0)),"")</f>
        <v>0.00174630737657623</v>
      </c>
      <c r="J48" s="23" t="n">
        <f aca="false">IFERROR(INDEX('SKU Data'!$O$2:$O$95,MATCH($A48,'SKU Data'!$AB$2:$AB$95,0)),"")</f>
        <v>0.000224301128202116</v>
      </c>
      <c r="K48" s="21" t="n">
        <f aca="false">Settings!$B$3</f>
        <v>0.0664935064935065</v>
      </c>
    </row>
    <row r="49" customFormat="false" ht="15" hidden="false" customHeight="false" outlineLevel="0" collapsed="false">
      <c r="A49" s="19" t="n">
        <v>7</v>
      </c>
      <c r="B49" s="19" t="str">
        <f aca="false">IFERROR(INDEX('SKU Data'!$A$2:$A$95,MATCH($A49,'SKU Data'!$AB$2:$AB$95,0)),"")</f>
        <v>DCB-01C</v>
      </c>
      <c r="C49" s="19" t="str">
        <f aca="false">IFERROR(INDEX('SKU Data'!$B$2:$B$95,MATCH($A49,'SKU Data'!$AB$2:$AB$95,0)),"")</f>
        <v>Birthday Designer Collection I Combo</v>
      </c>
      <c r="D49" s="19" t="str">
        <f aca="false">IFERROR(INDEX('SKU Data'!$C$2:$C$95,MATCH($A49,'SKU Data'!$AB$2:$AB$95,0)),"")</f>
        <v>Birthday</v>
      </c>
      <c r="E49" s="20" t="n">
        <f aca="false">IFERROR(INDEX('SKU Data'!$E$2:$E$95,MATCH($A49,'SKU Data'!$AB$2:$AB$95,0)),"")</f>
        <v>95</v>
      </c>
      <c r="F49" s="20" t="n">
        <f aca="false">IFERROR(INDEX('SKU Data'!$F$2:$F$95,MATCH($A49,'SKU Data'!$AB$2:$AB$95,0)),"")</f>
        <v>12</v>
      </c>
      <c r="G49" s="21" t="n">
        <f aca="false">IFERROR(INDEX('SKU Data'!$L$2:$L$95,MATCH($A49,'SKU Data'!$AB$2:$AB$95,0)),"")</f>
        <v>0.105263157894737</v>
      </c>
      <c r="H49" s="22" t="n">
        <f aca="false">IFERROR(INDEX('SKU Data'!$H$2:$H$95,MATCH($A49,'SKU Data'!$AB$2:$AB$95,0)),"")</f>
        <v>957.93</v>
      </c>
      <c r="I49" s="21" t="n">
        <f aca="false">IFERROR(INDEX('SKU Data'!$N$2:$N$95,MATCH($A49,'SKU Data'!$AB$2:$AB$95,0)),"")</f>
        <v>0.000578981692755175</v>
      </c>
      <c r="J49" s="23" t="n">
        <f aca="false">IFERROR(INDEX('SKU Data'!$O$2:$O$95,MATCH($A49,'SKU Data'!$AB$2:$AB$95,0)),"")</f>
        <v>7.43662018698959E-005</v>
      </c>
      <c r="K49" s="21" t="n">
        <f aca="false">Settings!$B$3</f>
        <v>0.0664935064935065</v>
      </c>
    </row>
    <row r="50" customFormat="false" ht="15" hidden="false" customHeight="false" outlineLevel="0" collapsed="false">
      <c r="A50" s="19" t="n">
        <v>8</v>
      </c>
      <c r="B50" s="19" t="str">
        <f aca="false">IFERROR(INDEX('SKU Data'!$A$2:$A$95,MATCH($A50,'SKU Data'!$AB$2:$AB$95,0)),"")</f>
        <v>AUDNAT-MJ-02</v>
      </c>
      <c r="C50" s="19" t="str">
        <f aca="false">IFERROR(INDEX('SKU Data'!$B$2:$B$95,MATCH($A50,'SKU Data'!$AB$2:$AB$95,0)),"")</f>
        <v>Native Flowers Mason Jar Florist Selection II</v>
      </c>
      <c r="D50" s="19" t="str">
        <f aca="false">IFERROR(INDEX('SKU Data'!$C$2:$C$95,MATCH($A50,'SKU Data'!$AB$2:$AB$95,0)),"")</f>
        <v>Mason Jar</v>
      </c>
      <c r="E50" s="20" t="n">
        <f aca="false">IFERROR(INDEX('SKU Data'!$E$2:$E$95,MATCH($A50,'SKU Data'!$AB$2:$AB$95,0)),"")</f>
        <v>33</v>
      </c>
      <c r="F50" s="20" t="n">
        <f aca="false">IFERROR(INDEX('SKU Data'!$F$2:$F$95,MATCH($A50,'SKU Data'!$AB$2:$AB$95,0)),"")</f>
        <v>3</v>
      </c>
      <c r="G50" s="21" t="n">
        <f aca="false">IFERROR(INDEX('SKU Data'!$L$2:$L$95,MATCH($A50,'SKU Data'!$AB$2:$AB$95,0)),"")</f>
        <v>0.0909090909090909</v>
      </c>
      <c r="H50" s="22" t="n">
        <f aca="false">IFERROR(INDEX('SKU Data'!$H$2:$H$95,MATCH($A50,'SKU Data'!$AB$2:$AB$95,0)),"")</f>
        <v>259.88</v>
      </c>
      <c r="I50" s="21" t="n">
        <f aca="false">IFERROR(INDEX('SKU Data'!$N$2:$N$95,MATCH($A50,'SKU Data'!$AB$2:$AB$95,0)),"")</f>
        <v>0.000157073859585998</v>
      </c>
      <c r="J50" s="23" t="n">
        <f aca="false">IFERROR(INDEX('SKU Data'!$O$2:$O$95,MATCH($A50,'SKU Data'!$AB$2:$AB$95,0)),"")</f>
        <v>2.01750530226097E-005</v>
      </c>
      <c r="K50" s="21" t="n">
        <f aca="false">Settings!$B$3</f>
        <v>0.0664935064935065</v>
      </c>
    </row>
    <row r="51" customFormat="false" ht="15" hidden="false" customHeight="false" outlineLevel="0" collapsed="false">
      <c r="A51" s="19" t="n">
        <v>9</v>
      </c>
      <c r="B51" s="19" t="str">
        <f aca="false">IFERROR(INDEX('SKU Data'!$A$2:$A$95,MATCH($A51,'SKU Data'!$AB$2:$AB$95,0)),"")</f>
        <v>AUDC-02</v>
      </c>
      <c r="C51" s="19" t="str">
        <f aca="false">IFERROR(INDEX('SKU Data'!$B$2:$B$95,MATCH($A51,'SKU Data'!$AB$2:$AB$95,0)),"")</f>
        <v>Designer Collection II</v>
      </c>
      <c r="D51" s="19" t="str">
        <f aca="false">IFERROR(INDEX('SKU Data'!$C$2:$C$95,MATCH($A51,'SKU Data'!$AB$2:$AB$95,0)),"")</f>
        <v>General (Designer Collection)</v>
      </c>
      <c r="E51" s="20" t="n">
        <f aca="false">IFERROR(INDEX('SKU Data'!$E$2:$E$95,MATCH($A51,'SKU Data'!$AB$2:$AB$95,0)),"")</f>
        <v>45</v>
      </c>
      <c r="F51" s="20" t="n">
        <f aca="false">IFERROR(INDEX('SKU Data'!$F$2:$F$95,MATCH($A51,'SKU Data'!$AB$2:$AB$95,0)),"")</f>
        <v>4</v>
      </c>
      <c r="G51" s="21" t="n">
        <f aca="false">IFERROR(INDEX('SKU Data'!$L$2:$L$95,MATCH($A51,'SKU Data'!$AB$2:$AB$95,0)),"")</f>
        <v>0.0888888888888889</v>
      </c>
      <c r="H51" s="22" t="n">
        <f aca="false">IFERROR(INDEX('SKU Data'!$H$2:$H$95,MATCH($A51,'SKU Data'!$AB$2:$AB$95,0)),"")</f>
        <v>404.36</v>
      </c>
      <c r="I51" s="21" t="n">
        <f aca="false">IFERROR(INDEX('SKU Data'!$N$2:$N$95,MATCH($A51,'SKU Data'!$AB$2:$AB$95,0)),"")</f>
        <v>0.000244398898961806</v>
      </c>
      <c r="J51" s="23" t="n">
        <f aca="false">IFERROR(INDEX('SKU Data'!$O$2:$O$95,MATCH($A51,'SKU Data'!$AB$2:$AB$95,0)),"")</f>
        <v>3.13913515477239E-005</v>
      </c>
      <c r="K51" s="21" t="n">
        <f aca="false">Settings!$B$3</f>
        <v>0.0664935064935065</v>
      </c>
    </row>
    <row r="52" customFormat="false" ht="15" hidden="false" customHeight="false" outlineLevel="0" collapsed="false">
      <c r="A52" s="19" t="n">
        <v>10</v>
      </c>
      <c r="B52" s="19" t="str">
        <f aca="false">IFERROR(INDEX('SKU Data'!$A$2:$A$95,MATCH($A52,'SKU Data'!$AB$2:$AB$95,0)),"")</f>
        <v>DCS-02</v>
      </c>
      <c r="C52" s="19" t="str">
        <f aca="false">IFERROR(INDEX('SKU Data'!$B$2:$B$95,MATCH($A52,'SKU Data'!$AB$2:$AB$95,0)),"")</f>
        <v>Designer Sympathy Collection II</v>
      </c>
      <c r="D52" s="19" t="str">
        <f aca="false">IFERROR(INDEX('SKU Data'!$C$2:$C$95,MATCH($A52,'SKU Data'!$AB$2:$AB$95,0)),"")</f>
        <v>Sympathy</v>
      </c>
      <c r="E52" s="20" t="n">
        <f aca="false">IFERROR(INDEX('SKU Data'!$E$2:$E$95,MATCH($A52,'SKU Data'!$AB$2:$AB$95,0)),"")</f>
        <v>79</v>
      </c>
      <c r="F52" s="20" t="n">
        <f aca="false">IFERROR(INDEX('SKU Data'!$F$2:$F$95,MATCH($A52,'SKU Data'!$AB$2:$AB$95,0)),"")</f>
        <v>8</v>
      </c>
      <c r="G52" s="21" t="n">
        <f aca="false">IFERROR(INDEX('SKU Data'!$L$2:$L$95,MATCH($A52,'SKU Data'!$AB$2:$AB$95,0)),"")</f>
        <v>0.0886075949367089</v>
      </c>
      <c r="H52" s="22" t="n">
        <f aca="false">IFERROR(INDEX('SKU Data'!$H$2:$H$95,MATCH($A52,'SKU Data'!$AB$2:$AB$95,0)),"")</f>
        <v>798.41</v>
      </c>
      <c r="I52" s="21" t="n">
        <f aca="false">IFERROR(INDEX('SKU Data'!$N$2:$N$95,MATCH($A52,'SKU Data'!$AB$2:$AB$95,0)),"")</f>
        <v>0.000482566339202927</v>
      </c>
      <c r="J52" s="23" t="n">
        <f aca="false">IFERROR(INDEX('SKU Data'!$O$2:$O$95,MATCH($A52,'SKU Data'!$AB$2:$AB$95,0)),"")</f>
        <v>6.19823152369626E-005</v>
      </c>
      <c r="K52" s="21" t="n">
        <f aca="false">Settings!$B$3</f>
        <v>0.0664935064935065</v>
      </c>
    </row>
    <row r="53" customFormat="false" ht="15" hidden="false" customHeight="false" outlineLevel="0" collapsed="false">
      <c r="A53" s="19" t="n">
        <v>11</v>
      </c>
      <c r="B53" s="19" t="str">
        <f aca="false">IFERROR(INDEX('SKU Data'!$A$2:$A$95,MATCH($A53,'SKU Data'!$AB$2:$AB$95,0)),"")</f>
        <v>DC-04B</v>
      </c>
      <c r="C53" s="19" t="str">
        <f aca="false">IFERROR(INDEX('SKU Data'!$B$2:$B$95,MATCH($A53,'SKU Data'!$AB$2:$AB$95,0)),"")</f>
        <v>Birthday Designer Collection IV</v>
      </c>
      <c r="D53" s="19" t="str">
        <f aca="false">IFERROR(INDEX('SKU Data'!$C$2:$C$95,MATCH($A53,'SKU Data'!$AB$2:$AB$95,0)),"")</f>
        <v>Birthday</v>
      </c>
      <c r="E53" s="20" t="n">
        <f aca="false">IFERROR(INDEX('SKU Data'!$E$2:$E$95,MATCH($A53,'SKU Data'!$AB$2:$AB$95,0)),"")</f>
        <v>35</v>
      </c>
      <c r="F53" s="20" t="n">
        <f aca="false">IFERROR(INDEX('SKU Data'!$F$2:$F$95,MATCH($A53,'SKU Data'!$AB$2:$AB$95,0)),"")</f>
        <v>3</v>
      </c>
      <c r="G53" s="21" t="n">
        <f aca="false">IFERROR(INDEX('SKU Data'!$L$2:$L$95,MATCH($A53,'SKU Data'!$AB$2:$AB$95,0)),"")</f>
        <v>0.0857142857142857</v>
      </c>
      <c r="H53" s="22" t="n">
        <f aca="false">IFERROR(INDEX('SKU Data'!$H$2:$H$95,MATCH($A53,'SKU Data'!$AB$2:$AB$95,0)),"")</f>
        <v>374.66</v>
      </c>
      <c r="I53" s="21" t="n">
        <f aca="false">IFERROR(INDEX('SKU Data'!$N$2:$N$95,MATCH($A53,'SKU Data'!$AB$2:$AB$95,0)),"")</f>
        <v>0.000226447946100085</v>
      </c>
      <c r="J53" s="23" t="n">
        <f aca="false">IFERROR(INDEX('SKU Data'!$O$2:$O$95,MATCH($A53,'SKU Data'!$AB$2:$AB$95,0)),"")</f>
        <v>2.9085675563533E-005</v>
      </c>
      <c r="K53" s="21" t="n">
        <f aca="false">Settings!$B$3</f>
        <v>0.0664935064935065</v>
      </c>
    </row>
    <row r="54" customFormat="false" ht="15" hidden="false" customHeight="false" outlineLevel="0" collapsed="false">
      <c r="A54" s="19" t="n">
        <v>12</v>
      </c>
      <c r="B54" s="19" t="str">
        <f aca="false">IFERROR(INDEX('SKU Data'!$A$2:$A$95,MATCH($A54,'SKU Data'!$AB$2:$AB$95,0)),"")</f>
        <v>DC-02A</v>
      </c>
      <c r="C54" s="19" t="str">
        <f aca="false">IFERROR(INDEX('SKU Data'!$B$2:$B$95,MATCH($A54,'SKU Data'!$AB$2:$AB$95,0)),"")</f>
        <v>Designer Collection Anniversary II</v>
      </c>
      <c r="D54" s="19" t="str">
        <f aca="false">IFERROR(INDEX('SKU Data'!$C$2:$C$95,MATCH($A54,'SKU Data'!$AB$2:$AB$95,0)),"")</f>
        <v>Anniversary</v>
      </c>
      <c r="E54" s="20" t="n">
        <f aca="false">IFERROR(INDEX('SKU Data'!$E$2:$E$95,MATCH($A54,'SKU Data'!$AB$2:$AB$95,0)),"")</f>
        <v>59</v>
      </c>
      <c r="F54" s="20" t="n">
        <f aca="false">IFERROR(INDEX('SKU Data'!$F$2:$F$95,MATCH($A54,'SKU Data'!$AB$2:$AB$95,0)),"")</f>
        <v>6</v>
      </c>
      <c r="G54" s="21" t="n">
        <f aca="false">IFERROR(INDEX('SKU Data'!$L$2:$L$95,MATCH($A54,'SKU Data'!$AB$2:$AB$95,0)),"")</f>
        <v>0.0847457627118644</v>
      </c>
      <c r="H54" s="22" t="n">
        <f aca="false">IFERROR(INDEX('SKU Data'!$H$2:$H$95,MATCH($A54,'SKU Data'!$AB$2:$AB$95,0)),"")</f>
        <v>466.03</v>
      </c>
      <c r="I54" s="21" t="n">
        <f aca="false">IFERROR(INDEX('SKU Data'!$N$2:$N$95,MATCH($A54,'SKU Data'!$AB$2:$AB$95,0)),"")</f>
        <v>0.000281672813540336</v>
      </c>
      <c r="J54" s="23" t="n">
        <f aca="false">IFERROR(INDEX('SKU Data'!$O$2:$O$95,MATCH($A54,'SKU Data'!$AB$2:$AB$95,0)),"")</f>
        <v>3.61789285829107E-005</v>
      </c>
      <c r="K54" s="21" t="n">
        <f aca="false">Settings!$B$3</f>
        <v>0.0664935064935065</v>
      </c>
    </row>
    <row r="55" customFormat="false" ht="15" hidden="false" customHeight="false" outlineLevel="0" collapsed="false">
      <c r="A55" s="19" t="n">
        <v>13</v>
      </c>
      <c r="B55" s="19" t="str">
        <f aca="false">IFERROR(INDEX('SKU Data'!$A$2:$A$95,MATCH($A55,'SKU Data'!$AB$2:$AB$95,0)),"")</f>
        <v>DCMJ-03A</v>
      </c>
      <c r="C55" s="19" t="str">
        <f aca="false">IFERROR(INDEX('SKU Data'!$B$2:$B$95,MATCH($A55,'SKU Data'!$AB$2:$AB$95,0)),"")</f>
        <v>Designer Collection Mason Jar III</v>
      </c>
      <c r="D55" s="19" t="str">
        <f aca="false">IFERROR(INDEX('SKU Data'!$C$2:$C$95,MATCH($A55,'SKU Data'!$AB$2:$AB$95,0)),"")</f>
        <v>Mason Jar</v>
      </c>
      <c r="E55" s="20" t="n">
        <f aca="false">IFERROR(INDEX('SKU Data'!$E$2:$E$95,MATCH($A55,'SKU Data'!$AB$2:$AB$95,0)),"")</f>
        <v>108</v>
      </c>
      <c r="F55" s="20" t="n">
        <f aca="false">IFERROR(INDEX('SKU Data'!$F$2:$F$95,MATCH($A55,'SKU Data'!$AB$2:$AB$95,0)),"")</f>
        <v>10</v>
      </c>
      <c r="G55" s="21" t="n">
        <f aca="false">IFERROR(INDEX('SKU Data'!$L$2:$L$95,MATCH($A55,'SKU Data'!$AB$2:$AB$95,0)),"")</f>
        <v>0.0740740740740741</v>
      </c>
      <c r="H55" s="22" t="n">
        <f aca="false">IFERROR(INDEX('SKU Data'!$H$2:$H$95,MATCH($A55,'SKU Data'!$AB$2:$AB$95,0)),"")</f>
        <v>762.09</v>
      </c>
      <c r="I55" s="21" t="n">
        <f aca="false">IFERROR(INDEX('SKU Data'!$N$2:$N$95,MATCH($A55,'SKU Data'!$AB$2:$AB$95,0)),"")</f>
        <v>0.000460614197521522</v>
      </c>
      <c r="J55" s="23" t="n">
        <f aca="false">IFERROR(INDEX('SKU Data'!$O$2:$O$95,MATCH($A55,'SKU Data'!$AB$2:$AB$95,0)),"")</f>
        <v>5.91627141680801E-005</v>
      </c>
      <c r="K55" s="21" t="n">
        <f aca="false">Settings!$B$3</f>
        <v>0.0664935064935065</v>
      </c>
    </row>
    <row r="56" customFormat="false" ht="15" hidden="false" customHeight="false" outlineLevel="0" collapsed="false">
      <c r="A56" s="19" t="n">
        <v>14</v>
      </c>
      <c r="B56" s="19" t="str">
        <f aca="false">IFERROR(INDEX('SKU Data'!$A$2:$A$95,MATCH($A56,'SKU Data'!$AB$2:$AB$95,0)),"")</f>
        <v>DCS-03</v>
      </c>
      <c r="C56" s="19" t="str">
        <f aca="false">IFERROR(INDEX('SKU Data'!$B$2:$B$95,MATCH($A56,'SKU Data'!$AB$2:$AB$95,0)),"")</f>
        <v>Designer Sympathy Collection III</v>
      </c>
      <c r="D56" s="19" t="str">
        <f aca="false">IFERROR(INDEX('SKU Data'!$C$2:$C$95,MATCH($A56,'SKU Data'!$AB$2:$AB$95,0)),"")</f>
        <v>Sympathy</v>
      </c>
      <c r="E56" s="20" t="n">
        <f aca="false">IFERROR(INDEX('SKU Data'!$E$2:$E$95,MATCH($A56,'SKU Data'!$AB$2:$AB$95,0)),"")</f>
        <v>41</v>
      </c>
      <c r="F56" s="20" t="n">
        <f aca="false">IFERROR(INDEX('SKU Data'!$F$2:$F$95,MATCH($A56,'SKU Data'!$AB$2:$AB$95,0)),"")</f>
        <v>6</v>
      </c>
      <c r="G56" s="21" t="n">
        <f aca="false">IFERROR(INDEX('SKU Data'!$L$2:$L$95,MATCH($A56,'SKU Data'!$AB$2:$AB$95,0)),"")</f>
        <v>0.0731707317073171</v>
      </c>
      <c r="H56" s="22" t="n">
        <f aca="false">IFERROR(INDEX('SKU Data'!$H$2:$H$95,MATCH($A56,'SKU Data'!$AB$2:$AB$95,0)),"")</f>
        <v>967.81</v>
      </c>
      <c r="I56" s="21" t="n">
        <f aca="false">IFERROR(INDEX('SKU Data'!$N$2:$N$95,MATCH($A56,'SKU Data'!$AB$2:$AB$95,0)),"")</f>
        <v>0.000584953255525337</v>
      </c>
      <c r="J56" s="23" t="n">
        <f aca="false">IFERROR(INDEX('SKU Data'!$O$2:$O$95,MATCH($A56,'SKU Data'!$AB$2:$AB$95,0)),"")</f>
        <v>7.51332078875325E-005</v>
      </c>
      <c r="K56" s="21" t="n">
        <f aca="false">Settings!$B$3</f>
        <v>0.0664935064935065</v>
      </c>
    </row>
    <row r="57" customFormat="false" ht="15" hidden="false" customHeight="false" outlineLevel="0" collapsed="false">
      <c r="A57" s="19" t="n">
        <v>15</v>
      </c>
      <c r="B57" s="19" t="str">
        <f aca="false">IFERROR(INDEX('SKU Data'!$A$2:$A$95,MATCH($A57,'SKU Data'!$AB$2:$AB$95,0)),"")</f>
        <v>AUDC-04A</v>
      </c>
      <c r="C57" s="19" t="str">
        <f aca="false">IFERROR(INDEX('SKU Data'!$B$2:$B$95,MATCH($A57,'SKU Data'!$AB$2:$AB$95,0)),"")</f>
        <v>Designer Collection Anniversary IV</v>
      </c>
      <c r="D57" s="19" t="str">
        <f aca="false">IFERROR(INDEX('SKU Data'!$C$2:$C$95,MATCH($A57,'SKU Data'!$AB$2:$AB$95,0)),"")</f>
        <v>Anniversary</v>
      </c>
      <c r="E57" s="20" t="n">
        <f aca="false">IFERROR(INDEX('SKU Data'!$E$2:$E$95,MATCH($A57,'SKU Data'!$AB$2:$AB$95,0)),"")</f>
        <v>41</v>
      </c>
      <c r="F57" s="20" t="n">
        <f aca="false">IFERROR(INDEX('SKU Data'!$F$2:$F$95,MATCH($A57,'SKU Data'!$AB$2:$AB$95,0)),"")</f>
        <v>5</v>
      </c>
      <c r="G57" s="21" t="n">
        <f aca="false">IFERROR(INDEX('SKU Data'!$L$2:$L$95,MATCH($A57,'SKU Data'!$AB$2:$AB$95,0)),"")</f>
        <v>0.0731707317073171</v>
      </c>
      <c r="H57" s="22" t="n">
        <f aca="false">IFERROR(INDEX('SKU Data'!$H$2:$H$95,MATCH($A57,'SKU Data'!$AB$2:$AB$95,0)),"")</f>
        <v>711.15</v>
      </c>
      <c r="I57" s="21" t="n">
        <f aca="false">IFERROR(INDEX('SKU Data'!$N$2:$N$95,MATCH($A57,'SKU Data'!$AB$2:$AB$95,0)),"")</f>
        <v>0.000429825593522327</v>
      </c>
      <c r="J57" s="23" t="n">
        <f aca="false">IFERROR(INDEX('SKU Data'!$O$2:$O$95,MATCH($A57,'SKU Data'!$AB$2:$AB$95,0)),"")</f>
        <v>5.52081305103468E-005</v>
      </c>
      <c r="K57" s="21" t="n">
        <f aca="false">Settings!$B$3</f>
        <v>0.0664935064935065</v>
      </c>
    </row>
  </sheetData>
  <conditionalFormatting sqref="F5:F19">
    <cfRule type="dataBar" priority="2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{2ABC8C3D-9517-4F24-828B-9E4356D38180}</x14:id>
        </ext>
      </extLst>
    </cfRule>
  </conditionalFormatting>
  <conditionalFormatting sqref="H5:H19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{E3B54F70-46EF-4321-B666-DEF476A04B31}</x14:id>
        </ext>
      </extLst>
    </cfRule>
  </conditionalFormatting>
  <conditionalFormatting sqref="G5:G19">
    <cfRule type="colorScale" priority="4">
      <colorScale>
        <cfvo type="num" val="0.03"/>
        <cfvo type="num" val="0.15"/>
        <color rgb="FFFFFFFF"/>
        <color rgb="FFF08A80"/>
      </colorScale>
    </cfRule>
  </conditionalFormatting>
  <conditionalFormatting sqref="F24:F38">
    <cfRule type="dataBar" priority="5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{8ED93FAB-8D91-4060-94AB-8234232A3484}</x14:id>
        </ext>
      </extLst>
    </cfRule>
  </conditionalFormatting>
  <conditionalFormatting sqref="H24:H38">
    <cfRule type="dataBar" priority="6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{2B8B90B0-7A84-42B3-ADF4-CC74ABF398DB}</x14:id>
        </ext>
      </extLst>
    </cfRule>
  </conditionalFormatting>
  <conditionalFormatting sqref="G24:G38">
    <cfRule type="colorScale" priority="7">
      <colorScale>
        <cfvo type="num" val="0.03"/>
        <cfvo type="num" val="0.15"/>
        <color rgb="FFFFFFFF"/>
        <color rgb="FFF08A80"/>
      </colorScale>
    </cfRule>
  </conditionalFormatting>
  <conditionalFormatting sqref="F43:F57">
    <cfRule type="dataBar" priority="8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{F66D5BE8-5034-4100-B333-90A0C078491A}</x14:id>
        </ext>
      </extLst>
    </cfRule>
  </conditionalFormatting>
  <conditionalFormatting sqref="H43:H57">
    <cfRule type="dataBar" priority="9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{90296C1E-F6A1-4DEE-8E46-1986682FCE85}</x14:id>
        </ext>
      </extLst>
    </cfRule>
  </conditionalFormatting>
  <conditionalFormatting sqref="G43:G57">
    <cfRule type="colorScale" priority="10">
      <colorScale>
        <cfvo type="num" val="0.03"/>
        <cfvo type="num" val="0.15"/>
        <color rgb="FFFFFFFF"/>
        <color rgb="FFF08A8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BC8C3D-9517-4F24-828B-9E4356D38180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F5:F19</xm:sqref>
        </x14:conditionalFormatting>
        <x14:conditionalFormatting xmlns:xm="http://schemas.microsoft.com/office/excel/2006/main">
          <x14:cfRule type="dataBar" id="{E3B54F70-46EF-4321-B666-DEF476A04B31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H5:H19</xm:sqref>
        </x14:conditionalFormatting>
        <x14:conditionalFormatting xmlns:xm="http://schemas.microsoft.com/office/excel/2006/main">
          <x14:cfRule type="dataBar" id="{8ED93FAB-8D91-4060-94AB-8234232A3484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F24:F38</xm:sqref>
        </x14:conditionalFormatting>
        <x14:conditionalFormatting xmlns:xm="http://schemas.microsoft.com/office/excel/2006/main">
          <x14:cfRule type="dataBar" id="{2B8B90B0-7A84-42B3-ADF4-CC74ABF398DB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H24:H38</xm:sqref>
        </x14:conditionalFormatting>
        <x14:conditionalFormatting xmlns:xm="http://schemas.microsoft.com/office/excel/2006/main">
          <x14:cfRule type="dataBar" id="{F66D5BE8-5034-4100-B333-90A0C078491A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F43:F57</xm:sqref>
        </x14:conditionalFormatting>
        <x14:conditionalFormatting xmlns:xm="http://schemas.microsoft.com/office/excel/2006/main">
          <x14:cfRule type="dataBar" id="{90296C1E-F6A1-4DEE-8E46-1986682FCE85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H43:H57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4" min="12" style="0" width="44"/>
    <col collapsed="false" customWidth="true" hidden="false" outlineLevel="0" max="16" min="15" style="0" width="10"/>
  </cols>
  <sheetData>
    <row r="1" customFormat="false" ht="17.35" hidden="false" customHeight="false" outlineLevel="0" collapsed="false">
      <c r="A1" s="26" t="s">
        <v>85</v>
      </c>
    </row>
    <row r="2" customFormat="false" ht="15" hidden="false" customHeight="false" outlineLevel="0" collapsed="false">
      <c r="A2" s="25" t="s">
        <v>86</v>
      </c>
    </row>
    <row r="4" customFormat="false" ht="45.75" hidden="false" customHeight="true" outlineLevel="0" collapsed="false">
      <c r="A4" s="18" t="s">
        <v>87</v>
      </c>
      <c r="B4" s="18" t="s">
        <v>19</v>
      </c>
      <c r="C4" s="18" t="s">
        <v>20</v>
      </c>
      <c r="D4" s="18" t="s">
        <v>21</v>
      </c>
      <c r="E4" s="18" t="s">
        <v>31</v>
      </c>
      <c r="F4" s="18" t="s">
        <v>32</v>
      </c>
      <c r="G4" s="18" t="s">
        <v>33</v>
      </c>
      <c r="H4" s="18" t="s">
        <v>34</v>
      </c>
      <c r="I4" s="18" t="s">
        <v>22</v>
      </c>
      <c r="J4" s="18" t="s">
        <v>88</v>
      </c>
      <c r="K4" s="18" t="s">
        <v>35</v>
      </c>
      <c r="L4" s="18" t="s">
        <v>37</v>
      </c>
      <c r="M4" s="18" t="s">
        <v>38</v>
      </c>
      <c r="N4" s="18" t="s">
        <v>39</v>
      </c>
      <c r="O4" s="27" t="s">
        <v>40</v>
      </c>
      <c r="P4" s="27" t="s">
        <v>41</v>
      </c>
    </row>
    <row r="5" customFormat="false" ht="69.75" hidden="false" customHeight="true" outlineLevel="0" collapsed="false">
      <c r="A5" s="19" t="s">
        <v>89</v>
      </c>
      <c r="B5" s="20" t="n">
        <f aca="false">SUMIFS(Detail!$K$2:$K$703,Detail!$A$2:$A$703,$A5)</f>
        <v>4482</v>
      </c>
      <c r="C5" s="20" t="n">
        <f aca="false">SUMIFS(Detail!$L$2:$L$703,Detail!$A$2:$A$703,$A5)</f>
        <v>306</v>
      </c>
      <c r="D5" s="21" t="n">
        <f aca="false">IF(B5&gt;0,C5/B5,0)</f>
        <v>0.0682730923694779</v>
      </c>
      <c r="E5" s="28" t="n">
        <f aca="false">D5/Settings!$B$3</f>
        <v>1.02676330321285</v>
      </c>
      <c r="F5" s="28" t="n">
        <f aca="false">D5/Settings!$B$14</f>
        <v>0.91134450044222</v>
      </c>
      <c r="G5" s="29" t="n">
        <f aca="false">IF(B5&gt;0,(C5-B5*Settings!$B$3)/SQRT(B5*Settings!$B$3*(1-Settings!$B$3)),0)</f>
        <v>0.478196713253622</v>
      </c>
      <c r="H5" s="22" t="n">
        <f aca="false">SUMIFS(Detail!$H$2:$H$703,Detail!$A$2:$A$703,$A5)</f>
        <v>1045953.442</v>
      </c>
      <c r="I5" s="22" t="n">
        <f aca="false">SUMIFS(Detail!$E$2:$E$703,Detail!$A$2:$A$703,$A5)</f>
        <v>31691.45</v>
      </c>
      <c r="J5" s="21" t="n">
        <f aca="false">IF(H5&gt;0,I5/H5,0)</f>
        <v>0.0302991019747512</v>
      </c>
      <c r="K5" s="21" t="n">
        <f aca="false">I5/Settings!$B$18</f>
        <v>0.533324167331258</v>
      </c>
      <c r="L5" s="30" t="s">
        <v>90</v>
      </c>
      <c r="M5" s="30" t="s">
        <v>91</v>
      </c>
      <c r="N5" s="30" t="s">
        <v>92</v>
      </c>
      <c r="O5" s="31" t="n">
        <f aca="false">Settings!$B$3</f>
        <v>0.0664935064935065</v>
      </c>
      <c r="P5" s="31" t="n">
        <f aca="false">Settings!$B$14</f>
        <v>0.0749146917947594</v>
      </c>
    </row>
    <row r="6" customFormat="false" ht="69.75" hidden="false" customHeight="true" outlineLevel="0" collapsed="false">
      <c r="A6" s="19" t="s">
        <v>93</v>
      </c>
      <c r="B6" s="20" t="n">
        <f aca="false">SUMIFS(Detail!$K$2:$K$703,Detail!$A$2:$A$703,$A6)</f>
        <v>1530</v>
      </c>
      <c r="C6" s="20" t="n">
        <f aca="false">SUMIFS(Detail!$L$2:$L$703,Detail!$A$2:$A$703,$A6)</f>
        <v>62</v>
      </c>
      <c r="D6" s="21" t="n">
        <f aca="false">IF(B6&gt;0,C6/B6,0)</f>
        <v>0.0405228758169935</v>
      </c>
      <c r="E6" s="28" t="n">
        <f aca="false">D6/Settings!$B$3</f>
        <v>0.609426062091503</v>
      </c>
      <c r="F6" s="28" t="n">
        <f aca="false">D6/Settings!$B$14</f>
        <v>0.540920276733064</v>
      </c>
      <c r="G6" s="29" t="n">
        <f aca="false">IF(B6&gt;0,(C6-B6*Settings!$B$3)/SQRT(B6*Settings!$B$3*(1-Settings!$B$3)),0)</f>
        <v>-4.07736811237022</v>
      </c>
      <c r="H6" s="22" t="n">
        <f aca="false">SUMIFS(Detail!$H$2:$H$703,Detail!$A$2:$A$703,$A6)</f>
        <v>352079.58</v>
      </c>
      <c r="I6" s="22" t="n">
        <f aca="false">SUMIFS(Detail!$E$2:$E$703,Detail!$A$2:$A$703,$A6)</f>
        <v>10841.43</v>
      </c>
      <c r="J6" s="21" t="n">
        <f aca="false">IF(H6&gt;0,I6/H6,0)</f>
        <v>0.0307925554785086</v>
      </c>
      <c r="K6" s="21" t="n">
        <f aca="false">I6/Settings!$B$18</f>
        <v>0.18244657872802</v>
      </c>
      <c r="L6" s="30" t="s">
        <v>94</v>
      </c>
      <c r="M6" s="30" t="s">
        <v>95</v>
      </c>
      <c r="N6" s="30" t="s">
        <v>96</v>
      </c>
      <c r="O6" s="31" t="n">
        <f aca="false">Settings!$B$3</f>
        <v>0.0664935064935065</v>
      </c>
      <c r="P6" s="31" t="n">
        <f aca="false">Settings!$B$14</f>
        <v>0.0749146917947594</v>
      </c>
    </row>
    <row r="7" customFormat="false" ht="69.75" hidden="false" customHeight="true" outlineLevel="0" collapsed="false">
      <c r="A7" s="19" t="s">
        <v>97</v>
      </c>
      <c r="B7" s="20" t="n">
        <f aca="false">SUMIFS(Detail!$K$2:$K$703,Detail!$A$2:$A$703,$A7)</f>
        <v>1580</v>
      </c>
      <c r="C7" s="20" t="n">
        <f aca="false">SUMIFS(Detail!$L$2:$L$703,Detail!$A$2:$A$703,$A7)</f>
        <v>133</v>
      </c>
      <c r="D7" s="21" t="n">
        <f aca="false">IF(B7&gt;0,C7/B7,0)</f>
        <v>0.0841772151898734</v>
      </c>
      <c r="E7" s="28" t="n">
        <f aca="false">D7/Settings!$B$3</f>
        <v>1.26594640031646</v>
      </c>
      <c r="F7" s="28" t="n">
        <f aca="false">D7/Settings!$B$14</f>
        <v>1.12364094643131</v>
      </c>
      <c r="G7" s="29" t="n">
        <f aca="false">IF(B7&gt;0,(C7-B7*Settings!$B$3)/SQRT(B7*Settings!$B$3*(1-Settings!$B$3)),0)</f>
        <v>2.82132817609921</v>
      </c>
      <c r="H7" s="22" t="n">
        <f aca="false">SUMIFS(Detail!$H$2:$H$703,Detail!$A$2:$A$703,$A7)</f>
        <v>232944.91</v>
      </c>
      <c r="I7" s="22" t="n">
        <f aca="false">SUMIFS(Detail!$E$2:$E$703,Detail!$A$2:$A$703,$A7)</f>
        <v>15495.06</v>
      </c>
      <c r="J7" s="21" t="n">
        <f aca="false">IF(H7&gt;0,I7/H7,0)</f>
        <v>0.0665181308318778</v>
      </c>
      <c r="K7" s="21" t="n">
        <f aca="false">I7/Settings!$B$18</f>
        <v>0.260760866803125</v>
      </c>
      <c r="L7" s="30" t="s">
        <v>98</v>
      </c>
      <c r="M7" s="30" t="s">
        <v>99</v>
      </c>
      <c r="N7" s="30" t="s">
        <v>92</v>
      </c>
      <c r="O7" s="31" t="n">
        <f aca="false">Settings!$B$3</f>
        <v>0.0664935064935065</v>
      </c>
      <c r="P7" s="31" t="n">
        <f aca="false">Settings!$B$14</f>
        <v>0.0749146917947594</v>
      </c>
    </row>
    <row r="8" customFormat="false" ht="69.75" hidden="false" customHeight="true" outlineLevel="0" collapsed="false">
      <c r="A8" s="19" t="s">
        <v>100</v>
      </c>
      <c r="B8" s="20" t="n">
        <f aca="false">SUMIFS(Detail!$K$2:$K$703,Detail!$A$2:$A$703,$A8)</f>
        <v>108</v>
      </c>
      <c r="C8" s="20" t="n">
        <f aca="false">SUMIFS(Detail!$L$2:$L$703,Detail!$A$2:$A$703,$A8)</f>
        <v>11</v>
      </c>
      <c r="D8" s="21" t="n">
        <f aca="false">IF(B8&gt;0,C8/B8,0)</f>
        <v>0.101851851851852</v>
      </c>
      <c r="E8" s="28" t="n">
        <f aca="false">D8/Settings!$B$3</f>
        <v>1.53175636574074</v>
      </c>
      <c r="F8" s="28" t="n">
        <f aca="false">D8/Settings!$B$14</f>
        <v>1.35957112565972</v>
      </c>
      <c r="G8" s="29" t="n">
        <f aca="false">IF(B8&gt;0,(C8-B8*Settings!$B$3)/SQRT(B8*Settings!$B$3*(1-Settings!$B$3)),0)</f>
        <v>1.47487604424497</v>
      </c>
      <c r="H8" s="22" t="n">
        <f aca="false">SUMIFS(Detail!$H$2:$H$703,Detail!$A$2:$A$703,$A8)</f>
        <v>23530.34</v>
      </c>
      <c r="I8" s="22" t="n">
        <f aca="false">SUMIFS(Detail!$E$2:$E$703,Detail!$A$2:$A$703,$A8)</f>
        <v>1394.55</v>
      </c>
      <c r="J8" s="21" t="n">
        <f aca="false">IF(H8&gt;0,I8/H8,0)</f>
        <v>0.0592660369548421</v>
      </c>
      <c r="K8" s="21" t="n">
        <f aca="false">I8/Settings!$B$18</f>
        <v>0.0234683871375972</v>
      </c>
      <c r="L8" s="30" t="s">
        <v>101</v>
      </c>
      <c r="M8" s="30" t="s">
        <v>102</v>
      </c>
      <c r="N8" s="30" t="s">
        <v>103</v>
      </c>
      <c r="O8" s="31" t="n">
        <f aca="false">Settings!$B$3</f>
        <v>0.0664935064935065</v>
      </c>
      <c r="P8" s="31" t="n">
        <f aca="false">Settings!$B$14</f>
        <v>0.0749146917947594</v>
      </c>
    </row>
  </sheetData>
  <conditionalFormatting sqref="D5:D8">
    <cfRule type="colorScale" priority="2">
      <colorScale>
        <cfvo type="num" val="0.03"/>
        <cfvo type="num" val="0.07"/>
        <cfvo type="num" val="0.11"/>
        <color rgb="FFC8E6C9"/>
        <color rgb="FFFFFFFF"/>
        <color rgb="FFF08A80"/>
      </colorScale>
    </cfRule>
  </conditionalFormatting>
  <conditionalFormatting sqref="I5:I8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{C149C2AF-3A6F-4950-88BC-62C326AA744F}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49C2AF-3A6F-4950-88BC-62C326AA744F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I5:I8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26" t="s">
        <v>104</v>
      </c>
    </row>
    <row r="2" customFormat="false" ht="39.75" hidden="false" customHeight="true" outlineLevel="0" collapsed="false">
      <c r="A2" s="32" t="s">
        <v>105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customFormat="false" ht="45.75" hidden="false" customHeight="true" outlineLevel="0" collapsed="false">
      <c r="A4" s="18" t="s">
        <v>106</v>
      </c>
      <c r="B4" s="18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88</v>
      </c>
      <c r="H4" s="18" t="s">
        <v>112</v>
      </c>
      <c r="I4" s="18" t="s">
        <v>113</v>
      </c>
      <c r="J4" s="18" t="s">
        <v>114</v>
      </c>
      <c r="K4" s="18" t="s">
        <v>115</v>
      </c>
      <c r="L4" s="18" t="s">
        <v>116</v>
      </c>
    </row>
    <row r="5" customFormat="false" ht="15" hidden="false" customHeight="false" outlineLevel="0" collapsed="false">
      <c r="A5" s="19" t="s">
        <v>117</v>
      </c>
      <c r="B5" s="20" t="n">
        <f aca="false">SUMIFS(Detail!$O$2:$O$703,Detail!$B$2:$B$703,$A5)</f>
        <v>1452</v>
      </c>
      <c r="C5" s="20" t="n">
        <f aca="false">SUMIFS(Detail!$P$2:$P$703,Detail!$B$2:$B$703,$A5)</f>
        <v>12</v>
      </c>
      <c r="D5" s="21" t="n">
        <f aca="false">IF(B5&gt;0,C5/B5,0)</f>
        <v>0.00826446280991736</v>
      </c>
      <c r="E5" s="22" t="n">
        <f aca="false">SUMIFS(Detail!$E$2:$E$703,Detail!$B$2:$B$703,$A5)</f>
        <v>1300.53</v>
      </c>
      <c r="F5" s="22" t="n">
        <f aca="false">SUMIFS(Detail!$H$2:$H$703,Detail!$B$2:$B$703,$A5)</f>
        <v>140635.018</v>
      </c>
      <c r="G5" s="21" t="n">
        <f aca="false">IF(F5&gt;0,E5/F5,0)</f>
        <v>0.00924755454576754</v>
      </c>
      <c r="H5" s="24" t="str">
        <f aca="false">IF(A5&gt;=Settings!$B$13,"yes","no")</f>
        <v>no</v>
      </c>
      <c r="I5" s="34" t="n">
        <v>0.00504124656278644</v>
      </c>
      <c r="J5" s="28" t="n">
        <f aca="false">IF(I5&gt;0,D5/I5,0)</f>
        <v>1.63936889556724</v>
      </c>
      <c r="K5" s="34" t="n">
        <v>0.00555189755490928</v>
      </c>
      <c r="L5" s="29" t="n">
        <v>0</v>
      </c>
    </row>
    <row r="6" customFormat="false" ht="15" hidden="false" customHeight="false" outlineLevel="0" collapsed="false">
      <c r="A6" s="19" t="s">
        <v>118</v>
      </c>
      <c r="B6" s="20" t="n">
        <f aca="false">SUMIFS(Detail!$O$2:$O$703,Detail!$B$2:$B$703,$A6)</f>
        <v>1020</v>
      </c>
      <c r="C6" s="20" t="n">
        <f aca="false">SUMIFS(Detail!$P$2:$P$703,Detail!$B$2:$B$703,$A6)</f>
        <v>9</v>
      </c>
      <c r="D6" s="21" t="n">
        <f aca="false">IF(B6&gt;0,C6/B6,0)</f>
        <v>0.00882352941176471</v>
      </c>
      <c r="E6" s="22" t="n">
        <f aca="false">SUMIFS(Detail!$E$2:$E$703,Detail!$B$2:$B$703,$A6)</f>
        <v>984.55</v>
      </c>
      <c r="F6" s="22" t="n">
        <f aca="false">SUMIFS(Detail!$H$2:$H$703,Detail!$B$2:$B$703,$A6)</f>
        <v>102067.787</v>
      </c>
      <c r="G6" s="21" t="n">
        <f aca="false">IF(F6&gt;0,E6/F6,0)</f>
        <v>0.00964604042997425</v>
      </c>
      <c r="H6" s="24" t="str">
        <f aca="false">IF(A6&gt;=Settings!$B$13,"yes","no")</f>
        <v>no</v>
      </c>
      <c r="I6" s="34" t="n">
        <v>0.0170394835610269</v>
      </c>
      <c r="J6" s="28" t="n">
        <f aca="false">IF(I6&gt;0,D6/I6,0)</f>
        <v>0.51782845296709</v>
      </c>
      <c r="K6" s="34" t="n">
        <v>0.0175790862806725</v>
      </c>
      <c r="L6" s="29" t="n">
        <f aca="false">IF(AND(B6&gt;=100,B5&gt;=100,H6="yes",H5="yes"),(D6-D5)/SQRT(((C6+C5)/(B6+B5))*(1-(C6+C5)/(B6+B5))*(1/B6+1/B5)),0)</f>
        <v>0</v>
      </c>
    </row>
    <row r="7" customFormat="false" ht="15" hidden="false" customHeight="false" outlineLevel="0" collapsed="false">
      <c r="A7" s="19" t="s">
        <v>119</v>
      </c>
      <c r="B7" s="20" t="n">
        <f aca="false">SUMIFS(Detail!$O$2:$O$703,Detail!$B$2:$B$703,$A7)</f>
        <v>862</v>
      </c>
      <c r="C7" s="20" t="n">
        <f aca="false">SUMIFS(Detail!$P$2:$P$703,Detail!$B$2:$B$703,$A7)</f>
        <v>8</v>
      </c>
      <c r="D7" s="21" t="n">
        <f aca="false">IF(B7&gt;0,C7/B7,0)</f>
        <v>0.00928074245939675</v>
      </c>
      <c r="E7" s="22" t="n">
        <f aca="false">SUMIFS(Detail!$E$2:$E$703,Detail!$B$2:$B$703,$A7)</f>
        <v>930.92</v>
      </c>
      <c r="F7" s="22" t="n">
        <f aca="false">SUMIFS(Detail!$H$2:$H$703,Detail!$B$2:$B$703,$A7)</f>
        <v>86144.76</v>
      </c>
      <c r="G7" s="21" t="n">
        <f aca="false">IF(F7&gt;0,E7/F7,0)</f>
        <v>0.010806461124275</v>
      </c>
      <c r="H7" s="24" t="str">
        <f aca="false">IF(A7&gt;=Settings!$B$13,"yes","no")</f>
        <v>no</v>
      </c>
      <c r="I7" s="34" t="n">
        <v>0.0324347093513058</v>
      </c>
      <c r="J7" s="28" t="n">
        <f aca="false">IF(I7&gt;0,D7/I7,0)</f>
        <v>0.286136137644258</v>
      </c>
      <c r="K7" s="34" t="n">
        <v>0.0340656041329286</v>
      </c>
      <c r="L7" s="29" t="n">
        <f aca="false">IF(AND(B7&gt;=100,B6&gt;=100,H7="yes",H6="yes"),(D7-D6)/SQRT(((C7+C6)/(B7+B6))*(1-(C7+C6)/(B7+B6))*(1/B7+1/B6)),0)</f>
        <v>0</v>
      </c>
    </row>
    <row r="8" customFormat="false" ht="15" hidden="false" customHeight="false" outlineLevel="0" collapsed="false">
      <c r="A8" s="19" t="s">
        <v>120</v>
      </c>
      <c r="B8" s="20" t="n">
        <f aca="false">SUMIFS(Detail!$O$2:$O$703,Detail!$B$2:$B$703,$A8)</f>
        <v>692</v>
      </c>
      <c r="C8" s="20" t="n">
        <f aca="false">SUMIFS(Detail!$P$2:$P$703,Detail!$B$2:$B$703,$A8)</f>
        <v>7</v>
      </c>
      <c r="D8" s="21" t="n">
        <f aca="false">IF(B8&gt;0,C8/B8,0)</f>
        <v>0.0101156069364162</v>
      </c>
      <c r="E8" s="22" t="n">
        <f aca="false">SUMIFS(Detail!$E$2:$E$703,Detail!$B$2:$B$703,$A8)</f>
        <v>1116.71</v>
      </c>
      <c r="F8" s="22" t="n">
        <f aca="false">SUMIFS(Detail!$H$2:$H$703,Detail!$B$2:$B$703,$A8)</f>
        <v>72148.406</v>
      </c>
      <c r="G8" s="21" t="n">
        <f aca="false">IF(F8&gt;0,E8/F8,0)</f>
        <v>0.0154779580300083</v>
      </c>
      <c r="H8" s="24" t="str">
        <f aca="false">IF(A8&gt;=Settings!$B$13,"yes","no")</f>
        <v>no</v>
      </c>
      <c r="I8" s="34" t="n">
        <v>0.0471584038694075</v>
      </c>
      <c r="J8" s="28" t="n">
        <f aca="false">IF(I8&gt;0,D8/I8,0)</f>
        <v>0.214502741959389</v>
      </c>
      <c r="K8" s="34" t="n">
        <v>0.0483650234469858</v>
      </c>
      <c r="L8" s="29" t="n">
        <f aca="false">IF(AND(B8&gt;=100,B7&gt;=100,H8="yes",H7="yes"),(D8-D7)/SQRT(((C8+C7)/(B8+B7))*(1-(C8+C7)/(B8+B7))*(1/B8+1/B7)),0)</f>
        <v>0</v>
      </c>
    </row>
    <row r="9" customFormat="false" ht="15" hidden="false" customHeight="false" outlineLevel="0" collapsed="false">
      <c r="A9" s="19" t="s">
        <v>121</v>
      </c>
      <c r="B9" s="20" t="n">
        <f aca="false">SUMIFS(Detail!$O$2:$O$703,Detail!$B$2:$B$703,$A9)</f>
        <v>1560</v>
      </c>
      <c r="C9" s="20" t="n">
        <f aca="false">SUMIFS(Detail!$P$2:$P$703,Detail!$B$2:$B$703,$A9)</f>
        <v>13</v>
      </c>
      <c r="D9" s="21" t="n">
        <f aca="false">IF(B9&gt;0,C9/B9,0)</f>
        <v>0.00833333333333333</v>
      </c>
      <c r="E9" s="22" t="n">
        <f aca="false">SUMIFS(Detail!$E$2:$E$703,Detail!$B$2:$B$703,$A9)</f>
        <v>1533.08</v>
      </c>
      <c r="F9" s="22" t="n">
        <f aca="false">SUMIFS(Detail!$H$2:$H$703,Detail!$B$2:$B$703,$A9)</f>
        <v>153324.584</v>
      </c>
      <c r="G9" s="21" t="n">
        <f aca="false">IF(F9&gt;0,E9/F9,0)</f>
        <v>0.00999891837306404</v>
      </c>
      <c r="H9" s="24" t="str">
        <f aca="false">IF(A9&gt;=Settings!$B$13,"yes","no")</f>
        <v>no</v>
      </c>
      <c r="I9" s="34" t="n">
        <v>0.0228184655291209</v>
      </c>
      <c r="J9" s="28" t="n">
        <f aca="false">IF(I9&gt;0,D9/I9,0)</f>
        <v>0.365201302545885</v>
      </c>
      <c r="K9" s="34" t="n">
        <v>0.0229755604692843</v>
      </c>
      <c r="L9" s="29" t="n">
        <f aca="false">IF(AND(B9&gt;=100,B8&gt;=100,H9="yes",H8="yes"),(D9-D8)/SQRT(((C9+C8)/(B9+B8))*(1-(C9+C8)/(B9+B8))*(1/B9+1/B8)),0)</f>
        <v>0</v>
      </c>
    </row>
    <row r="10" customFormat="false" ht="15" hidden="false" customHeight="false" outlineLevel="0" collapsed="false">
      <c r="A10" s="19" t="s">
        <v>122</v>
      </c>
      <c r="B10" s="20" t="n">
        <f aca="false">SUMIFS(Detail!$O$2:$O$703,Detail!$B$2:$B$703,$A10)</f>
        <v>917</v>
      </c>
      <c r="C10" s="20" t="n">
        <f aca="false">SUMIFS(Detail!$P$2:$P$703,Detail!$B$2:$B$703,$A10)</f>
        <v>17</v>
      </c>
      <c r="D10" s="21" t="n">
        <f aca="false">IF(B10&gt;0,C10/B10,0)</f>
        <v>0.0185387131952017</v>
      </c>
      <c r="E10" s="22" t="n">
        <f aca="false">SUMIFS(Detail!$E$2:$E$703,Detail!$B$2:$B$703,$A10)</f>
        <v>1589</v>
      </c>
      <c r="F10" s="22" t="n">
        <f aca="false">SUMIFS(Detail!$H$2:$H$703,Detail!$B$2:$B$703,$A10)</f>
        <v>91764.377</v>
      </c>
      <c r="G10" s="21" t="n">
        <f aca="false">IF(F10&gt;0,E10/F10,0)</f>
        <v>0.01731608770144</v>
      </c>
      <c r="H10" s="24" t="str">
        <f aca="false">IF(A10&gt;=Settings!$B$13,"yes","no")</f>
        <v>no</v>
      </c>
      <c r="I10" s="34" t="n">
        <v>0.0396029776674938</v>
      </c>
      <c r="J10" s="28" t="n">
        <f aca="false">IF(I10&gt;0,D10/I10,0)</f>
        <v>0.468114123913929</v>
      </c>
      <c r="K10" s="34" t="n">
        <v>0.0374784207223184</v>
      </c>
      <c r="L10" s="29" t="n">
        <f aca="false">IF(AND(B10&gt;=100,B9&gt;=100,H10="yes",H9="yes"),(D10-D9)/SQRT(((C10+C9)/(B10+B9))*(1-(C10+C9)/(B10+B9))*(1/B10+1/B9)),0)</f>
        <v>0</v>
      </c>
    </row>
    <row r="11" customFormat="false" ht="15" hidden="false" customHeight="false" outlineLevel="0" collapsed="false">
      <c r="A11" s="19" t="s">
        <v>123</v>
      </c>
      <c r="B11" s="20" t="n">
        <f aca="false">SUMIFS(Detail!$O$2:$O$703,Detail!$B$2:$B$703,$A11)</f>
        <v>2251</v>
      </c>
      <c r="C11" s="20" t="n">
        <f aca="false">SUMIFS(Detail!$P$2:$P$703,Detail!$B$2:$B$703,$A11)</f>
        <v>44</v>
      </c>
      <c r="D11" s="21" t="n">
        <f aca="false">IF(B11&gt;0,C11/B11,0)</f>
        <v>0.0195468680586406</v>
      </c>
      <c r="E11" s="22" t="n">
        <f aca="false">SUMIFS(Detail!$E$2:$E$703,Detail!$B$2:$B$703,$A11)</f>
        <v>4323.75</v>
      </c>
      <c r="F11" s="22" t="n">
        <f aca="false">SUMIFS(Detail!$H$2:$H$703,Detail!$B$2:$B$703,$A11)</f>
        <v>226127.13</v>
      </c>
      <c r="G11" s="21" t="n">
        <f aca="false">IF(F11&gt;0,E11/F11,0)</f>
        <v>0.0191208812494105</v>
      </c>
      <c r="H11" s="24" t="str">
        <f aca="false">IF(A11&gt;=Settings!$B$13,"yes","no")</f>
        <v>no</v>
      </c>
      <c r="I11" s="34" t="n">
        <v>0.0278100493755446</v>
      </c>
      <c r="J11" s="28" t="n">
        <f aca="false">IF(I11&gt;0,D11/I11,0)</f>
        <v>0.702870670766576</v>
      </c>
      <c r="K11" s="34" t="n">
        <v>0.0289231131301775</v>
      </c>
      <c r="L11" s="29" t="n">
        <f aca="false">IF(AND(B11&gt;=100,B10&gt;=100,H11="yes",H10="yes"),(D11-D10)/SQRT(((C11+C10)/(B11+B10))*(1-(C11+C10)/(B11+B10))*(1/B11+1/B10)),0)</f>
        <v>0</v>
      </c>
    </row>
    <row r="12" customFormat="false" ht="15" hidden="false" customHeight="false" outlineLevel="0" collapsed="false">
      <c r="A12" s="19" t="s">
        <v>124</v>
      </c>
      <c r="B12" s="20" t="n">
        <f aca="false">SUMIFS(Detail!$O$2:$O$703,Detail!$B$2:$B$703,$A12)</f>
        <v>3246</v>
      </c>
      <c r="C12" s="20" t="n">
        <f aca="false">SUMIFS(Detail!$P$2:$P$703,Detail!$B$2:$B$703,$A12)</f>
        <v>159</v>
      </c>
      <c r="D12" s="21" t="n">
        <f aca="false">IF(B12&gt;0,C12/B12,0)</f>
        <v>0.0489833641404806</v>
      </c>
      <c r="E12" s="22" t="n">
        <f aca="false">SUMIFS(Detail!$E$2:$E$703,Detail!$B$2:$B$703,$A12)</f>
        <v>15285.7</v>
      </c>
      <c r="F12" s="22" t="n">
        <f aca="false">SUMIFS(Detail!$H$2:$H$703,Detail!$B$2:$B$703,$A12)</f>
        <v>329696.67</v>
      </c>
      <c r="G12" s="21" t="n">
        <f aca="false">IF(F12&gt;0,E12/F12,0)</f>
        <v>0.0463629189824696</v>
      </c>
      <c r="H12" s="24" t="str">
        <f aca="false">IF(A12&gt;=Settings!$B$13,"yes","no")</f>
        <v>yes</v>
      </c>
      <c r="I12" s="34" t="n">
        <v>0.0651765197409651</v>
      </c>
      <c r="J12" s="28" t="n">
        <f aca="false">IF(I12&gt;0,D12/I12,0)</f>
        <v>0.751549244040002</v>
      </c>
      <c r="K12" s="34" t="n">
        <v>0.0642382003705912</v>
      </c>
      <c r="L12" s="29" t="n">
        <f aca="false">IF(AND(B12&gt;=100,B11&gt;=100,H12="yes",H11="yes"),(D12-D11)/SQRT(((C12+C11)/(B12+B11))*(1-(C12+C11)/(B12+B11))*(1/B12+1/B11)),0)</f>
        <v>0</v>
      </c>
    </row>
    <row r="13" customFormat="false" ht="15" hidden="false" customHeight="false" outlineLevel="0" collapsed="false">
      <c r="A13" s="19" t="s">
        <v>125</v>
      </c>
      <c r="B13" s="20" t="n">
        <f aca="false">SUMIFS(Detail!$O$2:$O$703,Detail!$B$2:$B$703,$A13)</f>
        <v>3383</v>
      </c>
      <c r="C13" s="20" t="n">
        <f aca="false">SUMIFS(Detail!$P$2:$P$703,Detail!$B$2:$B$703,$A13)</f>
        <v>255</v>
      </c>
      <c r="D13" s="21" t="n">
        <f aca="false">IF(B13&gt;0,C13/B13,0)</f>
        <v>0.0753768844221106</v>
      </c>
      <c r="E13" s="22" t="n">
        <f aca="false">SUMIFS(Detail!$E$2:$E$703,Detail!$B$2:$B$703,$A13)</f>
        <v>22777.35</v>
      </c>
      <c r="F13" s="22" t="n">
        <f aca="false">SUMIFS(Detail!$H$2:$H$703,Detail!$B$2:$B$703,$A13)</f>
        <v>343291.66</v>
      </c>
      <c r="G13" s="21" t="n">
        <f aca="false">IF(F13&gt;0,E13/F13,0)</f>
        <v>0.0663498495710615</v>
      </c>
      <c r="H13" s="24" t="str">
        <f aca="false">IF(A13&gt;=Settings!$B$13,"yes","no")</f>
        <v>yes</v>
      </c>
      <c r="I13" s="34" t="n">
        <v>0.0847483438665956</v>
      </c>
      <c r="J13" s="28" t="n">
        <f aca="false">IF(I13&gt;0,D13/I13,0)</f>
        <v>0.889420146554877</v>
      </c>
      <c r="K13" s="34" t="n">
        <v>0.0846141382473962</v>
      </c>
      <c r="L13" s="29" t="n">
        <f aca="false">IF(AND(B13&gt;=100,B12&gt;=100,H13="yes",H12="yes"),(D13-D12)/SQRT(((C13+C12)/(B13+B12))*(1-(C13+C12)/(B13+B12))*(1/B13+1/B12)),0)</f>
        <v>4.43941605135466</v>
      </c>
    </row>
    <row r="14" customFormat="false" ht="15" hidden="false" customHeight="false" outlineLevel="0" collapsed="false">
      <c r="A14" s="19" t="s">
        <v>126</v>
      </c>
      <c r="B14" s="20" t="n">
        <f aca="false">SUMIFS(Detail!$O$2:$O$703,Detail!$B$2:$B$703,$A14)</f>
        <v>1071</v>
      </c>
      <c r="C14" s="20" t="n">
        <f aca="false">SUMIFS(Detail!$P$2:$P$703,Detail!$B$2:$B$703,$A14)</f>
        <v>98</v>
      </c>
      <c r="D14" s="21" t="n">
        <f aca="false">IF(B14&gt;0,C14/B14,0)</f>
        <v>0.0915032679738562</v>
      </c>
      <c r="E14" s="22" t="n">
        <f aca="false">SUMIFS(Detail!$E$2:$E$703,Detail!$B$2:$B$703,$A14)</f>
        <v>9580.9</v>
      </c>
      <c r="F14" s="22" t="n">
        <f aca="false">SUMIFS(Detail!$H$2:$H$703,Detail!$B$2:$B$703,$A14)</f>
        <v>109307.88</v>
      </c>
      <c r="G14" s="21" t="n">
        <f aca="false">IF(F14&gt;0,E14/F14,0)</f>
        <v>0.0876505884113753</v>
      </c>
      <c r="H14" s="24" t="str">
        <f aca="false">IF(A14&gt;=Settings!$B$13,"yes","no")</f>
        <v>yes</v>
      </c>
      <c r="I14" s="34" t="n">
        <v>0.077320746235109</v>
      </c>
      <c r="J14" s="28" t="n">
        <f aca="false">IF(I14&gt;0,D14/I14,0)</f>
        <v>1.18342453260374</v>
      </c>
      <c r="K14" s="34" t="n">
        <v>0.076924072684729</v>
      </c>
      <c r="L14" s="29" t="n">
        <f aca="false">IF(AND(B14&gt;=100,B13&gt;=100,H14="yes",H13="yes"),(D14-D13)/SQRT(((C14+C13)/(B14+B13))*(1-(C14+C13)/(B14+B13))*(1/B14+1/B13)),0)</f>
        <v>1.70265080560985</v>
      </c>
    </row>
    <row r="17" customFormat="false" ht="21.75" hidden="false" customHeight="true" outlineLevel="0" collapsed="false">
      <c r="A17" s="17" t="s">
        <v>127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.5" hidden="false" customHeight="true" outlineLevel="0" collapsed="false">
      <c r="A18" s="18" t="s">
        <v>87</v>
      </c>
      <c r="B18" s="18" t="s">
        <v>117</v>
      </c>
      <c r="C18" s="18" t="s">
        <v>118</v>
      </c>
      <c r="D18" s="18" t="s">
        <v>119</v>
      </c>
      <c r="E18" s="18" t="s">
        <v>120</v>
      </c>
      <c r="F18" s="18" t="s">
        <v>121</v>
      </c>
      <c r="G18" s="18" t="s">
        <v>122</v>
      </c>
      <c r="H18" s="18" t="s">
        <v>123</v>
      </c>
      <c r="I18" s="18" t="s">
        <v>124</v>
      </c>
      <c r="J18" s="18" t="s">
        <v>125</v>
      </c>
      <c r="K18" s="18" t="s">
        <v>126</v>
      </c>
    </row>
    <row r="19" customFormat="false" ht="15" hidden="false" customHeight="false" outlineLevel="0" collapsed="false">
      <c r="A19" s="19" t="s">
        <v>89</v>
      </c>
      <c r="B19" s="35" t="n">
        <f aca="false">IF(SUMIFS(Detail!$O$2:$O$703,Detail!$A$2:$A$703,$A19,Detail!$B$2:$B$703,B$18)&lt;100,"n/a",SUMIFS(Detail!$P$2:$P$703,Detail!$A$2:$A$703,$A19,Detail!$B$2:$B$703,B$18)/SUMIFS(Detail!$O$2:$O$703,Detail!$A$2:$A$703,$A19,Detail!$B$2:$B$703,B$18))</f>
        <v>0</v>
      </c>
      <c r="C19" s="35" t="n">
        <f aca="false">IF(SUMIFS(Detail!$O$2:$O$703,Detail!$A$2:$A$703,$A19,Detail!$B$2:$B$703,C$18)&lt;100,"n/a",SUMIFS(Detail!$P$2:$P$703,Detail!$A$2:$A$703,$A19,Detail!$B$2:$B$703,C$18)/SUMIFS(Detail!$O$2:$O$703,Detail!$A$2:$A$703,$A19,Detail!$B$2:$B$703,C$18))</f>
        <v>0</v>
      </c>
      <c r="D19" s="35" t="n">
        <f aca="false">IF(SUMIFS(Detail!$O$2:$O$703,Detail!$A$2:$A$703,$A19,Detail!$B$2:$B$703,D$18)&lt;100,"n/a",SUMIFS(Detail!$P$2:$P$703,Detail!$A$2:$A$703,$A19,Detail!$B$2:$B$703,D$18)/SUMIFS(Detail!$O$2:$O$703,Detail!$A$2:$A$703,$A19,Detail!$B$2:$B$703,D$18))</f>
        <v>0</v>
      </c>
      <c r="E19" s="35" t="n">
        <f aca="false">IF(SUMIFS(Detail!$O$2:$O$703,Detail!$A$2:$A$703,$A19,Detail!$B$2:$B$703,E$18)&lt;100,"n/a",SUMIFS(Detail!$P$2:$P$703,Detail!$A$2:$A$703,$A19,Detail!$B$2:$B$703,E$18)/SUMIFS(Detail!$O$2:$O$703,Detail!$A$2:$A$703,$A19,Detail!$B$2:$B$703,E$18))</f>
        <v>0</v>
      </c>
      <c r="F19" s="35" t="n">
        <f aca="false">IF(SUMIFS(Detail!$O$2:$O$703,Detail!$A$2:$A$703,$A19,Detail!$B$2:$B$703,F$18)&lt;100,"n/a",SUMIFS(Detail!$P$2:$P$703,Detail!$A$2:$A$703,$A19,Detail!$B$2:$B$703,F$18)/SUMIFS(Detail!$O$2:$O$703,Detail!$A$2:$A$703,$A19,Detail!$B$2:$B$703,F$18))</f>
        <v>0</v>
      </c>
      <c r="G19" s="35" t="n">
        <f aca="false">IF(SUMIFS(Detail!$O$2:$O$703,Detail!$A$2:$A$703,$A19,Detail!$B$2:$B$703,G$18)&lt;100,"n/a",SUMIFS(Detail!$P$2:$P$703,Detail!$A$2:$A$703,$A19,Detail!$B$2:$B$703,G$18)/SUMIFS(Detail!$O$2:$O$703,Detail!$A$2:$A$703,$A19,Detail!$B$2:$B$703,G$18))</f>
        <v>0.00393700787401575</v>
      </c>
      <c r="H19" s="35" t="n">
        <f aca="false">IF(SUMIFS(Detail!$O$2:$O$703,Detail!$A$2:$A$703,$A19,Detail!$B$2:$B$703,H$18)&lt;100,"n/a",SUMIFS(Detail!$P$2:$P$703,Detail!$A$2:$A$703,$A19,Detail!$B$2:$B$703,H$18)/SUMIFS(Detail!$O$2:$O$703,Detail!$A$2:$A$703,$A19,Detail!$B$2:$B$703,H$18))</f>
        <v>0.0198209718670077</v>
      </c>
      <c r="I19" s="35" t="n">
        <f aca="false">IF(SUMIFS(Detail!$O$2:$O$703,Detail!$A$2:$A$703,$A19,Detail!$B$2:$B$703,I$18)&lt;100,"n/a",SUMIFS(Detail!$P$2:$P$703,Detail!$A$2:$A$703,$A19,Detail!$B$2:$B$703,I$18)/SUMIFS(Detail!$O$2:$O$703,Detail!$A$2:$A$703,$A19,Detail!$B$2:$B$703,I$18))</f>
        <v>0.054619936276741</v>
      </c>
      <c r="J19" s="35" t="n">
        <f aca="false">IF(SUMIFS(Detail!$O$2:$O$703,Detail!$A$2:$A$703,$A19,Detail!$B$2:$B$703,J$18)&lt;100,"n/a",SUMIFS(Detail!$P$2:$P$703,Detail!$A$2:$A$703,$A19,Detail!$B$2:$B$703,J$18)/SUMIFS(Detail!$O$2:$O$703,Detail!$A$2:$A$703,$A19,Detail!$B$2:$B$703,J$18))</f>
        <v>0.0713489409141583</v>
      </c>
      <c r="K19" s="35" t="n">
        <f aca="false">IF(SUMIFS(Detail!$O$2:$O$703,Detail!$A$2:$A$703,$A19,Detail!$B$2:$B$703,K$18)&lt;100,"n/a",SUMIFS(Detail!$P$2:$P$703,Detail!$A$2:$A$703,$A19,Detail!$B$2:$B$703,K$18)/SUMIFS(Detail!$O$2:$O$703,Detail!$A$2:$A$703,$A19,Detail!$B$2:$B$703,K$18))</f>
        <v>0.118126272912424</v>
      </c>
    </row>
    <row r="20" customFormat="false" ht="15" hidden="false" customHeight="false" outlineLevel="0" collapsed="false">
      <c r="A20" s="19" t="s">
        <v>93</v>
      </c>
      <c r="B20" s="35" t="n">
        <f aca="false">IF(SUMIFS(Detail!$O$2:$O$703,Detail!$A$2:$A$703,$A20,Detail!$B$2:$B$703,B$18)&lt;100,"n/a",SUMIFS(Detail!$P$2:$P$703,Detail!$A$2:$A$703,$A20,Detail!$B$2:$B$703,B$18)/SUMIFS(Detail!$O$2:$O$703,Detail!$A$2:$A$703,$A20,Detail!$B$2:$B$703,B$18))</f>
        <v>0.0204081632653061</v>
      </c>
      <c r="C20" s="35" t="n">
        <f aca="false">IF(SUMIFS(Detail!$O$2:$O$703,Detail!$A$2:$A$703,$A20,Detail!$B$2:$B$703,C$18)&lt;100,"n/a",SUMIFS(Detail!$P$2:$P$703,Detail!$A$2:$A$703,$A20,Detail!$B$2:$B$703,C$18)/SUMIFS(Detail!$O$2:$O$703,Detail!$A$2:$A$703,$A20,Detail!$B$2:$B$703,C$18))</f>
        <v>0.0177935943060498</v>
      </c>
      <c r="D20" s="35" t="n">
        <f aca="false">IF(SUMIFS(Detail!$O$2:$O$703,Detail!$A$2:$A$703,$A20,Detail!$B$2:$B$703,D$18)&lt;100,"n/a",SUMIFS(Detail!$P$2:$P$703,Detail!$A$2:$A$703,$A20,Detail!$B$2:$B$703,D$18)/SUMIFS(Detail!$O$2:$O$703,Detail!$A$2:$A$703,$A20,Detail!$B$2:$B$703,D$18))</f>
        <v>0.05</v>
      </c>
      <c r="E20" s="35" t="n">
        <f aca="false">IF(SUMIFS(Detail!$O$2:$O$703,Detail!$A$2:$A$703,$A20,Detail!$B$2:$B$703,E$18)&lt;100,"n/a",SUMIFS(Detail!$P$2:$P$703,Detail!$A$2:$A$703,$A20,Detail!$B$2:$B$703,E$18)/SUMIFS(Detail!$O$2:$O$703,Detail!$A$2:$A$703,$A20,Detail!$B$2:$B$703,E$18))</f>
        <v>0.0542635658914729</v>
      </c>
      <c r="F20" s="35" t="n">
        <f aca="false">IF(SUMIFS(Detail!$O$2:$O$703,Detail!$A$2:$A$703,$A20,Detail!$B$2:$B$703,F$18)&lt;100,"n/a",SUMIFS(Detail!$P$2:$P$703,Detail!$A$2:$A$703,$A20,Detail!$B$2:$B$703,F$18)/SUMIFS(Detail!$O$2:$O$703,Detail!$A$2:$A$703,$A20,Detail!$B$2:$B$703,F$18))</f>
        <v>0.0137614678899083</v>
      </c>
      <c r="G20" s="35" t="n">
        <f aca="false">IF(SUMIFS(Detail!$O$2:$O$703,Detail!$A$2:$A$703,$A20,Detail!$B$2:$B$703,G$18)&lt;100,"n/a",SUMIFS(Detail!$P$2:$P$703,Detail!$A$2:$A$703,$A20,Detail!$B$2:$B$703,G$18)/SUMIFS(Detail!$O$2:$O$703,Detail!$A$2:$A$703,$A20,Detail!$B$2:$B$703,G$18))</f>
        <v>0.0144927536231884</v>
      </c>
      <c r="H20" s="35" t="n">
        <f aca="false">IF(SUMIFS(Detail!$O$2:$O$703,Detail!$A$2:$A$703,$A20,Detail!$B$2:$B$703,H$18)&lt;100,"n/a",SUMIFS(Detail!$P$2:$P$703,Detail!$A$2:$A$703,$A20,Detail!$B$2:$B$703,H$18)/SUMIFS(Detail!$O$2:$O$703,Detail!$A$2:$A$703,$A20,Detail!$B$2:$B$703,H$18))</f>
        <v>0.0157894736842105</v>
      </c>
      <c r="I20" s="35" t="n">
        <f aca="false">IF(SUMIFS(Detail!$O$2:$O$703,Detail!$A$2:$A$703,$A20,Detail!$B$2:$B$703,I$18)&lt;100,"n/a",SUMIFS(Detail!$P$2:$P$703,Detail!$A$2:$A$703,$A20,Detail!$B$2:$B$703,I$18)/SUMIFS(Detail!$O$2:$O$703,Detail!$A$2:$A$703,$A20,Detail!$B$2:$B$703,I$18))</f>
        <v>0.0230414746543779</v>
      </c>
      <c r="J20" s="35" t="n">
        <f aca="false">IF(SUMIFS(Detail!$O$2:$O$703,Detail!$A$2:$A$703,$A20,Detail!$B$2:$B$703,J$18)&lt;100,"n/a",SUMIFS(Detail!$P$2:$P$703,Detail!$A$2:$A$703,$A20,Detail!$B$2:$B$703,J$18)/SUMIFS(Detail!$O$2:$O$703,Detail!$A$2:$A$703,$A20,Detail!$B$2:$B$703,J$18))</f>
        <v>0.0558069381598793</v>
      </c>
      <c r="K20" s="35" t="n">
        <f aca="false">IF(SUMIFS(Detail!$O$2:$O$703,Detail!$A$2:$A$703,$A20,Detail!$B$2:$B$703,K$18)&lt;100,"n/a",SUMIFS(Detail!$P$2:$P$703,Detail!$A$2:$A$703,$A20,Detail!$B$2:$B$703,K$18)/SUMIFS(Detail!$O$2:$O$703,Detail!$A$2:$A$703,$A20,Detail!$B$2:$B$703,K$18))</f>
        <v>0.0462962962962963</v>
      </c>
    </row>
    <row r="21" customFormat="false" ht="15" hidden="false" customHeight="false" outlineLevel="0" collapsed="false">
      <c r="A21" s="19" t="s">
        <v>97</v>
      </c>
      <c r="B21" s="35" t="str">
        <f aca="false">IF(SUMIFS(Detail!$O$2:$O$703,Detail!$A$2:$A$703,$A21,Detail!$B$2:$B$703,B$18)&lt;100,"n/a",SUMIFS(Detail!$P$2:$P$703,Detail!$A$2:$A$703,$A21,Detail!$B$2:$B$703,B$18)/SUMIFS(Detail!$O$2:$O$703,Detail!$A$2:$A$703,$A21,Detail!$B$2:$B$703,B$18))</f>
        <v>n/a</v>
      </c>
      <c r="C21" s="35" t="str">
        <f aca="false">IF(SUMIFS(Detail!$O$2:$O$703,Detail!$A$2:$A$703,$A21,Detail!$B$2:$B$703,C$18)&lt;100,"n/a",SUMIFS(Detail!$P$2:$P$703,Detail!$A$2:$A$703,$A21,Detail!$B$2:$B$703,C$18)/SUMIFS(Detail!$O$2:$O$703,Detail!$A$2:$A$703,$A21,Detail!$B$2:$B$703,C$18))</f>
        <v>n/a</v>
      </c>
      <c r="D21" s="35" t="str">
        <f aca="false">IF(SUMIFS(Detail!$O$2:$O$703,Detail!$A$2:$A$703,$A21,Detail!$B$2:$B$703,D$18)&lt;100,"n/a",SUMIFS(Detail!$P$2:$P$703,Detail!$A$2:$A$703,$A21,Detail!$B$2:$B$703,D$18)/SUMIFS(Detail!$O$2:$O$703,Detail!$A$2:$A$703,$A21,Detail!$B$2:$B$703,D$18))</f>
        <v>n/a</v>
      </c>
      <c r="E21" s="35" t="str">
        <f aca="false">IF(SUMIFS(Detail!$O$2:$O$703,Detail!$A$2:$A$703,$A21,Detail!$B$2:$B$703,E$18)&lt;100,"n/a",SUMIFS(Detail!$P$2:$P$703,Detail!$A$2:$A$703,$A21,Detail!$B$2:$B$703,E$18)/SUMIFS(Detail!$O$2:$O$703,Detail!$A$2:$A$703,$A21,Detail!$B$2:$B$703,E$18))</f>
        <v>n/a</v>
      </c>
      <c r="F21" s="35" t="n">
        <f aca="false">IF(SUMIFS(Detail!$O$2:$O$703,Detail!$A$2:$A$703,$A21,Detail!$B$2:$B$703,F$18)&lt;100,"n/a",SUMIFS(Detail!$P$2:$P$703,Detail!$A$2:$A$703,$A21,Detail!$B$2:$B$703,F$18)/SUMIFS(Detail!$O$2:$O$703,Detail!$A$2:$A$703,$A21,Detail!$B$2:$B$703,F$18))</f>
        <v>0.0633802816901408</v>
      </c>
      <c r="G21" s="35" t="n">
        <f aca="false">IF(SUMIFS(Detail!$O$2:$O$703,Detail!$A$2:$A$703,$A21,Detail!$B$2:$B$703,G$18)&lt;100,"n/a",SUMIFS(Detail!$P$2:$P$703,Detail!$A$2:$A$703,$A21,Detail!$B$2:$B$703,G$18)/SUMIFS(Detail!$O$2:$O$703,Detail!$A$2:$A$703,$A21,Detail!$B$2:$B$703,G$18))</f>
        <v>0.0583941605839416</v>
      </c>
      <c r="H21" s="35" t="n">
        <f aca="false">IF(SUMIFS(Detail!$O$2:$O$703,Detail!$A$2:$A$703,$A21,Detail!$B$2:$B$703,H$18)&lt;100,"n/a",SUMIFS(Detail!$P$2:$P$703,Detail!$A$2:$A$703,$A21,Detail!$B$2:$B$703,H$18)/SUMIFS(Detail!$O$2:$O$703,Detail!$A$2:$A$703,$A21,Detail!$B$2:$B$703,H$18))</f>
        <v>0.0235294117647059</v>
      </c>
      <c r="I21" s="35" t="n">
        <f aca="false">IF(SUMIFS(Detail!$O$2:$O$703,Detail!$A$2:$A$703,$A21,Detail!$B$2:$B$703,I$18)&lt;100,"n/a",SUMIFS(Detail!$P$2:$P$703,Detail!$A$2:$A$703,$A21,Detail!$B$2:$B$703,I$18)/SUMIFS(Detail!$O$2:$O$703,Detail!$A$2:$A$703,$A21,Detail!$B$2:$B$703,I$18))</f>
        <v>0.0566037735849057</v>
      </c>
      <c r="J21" s="35" t="n">
        <f aca="false">IF(SUMIFS(Detail!$O$2:$O$703,Detail!$A$2:$A$703,$A21,Detail!$B$2:$B$703,J$18)&lt;100,"n/a",SUMIFS(Detail!$P$2:$P$703,Detail!$A$2:$A$703,$A21,Detail!$B$2:$B$703,J$18)/SUMIFS(Detail!$O$2:$O$703,Detail!$A$2:$A$703,$A21,Detail!$B$2:$B$703,J$18))</f>
        <v>0.0945330296127563</v>
      </c>
      <c r="K21" s="35" t="n">
        <f aca="false">IF(SUMIFS(Detail!$O$2:$O$703,Detail!$A$2:$A$703,$A21,Detail!$B$2:$B$703,K$18)&lt;100,"n/a",SUMIFS(Detail!$P$2:$P$703,Detail!$A$2:$A$703,$A21,Detail!$B$2:$B$703,K$18)/SUMIFS(Detail!$O$2:$O$703,Detail!$A$2:$A$703,$A21,Detail!$B$2:$B$703,K$18))</f>
        <v>0.0876132930513595</v>
      </c>
    </row>
    <row r="22" customFormat="false" ht="15" hidden="false" customHeight="false" outlineLevel="0" collapsed="false">
      <c r="A22" s="19" t="s">
        <v>100</v>
      </c>
      <c r="B22" s="35" t="str">
        <f aca="false">IF(SUMIFS(Detail!$O$2:$O$703,Detail!$A$2:$A$703,$A22,Detail!$B$2:$B$703,B$18)&lt;100,"n/a",SUMIFS(Detail!$P$2:$P$703,Detail!$A$2:$A$703,$A22,Detail!$B$2:$B$703,B$18)/SUMIFS(Detail!$O$2:$O$703,Detail!$A$2:$A$703,$A22,Detail!$B$2:$B$703,B$18))</f>
        <v>n/a</v>
      </c>
      <c r="C22" s="35" t="str">
        <f aca="false">IF(SUMIFS(Detail!$O$2:$O$703,Detail!$A$2:$A$703,$A22,Detail!$B$2:$B$703,C$18)&lt;100,"n/a",SUMIFS(Detail!$P$2:$P$703,Detail!$A$2:$A$703,$A22,Detail!$B$2:$B$703,C$18)/SUMIFS(Detail!$O$2:$O$703,Detail!$A$2:$A$703,$A22,Detail!$B$2:$B$703,C$18))</f>
        <v>n/a</v>
      </c>
      <c r="D22" s="35" t="str">
        <f aca="false">IF(SUMIFS(Detail!$O$2:$O$703,Detail!$A$2:$A$703,$A22,Detail!$B$2:$B$703,D$18)&lt;100,"n/a",SUMIFS(Detail!$P$2:$P$703,Detail!$A$2:$A$703,$A22,Detail!$B$2:$B$703,D$18)/SUMIFS(Detail!$O$2:$O$703,Detail!$A$2:$A$703,$A22,Detail!$B$2:$B$703,D$18))</f>
        <v>n/a</v>
      </c>
      <c r="E22" s="35" t="str">
        <f aca="false">IF(SUMIFS(Detail!$O$2:$O$703,Detail!$A$2:$A$703,$A22,Detail!$B$2:$B$703,E$18)&lt;100,"n/a",SUMIFS(Detail!$P$2:$P$703,Detail!$A$2:$A$703,$A22,Detail!$B$2:$B$703,E$18)/SUMIFS(Detail!$O$2:$O$703,Detail!$A$2:$A$703,$A22,Detail!$B$2:$B$703,E$18))</f>
        <v>n/a</v>
      </c>
      <c r="F22" s="35" t="str">
        <f aca="false">IF(SUMIFS(Detail!$O$2:$O$703,Detail!$A$2:$A$703,$A22,Detail!$B$2:$B$703,F$18)&lt;100,"n/a",SUMIFS(Detail!$P$2:$P$703,Detail!$A$2:$A$703,$A22,Detail!$B$2:$B$703,F$18)/SUMIFS(Detail!$O$2:$O$703,Detail!$A$2:$A$703,$A22,Detail!$B$2:$B$703,F$18))</f>
        <v>n/a</v>
      </c>
      <c r="G22" s="35" t="str">
        <f aca="false">IF(SUMIFS(Detail!$O$2:$O$703,Detail!$A$2:$A$703,$A22,Detail!$B$2:$B$703,G$18)&lt;100,"n/a",SUMIFS(Detail!$P$2:$P$703,Detail!$A$2:$A$703,$A22,Detail!$B$2:$B$703,G$18)/SUMIFS(Detail!$O$2:$O$703,Detail!$A$2:$A$703,$A22,Detail!$B$2:$B$703,G$18))</f>
        <v>n/a</v>
      </c>
      <c r="H22" s="35" t="str">
        <f aca="false">IF(SUMIFS(Detail!$O$2:$O$703,Detail!$A$2:$A$703,$A22,Detail!$B$2:$B$703,H$18)&lt;100,"n/a",SUMIFS(Detail!$P$2:$P$703,Detail!$A$2:$A$703,$A22,Detail!$B$2:$B$703,H$18)/SUMIFS(Detail!$O$2:$O$703,Detail!$A$2:$A$703,$A22,Detail!$B$2:$B$703,H$18))</f>
        <v>n/a</v>
      </c>
      <c r="I22" s="35" t="str">
        <f aca="false">IF(SUMIFS(Detail!$O$2:$O$703,Detail!$A$2:$A$703,$A22,Detail!$B$2:$B$703,I$18)&lt;100,"n/a",SUMIFS(Detail!$P$2:$P$703,Detail!$A$2:$A$703,$A22,Detail!$B$2:$B$703,I$18)/SUMIFS(Detail!$O$2:$O$703,Detail!$A$2:$A$703,$A22,Detail!$B$2:$B$703,I$18))</f>
        <v>n/a</v>
      </c>
      <c r="J22" s="35" t="str">
        <f aca="false">IF(SUMIFS(Detail!$O$2:$O$703,Detail!$A$2:$A$703,$A22,Detail!$B$2:$B$703,J$18)&lt;100,"n/a",SUMIFS(Detail!$P$2:$P$703,Detail!$A$2:$A$703,$A22,Detail!$B$2:$B$703,J$18)/SUMIFS(Detail!$O$2:$O$703,Detail!$A$2:$A$703,$A22,Detail!$B$2:$B$703,J$18))</f>
        <v>n/a</v>
      </c>
      <c r="K22" s="35" t="str">
        <f aca="false">IF(SUMIFS(Detail!$O$2:$O$703,Detail!$A$2:$A$703,$A22,Detail!$B$2:$B$703,K$18)&lt;100,"n/a",SUMIFS(Detail!$P$2:$P$703,Detail!$A$2:$A$703,$A22,Detail!$B$2:$B$703,K$18)/SUMIFS(Detail!$O$2:$O$703,Detail!$A$2:$A$703,$A22,Detail!$B$2:$B$703,K$18))</f>
        <v>n/a</v>
      </c>
    </row>
    <row r="24" customFormat="false" ht="21.75" hidden="false" customHeight="true" outlineLevel="0" collapsed="false">
      <c r="A24" s="17" t="s">
        <v>128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25.5" hidden="false" customHeight="true" outlineLevel="0" collapsed="false">
      <c r="A25" s="18" t="s">
        <v>18</v>
      </c>
      <c r="B25" s="18" t="s">
        <v>117</v>
      </c>
      <c r="C25" s="18" t="s">
        <v>118</v>
      </c>
      <c r="D25" s="18" t="s">
        <v>119</v>
      </c>
      <c r="E25" s="18" t="s">
        <v>120</v>
      </c>
      <c r="F25" s="18" t="s">
        <v>121</v>
      </c>
      <c r="G25" s="18" t="s">
        <v>122</v>
      </c>
      <c r="H25" s="18" t="s">
        <v>123</v>
      </c>
      <c r="I25" s="18" t="s">
        <v>124</v>
      </c>
      <c r="J25" s="18" t="s">
        <v>125</v>
      </c>
      <c r="K25" s="18" t="s">
        <v>126</v>
      </c>
    </row>
    <row r="26" customFormat="false" ht="15" hidden="false" customHeight="false" outlineLevel="0" collapsed="false">
      <c r="A26" s="19" t="s">
        <v>42</v>
      </c>
      <c r="B26" s="35" t="n">
        <f aca="false">IF(SUMIFS(Detail!$O$2:$O$703,Detail!$D$2:$D$703,$A26,Detail!$B$2:$B$703,B$25)&lt;50,"n/a",SUMIFS(Detail!$P$2:$P$703,Detail!$D$2:$D$703,$A26,Detail!$B$2:$B$703,B$25)/SUMIFS(Detail!$O$2:$O$703,Detail!$D$2:$D$703,$A26,Detail!$B$2:$B$703,B$25))</f>
        <v>0.0122549019607843</v>
      </c>
      <c r="C26" s="35" t="n">
        <f aca="false">IF(SUMIFS(Detail!$O$2:$O$703,Detail!$D$2:$D$703,$A26,Detail!$B$2:$B$703,C$25)&lt;50,"n/a",SUMIFS(Detail!$P$2:$P$703,Detail!$D$2:$D$703,$A26,Detail!$B$2:$B$703,C$25)/SUMIFS(Detail!$O$2:$O$703,Detail!$D$2:$D$703,$A26,Detail!$B$2:$B$703,C$25))</f>
        <v>0.00829875518672199</v>
      </c>
      <c r="D26" s="35" t="n">
        <f aca="false">IF(SUMIFS(Detail!$O$2:$O$703,Detail!$D$2:$D$703,$A26,Detail!$B$2:$B$703,D$25)&lt;50,"n/a",SUMIFS(Detail!$P$2:$P$703,Detail!$D$2:$D$703,$A26,Detail!$B$2:$B$703,D$25)/SUMIFS(Detail!$O$2:$O$703,Detail!$D$2:$D$703,$A26,Detail!$B$2:$B$703,D$25))</f>
        <v>0.00833333333333333</v>
      </c>
      <c r="E26" s="35" t="n">
        <f aca="false">IF(SUMIFS(Detail!$O$2:$O$703,Detail!$D$2:$D$703,$A26,Detail!$B$2:$B$703,E$25)&lt;50,"n/a",SUMIFS(Detail!$P$2:$P$703,Detail!$D$2:$D$703,$A26,Detail!$B$2:$B$703,E$25)/SUMIFS(Detail!$O$2:$O$703,Detail!$D$2:$D$703,$A26,Detail!$B$2:$B$703,E$25))</f>
        <v>0.0176991150442478</v>
      </c>
      <c r="F26" s="35" t="n">
        <f aca="false">IF(SUMIFS(Detail!$O$2:$O$703,Detail!$D$2:$D$703,$A26,Detail!$B$2:$B$703,F$25)&lt;50,"n/a",SUMIFS(Detail!$P$2:$P$703,Detail!$D$2:$D$703,$A26,Detail!$B$2:$B$703,F$25)/SUMIFS(Detail!$O$2:$O$703,Detail!$D$2:$D$703,$A26,Detail!$B$2:$B$703,F$25))</f>
        <v>0.018018018018018</v>
      </c>
      <c r="G26" s="35" t="n">
        <f aca="false">IF(SUMIFS(Detail!$O$2:$O$703,Detail!$D$2:$D$703,$A26,Detail!$B$2:$B$703,G$25)&lt;50,"n/a",SUMIFS(Detail!$P$2:$P$703,Detail!$D$2:$D$703,$A26,Detail!$B$2:$B$703,G$25)/SUMIFS(Detail!$O$2:$O$703,Detail!$D$2:$D$703,$A26,Detail!$B$2:$B$703,G$25))</f>
        <v>0.00955414012738854</v>
      </c>
      <c r="H26" s="35" t="n">
        <f aca="false">IF(SUMIFS(Detail!$O$2:$O$703,Detail!$D$2:$D$703,$A26,Detail!$B$2:$B$703,H$25)&lt;50,"n/a",SUMIFS(Detail!$P$2:$P$703,Detail!$D$2:$D$703,$A26,Detail!$B$2:$B$703,H$25)/SUMIFS(Detail!$O$2:$O$703,Detail!$D$2:$D$703,$A26,Detail!$B$2:$B$703,H$25))</f>
        <v>0.0173992673992674</v>
      </c>
      <c r="I26" s="35" t="n">
        <f aca="false">IF(SUMIFS(Detail!$O$2:$O$703,Detail!$D$2:$D$703,$A26,Detail!$B$2:$B$703,I$25)&lt;50,"n/a",SUMIFS(Detail!$P$2:$P$703,Detail!$D$2:$D$703,$A26,Detail!$B$2:$B$703,I$25)/SUMIFS(Detail!$O$2:$O$703,Detail!$D$2:$D$703,$A26,Detail!$B$2:$B$703,I$25))</f>
        <v>0.0458204334365325</v>
      </c>
      <c r="J26" s="35" t="n">
        <f aca="false">IF(SUMIFS(Detail!$O$2:$O$703,Detail!$D$2:$D$703,$A26,Detail!$B$2:$B$703,J$25)&lt;50,"n/a",SUMIFS(Detail!$P$2:$P$703,Detail!$D$2:$D$703,$A26,Detail!$B$2:$B$703,J$25)/SUMIFS(Detail!$O$2:$O$703,Detail!$D$2:$D$703,$A26,Detail!$B$2:$B$703,J$25))</f>
        <v>0.0633934120571784</v>
      </c>
      <c r="K26" s="35" t="n">
        <f aca="false">IF(SUMIFS(Detail!$O$2:$O$703,Detail!$D$2:$D$703,$A26,Detail!$B$2:$B$703,K$25)&lt;50,"n/a",SUMIFS(Detail!$P$2:$P$703,Detail!$D$2:$D$703,$A26,Detail!$B$2:$B$703,K$25)/SUMIFS(Detail!$O$2:$O$703,Detail!$D$2:$D$703,$A26,Detail!$B$2:$B$703,K$25))</f>
        <v>0.0830188679245283</v>
      </c>
    </row>
    <row r="27" customFormat="false" ht="15" hidden="false" customHeight="false" outlineLevel="0" collapsed="false">
      <c r="A27" s="19" t="s">
        <v>46</v>
      </c>
      <c r="B27" s="35" t="n">
        <f aca="false">IF(SUMIFS(Detail!$O$2:$O$703,Detail!$D$2:$D$703,$A27,Detail!$B$2:$B$703,B$25)&lt;50,"n/a",SUMIFS(Detail!$P$2:$P$703,Detail!$D$2:$D$703,$A27,Detail!$B$2:$B$703,B$25)/SUMIFS(Detail!$O$2:$O$703,Detail!$D$2:$D$703,$A27,Detail!$B$2:$B$703,B$25))</f>
        <v>0.0213523131672598</v>
      </c>
      <c r="C27" s="35" t="n">
        <f aca="false">IF(SUMIFS(Detail!$O$2:$O$703,Detail!$D$2:$D$703,$A27,Detail!$B$2:$B$703,C$25)&lt;50,"n/a",SUMIFS(Detail!$P$2:$P$703,Detail!$D$2:$D$703,$A27,Detail!$B$2:$B$703,C$25)/SUMIFS(Detail!$O$2:$O$703,Detail!$D$2:$D$703,$A27,Detail!$B$2:$B$703,C$25))</f>
        <v>0.00947867298578199</v>
      </c>
      <c r="D27" s="35" t="n">
        <f aca="false">IF(SUMIFS(Detail!$O$2:$O$703,Detail!$D$2:$D$703,$A27,Detail!$B$2:$B$703,D$25)&lt;50,"n/a",SUMIFS(Detail!$P$2:$P$703,Detail!$D$2:$D$703,$A27,Detail!$B$2:$B$703,D$25)/SUMIFS(Detail!$O$2:$O$703,Detail!$D$2:$D$703,$A27,Detail!$B$2:$B$703,D$25))</f>
        <v>0.00735294117647059</v>
      </c>
      <c r="E27" s="35" t="n">
        <f aca="false">IF(SUMIFS(Detail!$O$2:$O$703,Detail!$D$2:$D$703,$A27,Detail!$B$2:$B$703,E$25)&lt;50,"n/a",SUMIFS(Detail!$P$2:$P$703,Detail!$D$2:$D$703,$A27,Detail!$B$2:$B$703,E$25)/SUMIFS(Detail!$O$2:$O$703,Detail!$D$2:$D$703,$A27,Detail!$B$2:$B$703,E$25))</f>
        <v>0.0272727272727273</v>
      </c>
      <c r="F27" s="35" t="n">
        <f aca="false">IF(SUMIFS(Detail!$O$2:$O$703,Detail!$D$2:$D$703,$A27,Detail!$B$2:$B$703,F$25)&lt;50,"n/a",SUMIFS(Detail!$P$2:$P$703,Detail!$D$2:$D$703,$A27,Detail!$B$2:$B$703,F$25)/SUMIFS(Detail!$O$2:$O$703,Detail!$D$2:$D$703,$A27,Detail!$B$2:$B$703,F$25))</f>
        <v>0</v>
      </c>
      <c r="G27" s="35" t="n">
        <f aca="false">IF(SUMIFS(Detail!$O$2:$O$703,Detail!$D$2:$D$703,$A27,Detail!$B$2:$B$703,G$25)&lt;50,"n/a",SUMIFS(Detail!$P$2:$P$703,Detail!$D$2:$D$703,$A27,Detail!$B$2:$B$703,G$25)/SUMIFS(Detail!$O$2:$O$703,Detail!$D$2:$D$703,$A27,Detail!$B$2:$B$703,G$25))</f>
        <v>0.016260162601626</v>
      </c>
      <c r="H27" s="35" t="n">
        <f aca="false">IF(SUMIFS(Detail!$O$2:$O$703,Detail!$D$2:$D$703,$A27,Detail!$B$2:$B$703,H$25)&lt;50,"n/a",SUMIFS(Detail!$P$2:$P$703,Detail!$D$2:$D$703,$A27,Detail!$B$2:$B$703,H$25)/SUMIFS(Detail!$O$2:$O$703,Detail!$D$2:$D$703,$A27,Detail!$B$2:$B$703,H$25))</f>
        <v>0.0264423076923077</v>
      </c>
      <c r="I27" s="35" t="n">
        <f aca="false">IF(SUMIFS(Detail!$O$2:$O$703,Detail!$D$2:$D$703,$A27,Detail!$B$2:$B$703,I$25)&lt;50,"n/a",SUMIFS(Detail!$P$2:$P$703,Detail!$D$2:$D$703,$A27,Detail!$B$2:$B$703,I$25)/SUMIFS(Detail!$O$2:$O$703,Detail!$D$2:$D$703,$A27,Detail!$B$2:$B$703,I$25))</f>
        <v>0.0507936507936508</v>
      </c>
      <c r="J27" s="35" t="n">
        <f aca="false">IF(SUMIFS(Detail!$O$2:$O$703,Detail!$D$2:$D$703,$A27,Detail!$B$2:$B$703,J$25)&lt;50,"n/a",SUMIFS(Detail!$P$2:$P$703,Detail!$D$2:$D$703,$A27,Detail!$B$2:$B$703,J$25)/SUMIFS(Detail!$O$2:$O$703,Detail!$D$2:$D$703,$A27,Detail!$B$2:$B$703,J$25))</f>
        <v>0.075036075036075</v>
      </c>
      <c r="K27" s="35" t="n">
        <f aca="false">IF(SUMIFS(Detail!$O$2:$O$703,Detail!$D$2:$D$703,$A27,Detail!$B$2:$B$703,K$25)&lt;50,"n/a",SUMIFS(Detail!$P$2:$P$703,Detail!$D$2:$D$703,$A27,Detail!$B$2:$B$703,K$25)/SUMIFS(Detail!$O$2:$O$703,Detail!$D$2:$D$703,$A27,Detail!$B$2:$B$703,K$25))</f>
        <v>0.106796116504854</v>
      </c>
    </row>
    <row r="28" customFormat="false" ht="15" hidden="false" customHeight="false" outlineLevel="0" collapsed="false">
      <c r="A28" s="19" t="s">
        <v>50</v>
      </c>
      <c r="B28" s="35" t="n">
        <f aca="false">IF(SUMIFS(Detail!$O$2:$O$703,Detail!$D$2:$D$703,$A28,Detail!$B$2:$B$703,B$25)&lt;50,"n/a",SUMIFS(Detail!$P$2:$P$703,Detail!$D$2:$D$703,$A28,Detail!$B$2:$B$703,B$25)/SUMIFS(Detail!$O$2:$O$703,Detail!$D$2:$D$703,$A28,Detail!$B$2:$B$703,B$25))</f>
        <v>0</v>
      </c>
      <c r="C28" s="35" t="n">
        <f aca="false">IF(SUMIFS(Detail!$O$2:$O$703,Detail!$D$2:$D$703,$A28,Detail!$B$2:$B$703,C$25)&lt;50,"n/a",SUMIFS(Detail!$P$2:$P$703,Detail!$D$2:$D$703,$A28,Detail!$B$2:$B$703,C$25)/SUMIFS(Detail!$O$2:$O$703,Detail!$D$2:$D$703,$A28,Detail!$B$2:$B$703,C$25))</f>
        <v>0</v>
      </c>
      <c r="D28" s="35" t="n">
        <f aca="false">IF(SUMIFS(Detail!$O$2:$O$703,Detail!$D$2:$D$703,$A28,Detail!$B$2:$B$703,D$25)&lt;50,"n/a",SUMIFS(Detail!$P$2:$P$703,Detail!$D$2:$D$703,$A28,Detail!$B$2:$B$703,D$25)/SUMIFS(Detail!$O$2:$O$703,Detail!$D$2:$D$703,$A28,Detail!$B$2:$B$703,D$25))</f>
        <v>0</v>
      </c>
      <c r="E28" s="35" t="n">
        <f aca="false">IF(SUMIFS(Detail!$O$2:$O$703,Detail!$D$2:$D$703,$A28,Detail!$B$2:$B$703,E$25)&lt;50,"n/a",SUMIFS(Detail!$P$2:$P$703,Detail!$D$2:$D$703,$A28,Detail!$B$2:$B$703,E$25)/SUMIFS(Detail!$O$2:$O$703,Detail!$D$2:$D$703,$A28,Detail!$B$2:$B$703,E$25))</f>
        <v>0</v>
      </c>
      <c r="F28" s="35" t="n">
        <f aca="false">IF(SUMIFS(Detail!$O$2:$O$703,Detail!$D$2:$D$703,$A28,Detail!$B$2:$B$703,F$25)&lt;50,"n/a",SUMIFS(Detail!$P$2:$P$703,Detail!$D$2:$D$703,$A28,Detail!$B$2:$B$703,F$25)/SUMIFS(Detail!$O$2:$O$703,Detail!$D$2:$D$703,$A28,Detail!$B$2:$B$703,F$25))</f>
        <v>0.0297029702970297</v>
      </c>
      <c r="G28" s="35" t="n">
        <f aca="false">IF(SUMIFS(Detail!$O$2:$O$703,Detail!$D$2:$D$703,$A28,Detail!$B$2:$B$703,G$25)&lt;50,"n/a",SUMIFS(Detail!$P$2:$P$703,Detail!$D$2:$D$703,$A28,Detail!$B$2:$B$703,G$25)/SUMIFS(Detail!$O$2:$O$703,Detail!$D$2:$D$703,$A28,Detail!$B$2:$B$703,G$25))</f>
        <v>0.0206185567010309</v>
      </c>
      <c r="H28" s="35" t="n">
        <f aca="false">IF(SUMIFS(Detail!$O$2:$O$703,Detail!$D$2:$D$703,$A28,Detail!$B$2:$B$703,H$25)&lt;50,"n/a",SUMIFS(Detail!$P$2:$P$703,Detail!$D$2:$D$703,$A28,Detail!$B$2:$B$703,H$25)/SUMIFS(Detail!$O$2:$O$703,Detail!$D$2:$D$703,$A28,Detail!$B$2:$B$703,H$25))</f>
        <v>0.021671826625387</v>
      </c>
      <c r="I28" s="35" t="n">
        <f aca="false">IF(SUMIFS(Detail!$O$2:$O$703,Detail!$D$2:$D$703,$A28,Detail!$B$2:$B$703,I$25)&lt;50,"n/a",SUMIFS(Detail!$P$2:$P$703,Detail!$D$2:$D$703,$A28,Detail!$B$2:$B$703,I$25)/SUMIFS(Detail!$O$2:$O$703,Detail!$D$2:$D$703,$A28,Detail!$B$2:$B$703,I$25))</f>
        <v>0.0653465346534654</v>
      </c>
      <c r="J28" s="35" t="n">
        <f aca="false">IF(SUMIFS(Detail!$O$2:$O$703,Detail!$D$2:$D$703,$A28,Detail!$B$2:$B$703,J$25)&lt;50,"n/a",SUMIFS(Detail!$P$2:$P$703,Detail!$D$2:$D$703,$A28,Detail!$B$2:$B$703,J$25)/SUMIFS(Detail!$O$2:$O$703,Detail!$D$2:$D$703,$A28,Detail!$B$2:$B$703,J$25))</f>
        <v>0.0842332613390929</v>
      </c>
      <c r="K28" s="35" t="n">
        <f aca="false">IF(SUMIFS(Detail!$O$2:$O$703,Detail!$D$2:$D$703,$A28,Detail!$B$2:$B$703,K$25)&lt;50,"n/a",SUMIFS(Detail!$P$2:$P$703,Detail!$D$2:$D$703,$A28,Detail!$B$2:$B$703,K$25)/SUMIFS(Detail!$O$2:$O$703,Detail!$D$2:$D$703,$A28,Detail!$B$2:$B$703,K$25))</f>
        <v>0.13013698630137</v>
      </c>
    </row>
    <row r="29" customFormat="false" ht="15" hidden="false" customHeight="false" outlineLevel="0" collapsed="false">
      <c r="A29" s="19" t="s">
        <v>54</v>
      </c>
      <c r="B29" s="35" t="n">
        <f aca="false">IF(SUMIFS(Detail!$O$2:$O$703,Detail!$D$2:$D$703,$A29,Detail!$B$2:$B$703,B$25)&lt;50,"n/a",SUMIFS(Detail!$P$2:$P$703,Detail!$D$2:$D$703,$A29,Detail!$B$2:$B$703,B$25)/SUMIFS(Detail!$O$2:$O$703,Detail!$D$2:$D$703,$A29,Detail!$B$2:$B$703,B$25))</f>
        <v>0.00237529691211401</v>
      </c>
      <c r="C29" s="35" t="n">
        <f aca="false">IF(SUMIFS(Detail!$O$2:$O$703,Detail!$D$2:$D$703,$A29,Detail!$B$2:$B$703,C$25)&lt;50,"n/a",SUMIFS(Detail!$P$2:$P$703,Detail!$D$2:$D$703,$A29,Detail!$B$2:$B$703,C$25)/SUMIFS(Detail!$O$2:$O$703,Detail!$D$2:$D$703,$A29,Detail!$B$2:$B$703,C$25))</f>
        <v>0.0100671140939597</v>
      </c>
      <c r="D29" s="35" t="n">
        <f aca="false">IF(SUMIFS(Detail!$O$2:$O$703,Detail!$D$2:$D$703,$A29,Detail!$B$2:$B$703,D$25)&lt;50,"n/a",SUMIFS(Detail!$P$2:$P$703,Detail!$D$2:$D$703,$A29,Detail!$B$2:$B$703,D$25)/SUMIFS(Detail!$O$2:$O$703,Detail!$D$2:$D$703,$A29,Detail!$B$2:$B$703,D$25))</f>
        <v>0.0136986301369863</v>
      </c>
      <c r="E29" s="35" t="n">
        <f aca="false">IF(SUMIFS(Detail!$O$2:$O$703,Detail!$D$2:$D$703,$A29,Detail!$B$2:$B$703,E$25)&lt;50,"n/a",SUMIFS(Detail!$P$2:$P$703,Detail!$D$2:$D$703,$A29,Detail!$B$2:$B$703,E$25)/SUMIFS(Detail!$O$2:$O$703,Detail!$D$2:$D$703,$A29,Detail!$B$2:$B$703,E$25))</f>
        <v>0</v>
      </c>
      <c r="F29" s="35" t="n">
        <f aca="false">IF(SUMIFS(Detail!$O$2:$O$703,Detail!$D$2:$D$703,$A29,Detail!$B$2:$B$703,F$25)&lt;50,"n/a",SUMIFS(Detail!$P$2:$P$703,Detail!$D$2:$D$703,$A29,Detail!$B$2:$B$703,F$25)/SUMIFS(Detail!$O$2:$O$703,Detail!$D$2:$D$703,$A29,Detail!$B$2:$B$703,F$25))</f>
        <v>0.00897666068222621</v>
      </c>
      <c r="G29" s="35" t="n">
        <f aca="false">IF(SUMIFS(Detail!$O$2:$O$703,Detail!$D$2:$D$703,$A29,Detail!$B$2:$B$703,G$25)&lt;50,"n/a",SUMIFS(Detail!$P$2:$P$703,Detail!$D$2:$D$703,$A29,Detail!$B$2:$B$703,G$25)/SUMIFS(Detail!$O$2:$O$703,Detail!$D$2:$D$703,$A29,Detail!$B$2:$B$703,G$25))</f>
        <v>0.0305343511450382</v>
      </c>
      <c r="H29" s="35" t="n">
        <f aca="false">IF(SUMIFS(Detail!$O$2:$O$703,Detail!$D$2:$D$703,$A29,Detail!$B$2:$B$703,H$25)&lt;50,"n/a",SUMIFS(Detail!$P$2:$P$703,Detail!$D$2:$D$703,$A29,Detail!$B$2:$B$703,H$25)/SUMIFS(Detail!$O$2:$O$703,Detail!$D$2:$D$703,$A29,Detail!$B$2:$B$703,H$25))</f>
        <v>0.0209059233449477</v>
      </c>
      <c r="I29" s="35" t="n">
        <f aca="false">IF(SUMIFS(Detail!$O$2:$O$703,Detail!$D$2:$D$703,$A29,Detail!$B$2:$B$703,I$25)&lt;50,"n/a",SUMIFS(Detail!$P$2:$P$703,Detail!$D$2:$D$703,$A29,Detail!$B$2:$B$703,I$25)/SUMIFS(Detail!$O$2:$O$703,Detail!$D$2:$D$703,$A29,Detail!$B$2:$B$703,I$25))</f>
        <v>0.0416666666666667</v>
      </c>
      <c r="J29" s="35" t="n">
        <f aca="false">IF(SUMIFS(Detail!$O$2:$O$703,Detail!$D$2:$D$703,$A29,Detail!$B$2:$B$703,J$25)&lt;50,"n/a",SUMIFS(Detail!$P$2:$P$703,Detail!$D$2:$D$703,$A29,Detail!$B$2:$B$703,J$25)/SUMIFS(Detail!$O$2:$O$703,Detail!$D$2:$D$703,$A29,Detail!$B$2:$B$703,J$25))</f>
        <v>0.0989304812834225</v>
      </c>
      <c r="K29" s="35" t="n">
        <f aca="false">IF(SUMIFS(Detail!$O$2:$O$703,Detail!$D$2:$D$703,$A29,Detail!$B$2:$B$703,K$25)&lt;50,"n/a",SUMIFS(Detail!$P$2:$P$703,Detail!$D$2:$D$703,$A29,Detail!$B$2:$B$703,K$25)/SUMIFS(Detail!$O$2:$O$703,Detail!$D$2:$D$703,$A29,Detail!$B$2:$B$703,K$25))</f>
        <v>0.0380952380952381</v>
      </c>
    </row>
    <row r="30" customFormat="false" ht="15" hidden="false" customHeight="false" outlineLevel="0" collapsed="false">
      <c r="A30" s="19" t="s">
        <v>58</v>
      </c>
      <c r="B30" s="35" t="n">
        <f aca="false">IF(SUMIFS(Detail!$O$2:$O$703,Detail!$D$2:$D$703,$A30,Detail!$B$2:$B$703,B$25)&lt;50,"n/a",SUMIFS(Detail!$P$2:$P$703,Detail!$D$2:$D$703,$A30,Detail!$B$2:$B$703,B$25)/SUMIFS(Detail!$O$2:$O$703,Detail!$D$2:$D$703,$A30,Detail!$B$2:$B$703,B$25))</f>
        <v>0</v>
      </c>
      <c r="C30" s="35" t="n">
        <f aca="false">IF(SUMIFS(Detail!$O$2:$O$703,Detail!$D$2:$D$703,$A30,Detail!$B$2:$B$703,C$25)&lt;50,"n/a",SUMIFS(Detail!$P$2:$P$703,Detail!$D$2:$D$703,$A30,Detail!$B$2:$B$703,C$25)/SUMIFS(Detail!$O$2:$O$703,Detail!$D$2:$D$703,$A30,Detail!$B$2:$B$703,C$25))</f>
        <v>0.00689655172413793</v>
      </c>
      <c r="D30" s="35" t="n">
        <f aca="false">IF(SUMIFS(Detail!$O$2:$O$703,Detail!$D$2:$D$703,$A30,Detail!$B$2:$B$703,D$25)&lt;50,"n/a",SUMIFS(Detail!$P$2:$P$703,Detail!$D$2:$D$703,$A30,Detail!$B$2:$B$703,D$25)/SUMIFS(Detail!$O$2:$O$703,Detail!$D$2:$D$703,$A30,Detail!$B$2:$B$703,D$25))</f>
        <v>0.008</v>
      </c>
      <c r="E30" s="35" t="n">
        <f aca="false">IF(SUMIFS(Detail!$O$2:$O$703,Detail!$D$2:$D$703,$A30,Detail!$B$2:$B$703,E$25)&lt;50,"n/a",SUMIFS(Detail!$P$2:$P$703,Detail!$D$2:$D$703,$A30,Detail!$B$2:$B$703,E$25)/SUMIFS(Detail!$O$2:$O$703,Detail!$D$2:$D$703,$A30,Detail!$B$2:$B$703,E$25))</f>
        <v>0</v>
      </c>
      <c r="F30" s="35" t="n">
        <f aca="false">IF(SUMIFS(Detail!$O$2:$O$703,Detail!$D$2:$D$703,$A30,Detail!$B$2:$B$703,F$25)&lt;50,"n/a",SUMIFS(Detail!$P$2:$P$703,Detail!$D$2:$D$703,$A30,Detail!$B$2:$B$703,F$25)/SUMIFS(Detail!$O$2:$O$703,Detail!$D$2:$D$703,$A30,Detail!$B$2:$B$703,F$25))</f>
        <v>0.00657894736842105</v>
      </c>
      <c r="G30" s="35" t="n">
        <f aca="false">IF(SUMIFS(Detail!$O$2:$O$703,Detail!$D$2:$D$703,$A30,Detail!$B$2:$B$703,G$25)&lt;50,"n/a",SUMIFS(Detail!$P$2:$P$703,Detail!$D$2:$D$703,$A30,Detail!$B$2:$B$703,G$25)/SUMIFS(Detail!$O$2:$O$703,Detail!$D$2:$D$703,$A30,Detail!$B$2:$B$703,G$25))</f>
        <v>0.0133333333333333</v>
      </c>
      <c r="H30" s="35" t="n">
        <f aca="false">IF(SUMIFS(Detail!$O$2:$O$703,Detail!$D$2:$D$703,$A30,Detail!$B$2:$B$703,H$25)&lt;50,"n/a",SUMIFS(Detail!$P$2:$P$703,Detail!$D$2:$D$703,$A30,Detail!$B$2:$B$703,H$25)/SUMIFS(Detail!$O$2:$O$703,Detail!$D$2:$D$703,$A30,Detail!$B$2:$B$703,H$25))</f>
        <v>0</v>
      </c>
      <c r="I30" s="35" t="n">
        <f aca="false">IF(SUMIFS(Detail!$O$2:$O$703,Detail!$D$2:$D$703,$A30,Detail!$B$2:$B$703,I$25)&lt;50,"n/a",SUMIFS(Detail!$P$2:$P$703,Detail!$D$2:$D$703,$A30,Detail!$B$2:$B$703,I$25)/SUMIFS(Detail!$O$2:$O$703,Detail!$D$2:$D$703,$A30,Detail!$B$2:$B$703,I$25))</f>
        <v>0.0608108108108108</v>
      </c>
      <c r="J30" s="35" t="n">
        <f aca="false">IF(SUMIFS(Detail!$O$2:$O$703,Detail!$D$2:$D$703,$A30,Detail!$B$2:$B$703,J$25)&lt;50,"n/a",SUMIFS(Detail!$P$2:$P$703,Detail!$D$2:$D$703,$A30,Detail!$B$2:$B$703,J$25)/SUMIFS(Detail!$O$2:$O$703,Detail!$D$2:$D$703,$A30,Detail!$B$2:$B$703,J$25))</f>
        <v>0.102702702702703</v>
      </c>
      <c r="K30" s="35" t="str">
        <f aca="false">IF(SUMIFS(Detail!$O$2:$O$703,Detail!$D$2:$D$703,$A30,Detail!$B$2:$B$703,K$25)&lt;50,"n/a",SUMIFS(Detail!$P$2:$P$703,Detail!$D$2:$D$703,$A30,Detail!$B$2:$B$703,K$25)/SUMIFS(Detail!$O$2:$O$703,Detail!$D$2:$D$703,$A30,Detail!$B$2:$B$703,K$25))</f>
        <v>n/a</v>
      </c>
    </row>
    <row r="31" customFormat="false" ht="15" hidden="false" customHeight="false" outlineLevel="0" collapsed="false">
      <c r="A31" s="19" t="s">
        <v>62</v>
      </c>
      <c r="B31" s="35" t="n">
        <f aca="false">IF(SUMIFS(Detail!$O$2:$O$703,Detail!$D$2:$D$703,$A31,Detail!$B$2:$B$703,B$25)&lt;50,"n/a",SUMIFS(Detail!$P$2:$P$703,Detail!$D$2:$D$703,$A31,Detail!$B$2:$B$703,B$25)/SUMIFS(Detail!$O$2:$O$703,Detail!$D$2:$D$703,$A31,Detail!$B$2:$B$703,B$25))</f>
        <v>0</v>
      </c>
      <c r="C31" s="35" t="n">
        <f aca="false">IF(SUMIFS(Detail!$O$2:$O$703,Detail!$D$2:$D$703,$A31,Detail!$B$2:$B$703,C$25)&lt;50,"n/a",SUMIFS(Detail!$P$2:$P$703,Detail!$D$2:$D$703,$A31,Detail!$B$2:$B$703,C$25)/SUMIFS(Detail!$O$2:$O$703,Detail!$D$2:$D$703,$A31,Detail!$B$2:$B$703,C$25))</f>
        <v>0</v>
      </c>
      <c r="D31" s="35" t="n">
        <f aca="false">IF(SUMIFS(Detail!$O$2:$O$703,Detail!$D$2:$D$703,$A31,Detail!$B$2:$B$703,D$25)&lt;50,"n/a",SUMIFS(Detail!$P$2:$P$703,Detail!$D$2:$D$703,$A31,Detail!$B$2:$B$703,D$25)/SUMIFS(Detail!$O$2:$O$703,Detail!$D$2:$D$703,$A31,Detail!$B$2:$B$703,D$25))</f>
        <v>0.015625</v>
      </c>
      <c r="E31" s="35" t="str">
        <f aca="false">IF(SUMIFS(Detail!$O$2:$O$703,Detail!$D$2:$D$703,$A31,Detail!$B$2:$B$703,E$25)&lt;50,"n/a",SUMIFS(Detail!$P$2:$P$703,Detail!$D$2:$D$703,$A31,Detail!$B$2:$B$703,E$25)/SUMIFS(Detail!$O$2:$O$703,Detail!$D$2:$D$703,$A31,Detail!$B$2:$B$703,E$25))</f>
        <v>n/a</v>
      </c>
      <c r="F31" s="35" t="n">
        <f aca="false">IF(SUMIFS(Detail!$O$2:$O$703,Detail!$D$2:$D$703,$A31,Detail!$B$2:$B$703,F$25)&lt;50,"n/a",SUMIFS(Detail!$P$2:$P$703,Detail!$D$2:$D$703,$A31,Detail!$B$2:$B$703,F$25)/SUMIFS(Detail!$O$2:$O$703,Detail!$D$2:$D$703,$A31,Detail!$B$2:$B$703,F$25))</f>
        <v>0</v>
      </c>
      <c r="G31" s="35" t="str">
        <f aca="false">IF(SUMIFS(Detail!$O$2:$O$703,Detail!$D$2:$D$703,$A31,Detail!$B$2:$B$703,G$25)&lt;50,"n/a",SUMIFS(Detail!$P$2:$P$703,Detail!$D$2:$D$703,$A31,Detail!$B$2:$B$703,G$25)/SUMIFS(Detail!$O$2:$O$703,Detail!$D$2:$D$703,$A31,Detail!$B$2:$B$703,G$25))</f>
        <v>n/a</v>
      </c>
      <c r="H31" s="35" t="n">
        <f aca="false">IF(SUMIFS(Detail!$O$2:$O$703,Detail!$D$2:$D$703,$A31,Detail!$B$2:$B$703,H$25)&lt;50,"n/a",SUMIFS(Detail!$P$2:$P$703,Detail!$D$2:$D$703,$A31,Detail!$B$2:$B$703,H$25)/SUMIFS(Detail!$O$2:$O$703,Detail!$D$2:$D$703,$A31,Detail!$B$2:$B$703,H$25))</f>
        <v>0.0181818181818182</v>
      </c>
      <c r="I31" s="35" t="n">
        <f aca="false">IF(SUMIFS(Detail!$O$2:$O$703,Detail!$D$2:$D$703,$A31,Detail!$B$2:$B$703,I$25)&lt;50,"n/a",SUMIFS(Detail!$P$2:$P$703,Detail!$D$2:$D$703,$A31,Detail!$B$2:$B$703,I$25)/SUMIFS(Detail!$O$2:$O$703,Detail!$D$2:$D$703,$A31,Detail!$B$2:$B$703,I$25))</f>
        <v>0</v>
      </c>
      <c r="J31" s="35" t="n">
        <f aca="false">IF(SUMIFS(Detail!$O$2:$O$703,Detail!$D$2:$D$703,$A31,Detail!$B$2:$B$703,J$25)&lt;50,"n/a",SUMIFS(Detail!$P$2:$P$703,Detail!$D$2:$D$703,$A31,Detail!$B$2:$B$703,J$25)/SUMIFS(Detail!$O$2:$O$703,Detail!$D$2:$D$703,$A31,Detail!$B$2:$B$703,J$25))</f>
        <v>0.0980392156862745</v>
      </c>
      <c r="K31" s="35" t="str">
        <f aca="false">IF(SUMIFS(Detail!$O$2:$O$703,Detail!$D$2:$D$703,$A31,Detail!$B$2:$B$703,K$25)&lt;50,"n/a",SUMIFS(Detail!$P$2:$P$703,Detail!$D$2:$D$703,$A31,Detail!$B$2:$B$703,K$25)/SUMIFS(Detail!$O$2:$O$703,Detail!$D$2:$D$703,$A31,Detail!$B$2:$B$703,K$25))</f>
        <v>n/a</v>
      </c>
    </row>
    <row r="32" customFormat="false" ht="15" hidden="false" customHeight="false" outlineLevel="0" collapsed="false">
      <c r="A32" s="19" t="s">
        <v>66</v>
      </c>
      <c r="B32" s="35" t="str">
        <f aca="false">IF(SUMIFS(Detail!$O$2:$O$703,Detail!$D$2:$D$703,$A32,Detail!$B$2:$B$703,B$25)&lt;50,"n/a",SUMIFS(Detail!$P$2:$P$703,Detail!$D$2:$D$703,$A32,Detail!$B$2:$B$703,B$25)/SUMIFS(Detail!$O$2:$O$703,Detail!$D$2:$D$703,$A32,Detail!$B$2:$B$703,B$25))</f>
        <v>n/a</v>
      </c>
      <c r="C32" s="35" t="str">
        <f aca="false">IF(SUMIFS(Detail!$O$2:$O$703,Detail!$D$2:$D$703,$A32,Detail!$B$2:$B$703,C$25)&lt;50,"n/a",SUMIFS(Detail!$P$2:$P$703,Detail!$D$2:$D$703,$A32,Detail!$B$2:$B$703,C$25)/SUMIFS(Detail!$O$2:$O$703,Detail!$D$2:$D$703,$A32,Detail!$B$2:$B$703,C$25))</f>
        <v>n/a</v>
      </c>
      <c r="D32" s="35" t="str">
        <f aca="false">IF(SUMIFS(Detail!$O$2:$O$703,Detail!$D$2:$D$703,$A32,Detail!$B$2:$B$703,D$25)&lt;50,"n/a",SUMIFS(Detail!$P$2:$P$703,Detail!$D$2:$D$703,$A32,Detail!$B$2:$B$703,D$25)/SUMIFS(Detail!$O$2:$O$703,Detail!$D$2:$D$703,$A32,Detail!$B$2:$B$703,D$25))</f>
        <v>n/a</v>
      </c>
      <c r="E32" s="35" t="str">
        <f aca="false">IF(SUMIFS(Detail!$O$2:$O$703,Detail!$D$2:$D$703,$A32,Detail!$B$2:$B$703,E$25)&lt;50,"n/a",SUMIFS(Detail!$P$2:$P$703,Detail!$D$2:$D$703,$A32,Detail!$B$2:$B$703,E$25)/SUMIFS(Detail!$O$2:$O$703,Detail!$D$2:$D$703,$A32,Detail!$B$2:$B$703,E$25))</f>
        <v>n/a</v>
      </c>
      <c r="F32" s="35" t="n">
        <f aca="false">IF(SUMIFS(Detail!$O$2:$O$703,Detail!$D$2:$D$703,$A32,Detail!$B$2:$B$703,F$25)&lt;50,"n/a",SUMIFS(Detail!$P$2:$P$703,Detail!$D$2:$D$703,$A32,Detail!$B$2:$B$703,F$25)/SUMIFS(Detail!$O$2:$O$703,Detail!$D$2:$D$703,$A32,Detail!$B$2:$B$703,F$25))</f>
        <v>0</v>
      </c>
      <c r="G32" s="35" t="str">
        <f aca="false">IF(SUMIFS(Detail!$O$2:$O$703,Detail!$D$2:$D$703,$A32,Detail!$B$2:$B$703,G$25)&lt;50,"n/a",SUMIFS(Detail!$P$2:$P$703,Detail!$D$2:$D$703,$A32,Detail!$B$2:$B$703,G$25)/SUMIFS(Detail!$O$2:$O$703,Detail!$D$2:$D$703,$A32,Detail!$B$2:$B$703,G$25))</f>
        <v>n/a</v>
      </c>
      <c r="H32" s="35" t="str">
        <f aca="false">IF(SUMIFS(Detail!$O$2:$O$703,Detail!$D$2:$D$703,$A32,Detail!$B$2:$B$703,H$25)&lt;50,"n/a",SUMIFS(Detail!$P$2:$P$703,Detail!$D$2:$D$703,$A32,Detail!$B$2:$B$703,H$25)/SUMIFS(Detail!$O$2:$O$703,Detail!$D$2:$D$703,$A32,Detail!$B$2:$B$703,H$25))</f>
        <v>n/a</v>
      </c>
      <c r="I32" s="35" t="str">
        <f aca="false">IF(SUMIFS(Detail!$O$2:$O$703,Detail!$D$2:$D$703,$A32,Detail!$B$2:$B$703,I$25)&lt;50,"n/a",SUMIFS(Detail!$P$2:$P$703,Detail!$D$2:$D$703,$A32,Detail!$B$2:$B$703,I$25)/SUMIFS(Detail!$O$2:$O$703,Detail!$D$2:$D$703,$A32,Detail!$B$2:$B$703,I$25))</f>
        <v>n/a</v>
      </c>
      <c r="J32" s="35" t="str">
        <f aca="false">IF(SUMIFS(Detail!$O$2:$O$703,Detail!$D$2:$D$703,$A32,Detail!$B$2:$B$703,J$25)&lt;50,"n/a",SUMIFS(Detail!$P$2:$P$703,Detail!$D$2:$D$703,$A32,Detail!$B$2:$B$703,J$25)/SUMIFS(Detail!$O$2:$O$703,Detail!$D$2:$D$703,$A32,Detail!$B$2:$B$703,J$25))</f>
        <v>n/a</v>
      </c>
      <c r="K32" s="35" t="str">
        <f aca="false">IF(SUMIFS(Detail!$O$2:$O$703,Detail!$D$2:$D$703,$A32,Detail!$B$2:$B$703,K$25)&lt;50,"n/a",SUMIFS(Detail!$P$2:$P$703,Detail!$D$2:$D$703,$A32,Detail!$B$2:$B$703,K$25)/SUMIFS(Detail!$O$2:$O$703,Detail!$D$2:$D$703,$A32,Detail!$B$2:$B$703,K$25))</f>
        <v>n/a</v>
      </c>
    </row>
    <row r="33" customFormat="false" ht="15" hidden="false" customHeight="false" outlineLevel="0" collapsed="false">
      <c r="A33" s="19" t="s">
        <v>70</v>
      </c>
      <c r="B33" s="35" t="str">
        <f aca="false">IF(SUMIFS(Detail!$O$2:$O$703,Detail!$D$2:$D$703,$A33,Detail!$B$2:$B$703,B$25)&lt;50,"n/a",SUMIFS(Detail!$P$2:$P$703,Detail!$D$2:$D$703,$A33,Detail!$B$2:$B$703,B$25)/SUMIFS(Detail!$O$2:$O$703,Detail!$D$2:$D$703,$A33,Detail!$B$2:$B$703,B$25))</f>
        <v>n/a</v>
      </c>
      <c r="C33" s="35" t="str">
        <f aca="false">IF(SUMIFS(Detail!$O$2:$O$703,Detail!$D$2:$D$703,$A33,Detail!$B$2:$B$703,C$25)&lt;50,"n/a",SUMIFS(Detail!$P$2:$P$703,Detail!$D$2:$D$703,$A33,Detail!$B$2:$B$703,C$25)/SUMIFS(Detail!$O$2:$O$703,Detail!$D$2:$D$703,$A33,Detail!$B$2:$B$703,C$25))</f>
        <v>n/a</v>
      </c>
      <c r="D33" s="35" t="str">
        <f aca="false">IF(SUMIFS(Detail!$O$2:$O$703,Detail!$D$2:$D$703,$A33,Detail!$B$2:$B$703,D$25)&lt;50,"n/a",SUMIFS(Detail!$P$2:$P$703,Detail!$D$2:$D$703,$A33,Detail!$B$2:$B$703,D$25)/SUMIFS(Detail!$O$2:$O$703,Detail!$D$2:$D$703,$A33,Detail!$B$2:$B$703,D$25))</f>
        <v>n/a</v>
      </c>
      <c r="E33" s="35" t="str">
        <f aca="false">IF(SUMIFS(Detail!$O$2:$O$703,Detail!$D$2:$D$703,$A33,Detail!$B$2:$B$703,E$25)&lt;50,"n/a",SUMIFS(Detail!$P$2:$P$703,Detail!$D$2:$D$703,$A33,Detail!$B$2:$B$703,E$25)/SUMIFS(Detail!$O$2:$O$703,Detail!$D$2:$D$703,$A33,Detail!$B$2:$B$703,E$25))</f>
        <v>n/a</v>
      </c>
      <c r="F33" s="35" t="str">
        <f aca="false">IF(SUMIFS(Detail!$O$2:$O$703,Detail!$D$2:$D$703,$A33,Detail!$B$2:$B$703,F$25)&lt;50,"n/a",SUMIFS(Detail!$P$2:$P$703,Detail!$D$2:$D$703,$A33,Detail!$B$2:$B$703,F$25)/SUMIFS(Detail!$O$2:$O$703,Detail!$D$2:$D$703,$A33,Detail!$B$2:$B$703,F$25))</f>
        <v>n/a</v>
      </c>
      <c r="G33" s="35" t="str">
        <f aca="false">IF(SUMIFS(Detail!$O$2:$O$703,Detail!$D$2:$D$703,$A33,Detail!$B$2:$B$703,G$25)&lt;50,"n/a",SUMIFS(Detail!$P$2:$P$703,Detail!$D$2:$D$703,$A33,Detail!$B$2:$B$703,G$25)/SUMIFS(Detail!$O$2:$O$703,Detail!$D$2:$D$703,$A33,Detail!$B$2:$B$703,G$25))</f>
        <v>n/a</v>
      </c>
      <c r="H33" s="35" t="str">
        <f aca="false">IF(SUMIFS(Detail!$O$2:$O$703,Detail!$D$2:$D$703,$A33,Detail!$B$2:$B$703,H$25)&lt;50,"n/a",SUMIFS(Detail!$P$2:$P$703,Detail!$D$2:$D$703,$A33,Detail!$B$2:$B$703,H$25)/SUMIFS(Detail!$O$2:$O$703,Detail!$D$2:$D$703,$A33,Detail!$B$2:$B$703,H$25))</f>
        <v>n/a</v>
      </c>
      <c r="I33" s="35" t="str">
        <f aca="false">IF(SUMIFS(Detail!$O$2:$O$703,Detail!$D$2:$D$703,$A33,Detail!$B$2:$B$703,I$25)&lt;50,"n/a",SUMIFS(Detail!$P$2:$P$703,Detail!$D$2:$D$703,$A33,Detail!$B$2:$B$703,I$25)/SUMIFS(Detail!$O$2:$O$703,Detail!$D$2:$D$703,$A33,Detail!$B$2:$B$703,I$25))</f>
        <v>n/a</v>
      </c>
      <c r="J33" s="35" t="str">
        <f aca="false">IF(SUMIFS(Detail!$O$2:$O$703,Detail!$D$2:$D$703,$A33,Detail!$B$2:$B$703,J$25)&lt;50,"n/a",SUMIFS(Detail!$P$2:$P$703,Detail!$D$2:$D$703,$A33,Detail!$B$2:$B$703,J$25)/SUMIFS(Detail!$O$2:$O$703,Detail!$D$2:$D$703,$A33,Detail!$B$2:$B$703,J$25))</f>
        <v>n/a</v>
      </c>
      <c r="K33" s="35" t="str">
        <f aca="false">IF(SUMIFS(Detail!$O$2:$O$703,Detail!$D$2:$D$703,$A33,Detail!$B$2:$B$703,K$25)&lt;50,"n/a",SUMIFS(Detail!$P$2:$P$703,Detail!$D$2:$D$703,$A33,Detail!$B$2:$B$703,K$25)/SUMIFS(Detail!$O$2:$O$703,Detail!$D$2:$D$703,$A33,Detail!$B$2:$B$703,K$25))</f>
        <v>n/a</v>
      </c>
    </row>
  </sheetData>
  <mergeCells count="1">
    <mergeCell ref="A2:L2"/>
  </mergeCells>
  <conditionalFormatting sqref="D5:D14">
    <cfRule type="colorScale" priority="2">
      <colorScale>
        <cfvo type="num" val="0"/>
        <cfvo type="num" val="0.05"/>
        <cfvo type="num" val="0.1"/>
        <color rgb="FFFFFFFF"/>
        <color rgb="FFFFE699"/>
        <color rgb="FFE8685D"/>
      </colorScale>
    </cfRule>
  </conditionalFormatting>
  <conditionalFormatting sqref="L5:L14">
    <cfRule type="cellIs" priority="3" operator="greaterThanOrEqual" aboveAverage="0" equalAverage="0" bottom="0" percent="0" rank="0" text="" dxfId="4">
      <formula>Settings!$B$6</formula>
    </cfRule>
  </conditionalFormatting>
  <conditionalFormatting sqref="H5:H14">
    <cfRule type="cellIs" priority="4" operator="equal" aboveAverage="0" equalAverage="0" bottom="0" percent="0" rank="0" text="" dxfId="5">
      <formula>"no"</formula>
    </cfRule>
  </conditionalFormatting>
  <conditionalFormatting sqref="E5:E14">
    <cfRule type="dataBar" priority="5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{AC92DD5F-E26C-4517-9A3A-85122FD842D1}</x14:id>
        </ext>
      </extLst>
    </cfRule>
  </conditionalFormatting>
  <conditionalFormatting sqref="B19:K22">
    <cfRule type="colorScale" priority="6">
      <colorScale>
        <cfvo type="num" val="0"/>
        <cfvo type="num" val="0.05"/>
        <cfvo type="num" val="0.11"/>
        <color rgb="FFFFFFFF"/>
        <color rgb="FFFFE699"/>
        <color rgb="FFE8685D"/>
      </colorScale>
    </cfRule>
  </conditionalFormatting>
  <conditionalFormatting sqref="B26:K33">
    <cfRule type="colorScale" priority="7">
      <colorScale>
        <cfvo type="num" val="0"/>
        <cfvo type="num" val="0.05"/>
        <cfvo type="num" val="0.11"/>
        <color rgb="FFFFFFFF"/>
        <color rgb="FFFFE699"/>
        <color rgb="FFE8685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92DD5F-E26C-4517-9A3A-85122FD842D1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E5:E14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8" min="5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26" t="s">
        <v>129</v>
      </c>
    </row>
    <row r="2" customFormat="false" ht="36" hidden="false" customHeight="true" outlineLevel="0" collapsed="false">
      <c r="A2" s="32" t="s">
        <v>130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customFormat="false" ht="21.75" hidden="false" customHeight="true" outlineLevel="0" collapsed="false">
      <c r="A4" s="36" t="s">
        <v>131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customFormat="false" ht="43.5" hidden="false" customHeight="true" outlineLevel="0" collapsed="false">
      <c r="A5" s="16" t="s">
        <v>132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customFormat="false" ht="43.5" hidden="false" customHeight="true" outlineLevel="0" collapsed="false">
      <c r="A6" s="16" t="s">
        <v>133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43.5" hidden="false" customHeight="true" outlineLevel="0" collapsed="false">
      <c r="A7" s="16" t="s">
        <v>134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9" customFormat="false" ht="21.75" hidden="false" customHeight="true" outlineLevel="0" collapsed="false">
      <c r="A9" s="36" t="s">
        <v>135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customFormat="false" ht="39.75" hidden="false" customHeight="true" outlineLevel="0" collapsed="false">
      <c r="A10" s="18" t="s">
        <v>81</v>
      </c>
      <c r="B10" s="18" t="s">
        <v>16</v>
      </c>
      <c r="C10" s="18" t="s">
        <v>17</v>
      </c>
      <c r="D10" s="18" t="s">
        <v>18</v>
      </c>
      <c r="E10" s="18" t="s">
        <v>136</v>
      </c>
      <c r="F10" s="18" t="s">
        <v>20</v>
      </c>
      <c r="G10" s="18" t="s">
        <v>137</v>
      </c>
      <c r="H10" s="18" t="s">
        <v>31</v>
      </c>
      <c r="I10" s="18" t="s">
        <v>138</v>
      </c>
      <c r="J10" s="18" t="s">
        <v>22</v>
      </c>
      <c r="K10" s="18" t="s">
        <v>24</v>
      </c>
      <c r="L10" s="18" t="s">
        <v>36</v>
      </c>
    </row>
    <row r="11" customFormat="false" ht="15" hidden="false" customHeight="false" outlineLevel="0" collapsed="false">
      <c r="A11" s="19" t="n">
        <v>1</v>
      </c>
      <c r="B11" s="19" t="str">
        <f aca="false">IFERROR(INDEX('SKU Data'!$A$2:$A$95,MATCH($A11,'SKU Data'!$AC$2:$AC$95,0)),"")</f>
        <v>DCA-02-00</v>
      </c>
      <c r="C11" s="19" t="str">
        <f aca="false">IFERROR(INDEX('SKU Data'!$B$2:$B$95,MATCH($A11,'SKU Data'!$AC$2:$AC$95,0)),"")</f>
        <v>Anniversary Designer Collection II</v>
      </c>
      <c r="D11" s="19" t="str">
        <f aca="false">IFERROR(INDEX('SKU Data'!$C$2:$C$95,MATCH($A11,'SKU Data'!$AC$2:$AC$95,0)),"")</f>
        <v>Anniversary</v>
      </c>
      <c r="E11" s="20" t="n">
        <f aca="false">IFERROR(INDEX('SKU Data'!$E$2:$E$95,MATCH($A11,'SKU Data'!$AC$2:$AC$95,0)),"")</f>
        <v>36</v>
      </c>
      <c r="F11" s="20" t="n">
        <f aca="false">IFERROR(INDEX('SKU Data'!$J$2:$J$95,MATCH($A11,'SKU Data'!$AC$2:$AC$95,0)),"")</f>
        <v>8</v>
      </c>
      <c r="G11" s="21" t="n">
        <f aca="false">IFERROR(INDEX('SKU Data'!$L$2:$L$95,MATCH($A11,'SKU Data'!$AC$2:$AC$95,0)),"")</f>
        <v>0.222222222222222</v>
      </c>
      <c r="H11" s="28" t="n">
        <f aca="false">IFERROR(G11/Settings!$B$3,"")</f>
        <v>3.34201388888889</v>
      </c>
      <c r="I11" s="29" t="n">
        <f aca="false">IFERROR(INDEX('SKU Data'!$Q$2:$Q$95,MATCH($A11,'SKU Data'!$AC$2:$AC$95,0)),"")</f>
        <v>3.75034881619314</v>
      </c>
      <c r="J11" s="22" t="n">
        <f aca="false">IFERROR(INDEX('SKU Data'!$H$2:$H$95,MATCH($A11,'SKU Data'!$AC$2:$AC$95,0)),"")</f>
        <v>735.3</v>
      </c>
      <c r="K11" s="19" t="str">
        <f aca="false">IFERROR(INDEX('SKU Data'!$X$2:$X$95,MATCH($A11,'SKU Data'!$AC$2:$AC$95,0)),"")</f>
        <v>1 - Fix first</v>
      </c>
      <c r="L11" s="24" t="str">
        <f aca="false">IFERROR(INDEX('SKU Data'!$Y$2:$Y$95,MATCH($A11,'SKU Data'!$AC$2:$AC$95,0)),"")</f>
        <v>HIGH RATE</v>
      </c>
    </row>
    <row r="12" customFormat="false" ht="15" hidden="false" customHeight="false" outlineLevel="0" collapsed="false">
      <c r="A12" s="19" t="n">
        <v>2</v>
      </c>
      <c r="B12" s="19" t="str">
        <f aca="false">IFERROR(INDEX('SKU Data'!$A$2:$A$95,MATCH($A12,'SKU Data'!$AC$2:$AC$95,0)),"")</f>
        <v>DC-02B</v>
      </c>
      <c r="C12" s="19" t="str">
        <f aca="false">IFERROR(INDEX('SKU Data'!$B$2:$B$95,MATCH($A12,'SKU Data'!$AC$2:$AC$95,0)),"")</f>
        <v>Birthday Designer Collection II</v>
      </c>
      <c r="D12" s="19" t="str">
        <f aca="false">IFERROR(INDEX('SKU Data'!$C$2:$C$95,MATCH($A12,'SKU Data'!$AC$2:$AC$95,0)),"")</f>
        <v>Birthday</v>
      </c>
      <c r="E12" s="20" t="n">
        <f aca="false">IFERROR(INDEX('SKU Data'!$E$2:$E$95,MATCH($A12,'SKU Data'!$AC$2:$AC$95,0)),"")</f>
        <v>223</v>
      </c>
      <c r="F12" s="20" t="n">
        <f aca="false">IFERROR(INDEX('SKU Data'!$J$2:$J$95,MATCH($A12,'SKU Data'!$AC$2:$AC$95,0)),"")</f>
        <v>25</v>
      </c>
      <c r="G12" s="21" t="n">
        <f aca="false">IFERROR(INDEX('SKU Data'!$L$2:$L$95,MATCH($A12,'SKU Data'!$AC$2:$AC$95,0)),"")</f>
        <v>0.112107623318386</v>
      </c>
      <c r="H12" s="28" t="n">
        <f aca="false">IFERROR(G12/Settings!$B$3,"")</f>
        <v>1.68599355381166</v>
      </c>
      <c r="I12" s="29" t="n">
        <f aca="false">IFERROR(INDEX('SKU Data'!$Q$2:$Q$95,MATCH($A12,'SKU Data'!$AC$2:$AC$95,0)),"")</f>
        <v>2.73403086134725</v>
      </c>
      <c r="J12" s="22" t="n">
        <f aca="false">IFERROR(INDEX('SKU Data'!$H$2:$H$95,MATCH($A12,'SKU Data'!$AC$2:$AC$95,0)),"")</f>
        <v>2889.28</v>
      </c>
      <c r="K12" s="19" t="str">
        <f aca="false">IFERROR(INDEX('SKU Data'!$X$2:$X$95,MATCH($A12,'SKU Data'!$AC$2:$AC$95,0)),"")</f>
        <v>1 - Fix first</v>
      </c>
      <c r="L12" s="24" t="str">
        <f aca="false">IFERROR(INDEX('SKU Data'!$Y$2:$Y$95,MATCH($A12,'SKU Data'!$AC$2:$AC$95,0)),"")</f>
        <v/>
      </c>
    </row>
    <row r="13" customFormat="false" ht="15" hidden="false" customHeight="false" outlineLevel="0" collapsed="false">
      <c r="A13" s="19" t="n">
        <v>3</v>
      </c>
      <c r="B13" s="19" t="str">
        <f aca="false">IFERROR(INDEX('SKU Data'!$A$2:$A$95,MATCH($A13,'SKU Data'!$AC$2:$AC$95,0)),"")</f>
        <v>DCMJ-01</v>
      </c>
      <c r="C13" s="19" t="str">
        <f aca="false">IFERROR(INDEX('SKU Data'!$B$2:$B$95,MATCH($A13,'SKU Data'!$AC$2:$AC$95,0)),"")</f>
        <v>Designer Collection Mason Jar I</v>
      </c>
      <c r="D13" s="19" t="str">
        <f aca="false">IFERROR(INDEX('SKU Data'!$C$2:$C$95,MATCH($A13,'SKU Data'!$AC$2:$AC$95,0)),"")</f>
        <v>Mason Jar</v>
      </c>
      <c r="E13" s="20" t="n">
        <f aca="false">IFERROR(INDEX('SKU Data'!$E$2:$E$95,MATCH($A13,'SKU Data'!$AC$2:$AC$95,0)),"")</f>
        <v>110</v>
      </c>
      <c r="F13" s="20" t="n">
        <f aca="false">IFERROR(INDEX('SKU Data'!$J$2:$J$95,MATCH($A13,'SKU Data'!$AC$2:$AC$95,0)),"")</f>
        <v>14</v>
      </c>
      <c r="G13" s="21" t="n">
        <f aca="false">IFERROR(INDEX('SKU Data'!$L$2:$L$95,MATCH($A13,'SKU Data'!$AC$2:$AC$95,0)),"")</f>
        <v>0.127272727272727</v>
      </c>
      <c r="H13" s="28" t="n">
        <f aca="false">IFERROR(G13/Settings!$B$3,"")</f>
        <v>1.9140625</v>
      </c>
      <c r="I13" s="29" t="n">
        <f aca="false">IFERROR(INDEX('SKU Data'!$Q$2:$Q$95,MATCH($A13,'SKU Data'!$AC$2:$AC$95,0)),"")</f>
        <v>2.55860462708281</v>
      </c>
      <c r="J13" s="22" t="n">
        <f aca="false">IFERROR(INDEX('SKU Data'!$H$2:$H$95,MATCH($A13,'SKU Data'!$AC$2:$AC$95,0)),"")</f>
        <v>941.68</v>
      </c>
      <c r="K13" s="19" t="str">
        <f aca="false">IFERROR(INDEX('SKU Data'!$X$2:$X$95,MATCH($A13,'SKU Data'!$AC$2:$AC$95,0)),"")</f>
        <v>1 - Fix first</v>
      </c>
      <c r="L13" s="24" t="str">
        <f aca="false">IFERROR(INDEX('SKU Data'!$Y$2:$Y$95,MATCH($A13,'SKU Data'!$AC$2:$AC$95,0)),"")</f>
        <v/>
      </c>
    </row>
    <row r="14" customFormat="false" ht="15" hidden="false" customHeight="false" outlineLevel="0" collapsed="false">
      <c r="A14" s="19" t="n">
        <v>4</v>
      </c>
      <c r="B14" s="19" t="str">
        <f aca="false">IFERROR(INDEX('SKU Data'!$A$2:$A$95,MATCH($A14,'SKU Data'!$AC$2:$AC$95,0)),"")</f>
        <v>DCB-02</v>
      </c>
      <c r="C14" s="19" t="str">
        <f aca="false">IFERROR(INDEX('SKU Data'!$B$2:$B$95,MATCH($A14,'SKU Data'!$AC$2:$AC$95,0)),"")</f>
        <v>Birthday Designer Collection II</v>
      </c>
      <c r="D14" s="19" t="str">
        <f aca="false">IFERROR(INDEX('SKU Data'!$C$2:$C$95,MATCH($A14,'SKU Data'!$AC$2:$AC$95,0)),"")</f>
        <v>Birthday</v>
      </c>
      <c r="E14" s="20" t="n">
        <f aca="false">IFERROR(INDEX('SKU Data'!$E$2:$E$95,MATCH($A14,'SKU Data'!$AC$2:$AC$95,0)),"")</f>
        <v>87</v>
      </c>
      <c r="F14" s="20" t="n">
        <f aca="false">IFERROR(INDEX('SKU Data'!$J$2:$J$95,MATCH($A14,'SKU Data'!$AC$2:$AC$95,0)),"")</f>
        <v>10</v>
      </c>
      <c r="G14" s="21" t="n">
        <f aca="false">IFERROR(INDEX('SKU Data'!$L$2:$L$95,MATCH($A14,'SKU Data'!$AC$2:$AC$95,0)),"")</f>
        <v>0.114942528735632</v>
      </c>
      <c r="H14" s="28" t="n">
        <f aca="false">IFERROR(G14/Settings!$B$3,"")</f>
        <v>1.72862787356322</v>
      </c>
      <c r="I14" s="29" t="n">
        <f aca="false">IFERROR(INDEX('SKU Data'!$Q$2:$Q$95,MATCH($A14,'SKU Data'!$AC$2:$AC$95,0)),"")</f>
        <v>1.81382905196917</v>
      </c>
      <c r="J14" s="22" t="n">
        <f aca="false">IFERROR(INDEX('SKU Data'!$H$2:$H$95,MATCH($A14,'SKU Data'!$AC$2:$AC$95,0)),"")</f>
        <v>1216.35</v>
      </c>
      <c r="K14" s="19" t="str">
        <f aca="false">IFERROR(INDEX('SKU Data'!$X$2:$X$95,MATCH($A14,'SKU Data'!$AC$2:$AC$95,0)),"")</f>
        <v>1 - Fix first</v>
      </c>
      <c r="L14" s="24" t="str">
        <f aca="false">IFERROR(INDEX('SKU Data'!$Y$2:$Y$95,MATCH($A14,'SKU Data'!$AC$2:$AC$95,0)),"")</f>
        <v/>
      </c>
    </row>
    <row r="15" customFormat="false" ht="15" hidden="false" customHeight="false" outlineLevel="0" collapsed="false">
      <c r="A15" s="19" t="n">
        <v>5</v>
      </c>
      <c r="B15" s="19" t="str">
        <f aca="false">IFERROR(INDEX('SKU Data'!$A$2:$A$95,MATCH($A15,'SKU Data'!$AC$2:$AC$95,0)),"")</f>
        <v>DCS-01</v>
      </c>
      <c r="C15" s="19" t="str">
        <f aca="false">IFERROR(INDEX('SKU Data'!$B$2:$B$95,MATCH($A15,'SKU Data'!$AC$2:$AC$95,0)),"")</f>
        <v>Designer Sympathy Collection I</v>
      </c>
      <c r="D15" s="19" t="str">
        <f aca="false">IFERROR(INDEX('SKU Data'!$C$2:$C$95,MATCH($A15,'SKU Data'!$AC$2:$AC$95,0)),"")</f>
        <v>Sympathy</v>
      </c>
      <c r="E15" s="20" t="n">
        <f aca="false">IFERROR(INDEX('SKU Data'!$E$2:$E$95,MATCH($A15,'SKU Data'!$AC$2:$AC$95,0)),"")</f>
        <v>47</v>
      </c>
      <c r="F15" s="20" t="n">
        <f aca="false">IFERROR(INDEX('SKU Data'!$J$2:$J$95,MATCH($A15,'SKU Data'!$AC$2:$AC$95,0)),"")</f>
        <v>6</v>
      </c>
      <c r="G15" s="21" t="n">
        <f aca="false">IFERROR(INDEX('SKU Data'!$L$2:$L$95,MATCH($A15,'SKU Data'!$AC$2:$AC$95,0)),"")</f>
        <v>0.127659574468085</v>
      </c>
      <c r="H15" s="28" t="n">
        <f aca="false">IFERROR(G15/Settings!$B$3,"")</f>
        <v>1.91988031914894</v>
      </c>
      <c r="I15" s="29" t="n">
        <f aca="false">IFERROR(INDEX('SKU Data'!$Q$2:$Q$95,MATCH($A15,'SKU Data'!$AC$2:$AC$95,0)),"")</f>
        <v>1.68310497018526</v>
      </c>
      <c r="J15" s="22" t="n">
        <f aca="false">IFERROR(INDEX('SKU Data'!$H$2:$H$95,MATCH($A15,'SKU Data'!$AC$2:$AC$95,0)),"")</f>
        <v>609.82</v>
      </c>
      <c r="K15" s="19" t="str">
        <f aca="false">IFERROR(INDEX('SKU Data'!$X$2:$X$95,MATCH($A15,'SKU Data'!$AC$2:$AC$95,0)),"")</f>
        <v>2 - Review</v>
      </c>
      <c r="L15" s="24" t="str">
        <f aca="false">IFERROR(INDEX('SKU Data'!$Y$2:$Y$95,MATCH($A15,'SKU Data'!$AC$2:$AC$95,0)),"")</f>
        <v/>
      </c>
    </row>
    <row r="16" customFormat="false" ht="15" hidden="false" customHeight="false" outlineLevel="0" collapsed="false">
      <c r="A16" s="19" t="n">
        <v>6</v>
      </c>
      <c r="B16" s="19" t="str">
        <f aca="false">IFERROR(INDEX('SKU Data'!$A$2:$A$95,MATCH($A16,'SKU Data'!$AC$2:$AC$95,0)),"")</f>
        <v>DCA-01-00</v>
      </c>
      <c r="C16" s="19" t="str">
        <f aca="false">IFERROR(INDEX('SKU Data'!$B$2:$B$95,MATCH($A16,'SKU Data'!$AC$2:$AC$95,0)),"")</f>
        <v>Anniversary Designer Collection I</v>
      </c>
      <c r="D16" s="19" t="str">
        <f aca="false">IFERROR(INDEX('SKU Data'!$C$2:$C$95,MATCH($A16,'SKU Data'!$AC$2:$AC$95,0)),"")</f>
        <v>Anniversary</v>
      </c>
      <c r="E16" s="20" t="n">
        <f aca="false">IFERROR(INDEX('SKU Data'!$E$2:$E$95,MATCH($A16,'SKU Data'!$AC$2:$AC$95,0)),"")</f>
        <v>39</v>
      </c>
      <c r="F16" s="20" t="n">
        <f aca="false">IFERROR(INDEX('SKU Data'!$J$2:$J$95,MATCH($A16,'SKU Data'!$AC$2:$AC$95,0)),"")</f>
        <v>5</v>
      </c>
      <c r="G16" s="21" t="n">
        <f aca="false">IFERROR(INDEX('SKU Data'!$L$2:$L$95,MATCH($A16,'SKU Data'!$AC$2:$AC$95,0)),"")</f>
        <v>0.128205128205128</v>
      </c>
      <c r="H16" s="28" t="n">
        <f aca="false">IFERROR(G16/Settings!$B$3,"")</f>
        <v>1.92808493589744</v>
      </c>
      <c r="I16" s="29" t="n">
        <f aca="false">IFERROR(INDEX('SKU Data'!$Q$2:$Q$95,MATCH($A16,'SKU Data'!$AC$2:$AC$95,0)),"")</f>
        <v>1.54685987198501</v>
      </c>
      <c r="J16" s="22" t="n">
        <f aca="false">IFERROR(INDEX('SKU Data'!$H$2:$H$95,MATCH($A16,'SKU Data'!$AC$2:$AC$95,0)),"")</f>
        <v>381.59</v>
      </c>
      <c r="K16" s="19" t="str">
        <f aca="false">IFERROR(INDEX('SKU Data'!$X$2:$X$95,MATCH($A16,'SKU Data'!$AC$2:$AC$95,0)),"")</f>
        <v>2 - Review</v>
      </c>
      <c r="L16" s="24" t="str">
        <f aca="false">IFERROR(INDEX('SKU Data'!$Y$2:$Y$95,MATCH($A16,'SKU Data'!$AC$2:$AC$95,0)),"")</f>
        <v/>
      </c>
    </row>
    <row r="17" customFormat="false" ht="15" hidden="false" customHeight="false" outlineLevel="0" collapsed="false">
      <c r="A17" s="19" t="n">
        <v>7</v>
      </c>
      <c r="B17" s="19" t="str">
        <f aca="false">IFERROR(INDEX('SKU Data'!$A$2:$A$95,MATCH($A17,'SKU Data'!$AC$2:$AC$95,0)),"")</f>
        <v>DCB-01C</v>
      </c>
      <c r="C17" s="19" t="str">
        <f aca="false">IFERROR(INDEX('SKU Data'!$B$2:$B$95,MATCH($A17,'SKU Data'!$AC$2:$AC$95,0)),"")</f>
        <v>Birthday Designer Collection I Combo</v>
      </c>
      <c r="D17" s="19" t="str">
        <f aca="false">IFERROR(INDEX('SKU Data'!$C$2:$C$95,MATCH($A17,'SKU Data'!$AC$2:$AC$95,0)),"")</f>
        <v>Birthday</v>
      </c>
      <c r="E17" s="20" t="n">
        <f aca="false">IFERROR(INDEX('SKU Data'!$E$2:$E$95,MATCH($A17,'SKU Data'!$AC$2:$AC$95,0)),"")</f>
        <v>95</v>
      </c>
      <c r="F17" s="20" t="n">
        <f aca="false">IFERROR(INDEX('SKU Data'!$J$2:$J$95,MATCH($A17,'SKU Data'!$AC$2:$AC$95,0)),"")</f>
        <v>10</v>
      </c>
      <c r="G17" s="21" t="n">
        <f aca="false">IFERROR(INDEX('SKU Data'!$L$2:$L$95,MATCH($A17,'SKU Data'!$AC$2:$AC$95,0)),"")</f>
        <v>0.105263157894737</v>
      </c>
      <c r="H17" s="28" t="n">
        <f aca="false">IFERROR(G17/Settings!$B$3,"")</f>
        <v>1.58305921052632</v>
      </c>
      <c r="I17" s="29" t="n">
        <f aca="false">IFERROR(INDEX('SKU Data'!$Q$2:$Q$95,MATCH($A17,'SKU Data'!$AC$2:$AC$95,0)),"")</f>
        <v>1.51671998462451</v>
      </c>
      <c r="J17" s="22" t="n">
        <f aca="false">IFERROR(INDEX('SKU Data'!$H$2:$H$95,MATCH($A17,'SKU Data'!$AC$2:$AC$95,0)),"")</f>
        <v>957.93</v>
      </c>
      <c r="K17" s="19" t="str">
        <f aca="false">IFERROR(INDEX('SKU Data'!$X$2:$X$95,MATCH($A17,'SKU Data'!$AC$2:$AC$95,0)),"")</f>
        <v>1 - Fix first</v>
      </c>
      <c r="L17" s="24" t="str">
        <f aca="false">IFERROR(INDEX('SKU Data'!$Y$2:$Y$95,MATCH($A17,'SKU Data'!$AC$2:$AC$95,0)),"")</f>
        <v/>
      </c>
    </row>
    <row r="18" customFormat="false" ht="15" hidden="false" customHeight="false" outlineLevel="0" collapsed="false">
      <c r="A18" s="19" t="n">
        <v>8</v>
      </c>
      <c r="B18" s="19" t="str">
        <f aca="false">IFERROR(INDEX('SKU Data'!$A$2:$A$95,MATCH($A18,'SKU Data'!$AC$2:$AC$95,0)),"")</f>
        <v>DCS-02</v>
      </c>
      <c r="C18" s="19" t="str">
        <f aca="false">IFERROR(INDEX('SKU Data'!$B$2:$B$95,MATCH($A18,'SKU Data'!$AC$2:$AC$95,0)),"")</f>
        <v>Designer Sympathy Collection II</v>
      </c>
      <c r="D18" s="19" t="str">
        <f aca="false">IFERROR(INDEX('SKU Data'!$C$2:$C$95,MATCH($A18,'SKU Data'!$AC$2:$AC$95,0)),"")</f>
        <v>Sympathy</v>
      </c>
      <c r="E18" s="20" t="n">
        <f aca="false">IFERROR(INDEX('SKU Data'!$E$2:$E$95,MATCH($A18,'SKU Data'!$AC$2:$AC$95,0)),"")</f>
        <v>79</v>
      </c>
      <c r="F18" s="20" t="n">
        <f aca="false">IFERROR(INDEX('SKU Data'!$J$2:$J$95,MATCH($A18,'SKU Data'!$AC$2:$AC$95,0)),"")</f>
        <v>7</v>
      </c>
      <c r="G18" s="21" t="n">
        <f aca="false">IFERROR(INDEX('SKU Data'!$L$2:$L$95,MATCH($A18,'SKU Data'!$AC$2:$AC$95,0)),"")</f>
        <v>0.0886075949367089</v>
      </c>
      <c r="H18" s="28" t="n">
        <f aca="false">IFERROR(G18/Settings!$B$3,"")</f>
        <v>1.33257515822785</v>
      </c>
      <c r="I18" s="29" t="n">
        <f aca="false">IFERROR(INDEX('SKU Data'!$Q$2:$Q$95,MATCH($A18,'SKU Data'!$AC$2:$AC$95,0)),"")</f>
        <v>0.788922420096286</v>
      </c>
      <c r="J18" s="22" t="n">
        <f aca="false">IFERROR(INDEX('SKU Data'!$H$2:$H$95,MATCH($A18,'SKU Data'!$AC$2:$AC$95,0)),"")</f>
        <v>798.41</v>
      </c>
      <c r="K18" s="19" t="str">
        <f aca="false">IFERROR(INDEX('SKU Data'!$X$2:$X$95,MATCH($A18,'SKU Data'!$AC$2:$AC$95,0)),"")</f>
        <v>1 - Fix first</v>
      </c>
      <c r="L18" s="24" t="str">
        <f aca="false">IFERROR(INDEX('SKU Data'!$Y$2:$Y$95,MATCH($A18,'SKU Data'!$AC$2:$AC$95,0)),"")</f>
        <v/>
      </c>
    </row>
    <row r="19" customFormat="false" ht="15" hidden="false" customHeight="false" outlineLevel="0" collapsed="false">
      <c r="A19" s="19" t="n">
        <v>9</v>
      </c>
      <c r="B19" s="19" t="str">
        <f aca="false">IFERROR(INDEX('SKU Data'!$A$2:$A$95,MATCH($A19,'SKU Data'!$AC$2:$AC$95,0)),"")</f>
        <v>AUDC-02</v>
      </c>
      <c r="C19" s="19" t="str">
        <f aca="false">IFERROR(INDEX('SKU Data'!$B$2:$B$95,MATCH($A19,'SKU Data'!$AC$2:$AC$95,0)),"")</f>
        <v>Designer Collection II</v>
      </c>
      <c r="D19" s="19" t="str">
        <f aca="false">IFERROR(INDEX('SKU Data'!$C$2:$C$95,MATCH($A19,'SKU Data'!$AC$2:$AC$95,0)),"")</f>
        <v>General (Designer Collection)</v>
      </c>
      <c r="E19" s="20" t="n">
        <f aca="false">IFERROR(INDEX('SKU Data'!$E$2:$E$95,MATCH($A19,'SKU Data'!$AC$2:$AC$95,0)),"")</f>
        <v>45</v>
      </c>
      <c r="F19" s="20" t="n">
        <f aca="false">IFERROR(INDEX('SKU Data'!$J$2:$J$95,MATCH($A19,'SKU Data'!$AC$2:$AC$95,0)),"")</f>
        <v>4</v>
      </c>
      <c r="G19" s="21" t="n">
        <f aca="false">IFERROR(INDEX('SKU Data'!$L$2:$L$95,MATCH($A19,'SKU Data'!$AC$2:$AC$95,0)),"")</f>
        <v>0.0888888888888889</v>
      </c>
      <c r="H19" s="28" t="n">
        <f aca="false">IFERROR(G19/Settings!$B$3,"")</f>
        <v>1.33680555555556</v>
      </c>
      <c r="I19" s="29" t="n">
        <f aca="false">IFERROR(INDEX('SKU Data'!$Q$2:$Q$95,MATCH($A19,'SKU Data'!$AC$2:$AC$95,0)),"")</f>
        <v>0.602998802488762</v>
      </c>
      <c r="J19" s="22" t="n">
        <f aca="false">IFERROR(INDEX('SKU Data'!$H$2:$H$95,MATCH($A19,'SKU Data'!$AC$2:$AC$95,0)),"")</f>
        <v>404.36</v>
      </c>
      <c r="K19" s="19" t="str">
        <f aca="false">IFERROR(INDEX('SKU Data'!$X$2:$X$95,MATCH($A19,'SKU Data'!$AC$2:$AC$95,0)),"")</f>
        <v>2 - Review</v>
      </c>
      <c r="L19" s="24" t="str">
        <f aca="false">IFERROR(INDEX('SKU Data'!$Y$2:$Y$95,MATCH($A19,'SKU Data'!$AC$2:$AC$95,0)),"")</f>
        <v/>
      </c>
    </row>
    <row r="20" customFormat="false" ht="15" hidden="false" customHeight="false" outlineLevel="0" collapsed="false">
      <c r="A20" s="19" t="n">
        <v>10</v>
      </c>
      <c r="B20" s="19" t="str">
        <f aca="false">IFERROR(INDEX('SKU Data'!$A$2:$A$95,MATCH($A20,'SKU Data'!$AC$2:$AC$95,0)),"")</f>
        <v>AUDNAT-MJ-02</v>
      </c>
      <c r="C20" s="19" t="str">
        <f aca="false">IFERROR(INDEX('SKU Data'!$B$2:$B$95,MATCH($A20,'SKU Data'!$AC$2:$AC$95,0)),"")</f>
        <v>Native Flowers Mason Jar Florist Selection II</v>
      </c>
      <c r="D20" s="19" t="str">
        <f aca="false">IFERROR(INDEX('SKU Data'!$C$2:$C$95,MATCH($A20,'SKU Data'!$AC$2:$AC$95,0)),"")</f>
        <v>Mason Jar</v>
      </c>
      <c r="E20" s="20" t="n">
        <f aca="false">IFERROR(INDEX('SKU Data'!$E$2:$E$95,MATCH($A20,'SKU Data'!$AC$2:$AC$95,0)),"")</f>
        <v>33</v>
      </c>
      <c r="F20" s="20" t="n">
        <f aca="false">IFERROR(INDEX('SKU Data'!$J$2:$J$95,MATCH($A20,'SKU Data'!$AC$2:$AC$95,0)),"")</f>
        <v>3</v>
      </c>
      <c r="G20" s="21" t="n">
        <f aca="false">IFERROR(INDEX('SKU Data'!$L$2:$L$95,MATCH($A20,'SKU Data'!$AC$2:$AC$95,0)),"")</f>
        <v>0.0909090909090909</v>
      </c>
      <c r="H20" s="28" t="n">
        <f aca="false">IFERROR(G20/Settings!$B$3,"")</f>
        <v>1.3671875</v>
      </c>
      <c r="I20" s="29" t="n">
        <f aca="false">IFERROR(INDEX('SKU Data'!$Q$2:$Q$95,MATCH($A20,'SKU Data'!$AC$2:$AC$95,0)),"")</f>
        <v>0.562957752902105</v>
      </c>
      <c r="J20" s="22" t="n">
        <f aca="false">IFERROR(INDEX('SKU Data'!$H$2:$H$95,MATCH($A20,'SKU Data'!$AC$2:$AC$95,0)),"")</f>
        <v>259.88</v>
      </c>
      <c r="K20" s="19" t="str">
        <f aca="false">IFERROR(INDEX('SKU Data'!$X$2:$X$95,MATCH($A20,'SKU Data'!$AC$2:$AC$95,0)),"")</f>
        <v>2 - Review</v>
      </c>
      <c r="L20" s="24" t="str">
        <f aca="false">IFERROR(INDEX('SKU Data'!$Y$2:$Y$95,MATCH($A20,'SKU Data'!$AC$2:$AC$95,0)),"")</f>
        <v/>
      </c>
    </row>
    <row r="21" customFormat="false" ht="15" hidden="false" customHeight="false" outlineLevel="0" collapsed="false">
      <c r="A21" s="19" t="n">
        <v>11</v>
      </c>
      <c r="B21" s="19" t="str">
        <f aca="false">IFERROR(INDEX('SKU Data'!$A$2:$A$95,MATCH($A21,'SKU Data'!$AC$2:$AC$95,0)),"")</f>
        <v>DC-02A</v>
      </c>
      <c r="C21" s="19" t="str">
        <f aca="false">IFERROR(INDEX('SKU Data'!$B$2:$B$95,MATCH($A21,'SKU Data'!$AC$2:$AC$95,0)),"")</f>
        <v>Designer Collection Anniversary II</v>
      </c>
      <c r="D21" s="19" t="str">
        <f aca="false">IFERROR(INDEX('SKU Data'!$C$2:$C$95,MATCH($A21,'SKU Data'!$AC$2:$AC$95,0)),"")</f>
        <v>Anniversary</v>
      </c>
      <c r="E21" s="20" t="n">
        <f aca="false">IFERROR(INDEX('SKU Data'!$E$2:$E$95,MATCH($A21,'SKU Data'!$AC$2:$AC$95,0)),"")</f>
        <v>59</v>
      </c>
      <c r="F21" s="20" t="n">
        <f aca="false">IFERROR(INDEX('SKU Data'!$J$2:$J$95,MATCH($A21,'SKU Data'!$AC$2:$AC$95,0)),"")</f>
        <v>5</v>
      </c>
      <c r="G21" s="21" t="n">
        <f aca="false">IFERROR(INDEX('SKU Data'!$L$2:$L$95,MATCH($A21,'SKU Data'!$AC$2:$AC$95,0)),"")</f>
        <v>0.0847457627118644</v>
      </c>
      <c r="H21" s="28" t="n">
        <f aca="false">IFERROR(G21/Settings!$B$3,"")</f>
        <v>1.2744968220339</v>
      </c>
      <c r="I21" s="29" t="n">
        <f aca="false">IFERROR(INDEX('SKU Data'!$Q$2:$Q$95,MATCH($A21,'SKU Data'!$AC$2:$AC$95,0)),"")</f>
        <v>0.562722490259731</v>
      </c>
      <c r="J21" s="22" t="n">
        <f aca="false">IFERROR(INDEX('SKU Data'!$H$2:$H$95,MATCH($A21,'SKU Data'!$AC$2:$AC$95,0)),"")</f>
        <v>466.03</v>
      </c>
      <c r="K21" s="19" t="str">
        <f aca="false">IFERROR(INDEX('SKU Data'!$X$2:$X$95,MATCH($A21,'SKU Data'!$AC$2:$AC$95,0)),"")</f>
        <v>2 - Review</v>
      </c>
      <c r="L21" s="24" t="str">
        <f aca="false">IFERROR(INDEX('SKU Data'!$Y$2:$Y$95,MATCH($A21,'SKU Data'!$AC$2:$AC$95,0)),"")</f>
        <v/>
      </c>
    </row>
    <row r="22" customFormat="false" ht="15" hidden="false" customHeight="false" outlineLevel="0" collapsed="false">
      <c r="A22" s="19" t="n">
        <v>12</v>
      </c>
      <c r="B22" s="19" t="str">
        <f aca="false">IFERROR(INDEX('SKU Data'!$A$2:$A$95,MATCH($A22,'SKU Data'!$AC$2:$AC$95,0)),"")</f>
        <v>DC-04B</v>
      </c>
      <c r="C22" s="19" t="str">
        <f aca="false">IFERROR(INDEX('SKU Data'!$B$2:$B$95,MATCH($A22,'SKU Data'!$AC$2:$AC$95,0)),"")</f>
        <v>Birthday Designer Collection IV</v>
      </c>
      <c r="D22" s="19" t="str">
        <f aca="false">IFERROR(INDEX('SKU Data'!$C$2:$C$95,MATCH($A22,'SKU Data'!$AC$2:$AC$95,0)),"")</f>
        <v>Birthday</v>
      </c>
      <c r="E22" s="20" t="n">
        <f aca="false">IFERROR(INDEX('SKU Data'!$E$2:$E$95,MATCH($A22,'SKU Data'!$AC$2:$AC$95,0)),"")</f>
        <v>35</v>
      </c>
      <c r="F22" s="20" t="n">
        <f aca="false">IFERROR(INDEX('SKU Data'!$J$2:$J$95,MATCH($A22,'SKU Data'!$AC$2:$AC$95,0)),"")</f>
        <v>3</v>
      </c>
      <c r="G22" s="21" t="n">
        <f aca="false">IFERROR(INDEX('SKU Data'!$L$2:$L$95,MATCH($A22,'SKU Data'!$AC$2:$AC$95,0)),"")</f>
        <v>0.0857142857142857</v>
      </c>
      <c r="H22" s="28" t="n">
        <f aca="false">IFERROR(G22/Settings!$B$3,"")</f>
        <v>1.2890625</v>
      </c>
      <c r="I22" s="29" t="n">
        <f aca="false">IFERROR(INDEX('SKU Data'!$Q$2:$Q$95,MATCH($A22,'SKU Data'!$AC$2:$AC$95,0)),"")</f>
        <v>0.45641165159873</v>
      </c>
      <c r="J22" s="22" t="n">
        <f aca="false">IFERROR(INDEX('SKU Data'!$H$2:$H$95,MATCH($A22,'SKU Data'!$AC$2:$AC$95,0)),"")</f>
        <v>374.66</v>
      </c>
      <c r="K22" s="19" t="str">
        <f aca="false">IFERROR(INDEX('SKU Data'!$X$2:$X$95,MATCH($A22,'SKU Data'!$AC$2:$AC$95,0)),"")</f>
        <v>2 - Review</v>
      </c>
      <c r="L22" s="24" t="str">
        <f aca="false">IFERROR(INDEX('SKU Data'!$Y$2:$Y$95,MATCH($A22,'SKU Data'!$AC$2:$AC$95,0)),"")</f>
        <v/>
      </c>
    </row>
    <row r="23" customFormat="false" ht="15" hidden="false" customHeight="false" outlineLevel="0" collapsed="false">
      <c r="A23" s="19" t="n">
        <v>13</v>
      </c>
      <c r="B23" s="19" t="str">
        <f aca="false">IFERROR(INDEX('SKU Data'!$A$2:$A$95,MATCH($A23,'SKU Data'!$AC$2:$AC$95,0)),"")</f>
        <v>DC-02S</v>
      </c>
      <c r="C23" s="19" t="str">
        <f aca="false">IFERROR(INDEX('SKU Data'!$B$2:$B$95,MATCH($A23,'SKU Data'!$AC$2:$AC$95,0)),"")</f>
        <v>Designer Sympathy Collection II</v>
      </c>
      <c r="D23" s="19" t="str">
        <f aca="false">IFERROR(INDEX('SKU Data'!$C$2:$C$95,MATCH($A23,'SKU Data'!$AC$2:$AC$95,0)),"")</f>
        <v>Sympathy</v>
      </c>
      <c r="E23" s="20" t="n">
        <f aca="false">IFERROR(INDEX('SKU Data'!$E$2:$E$95,MATCH($A23,'SKU Data'!$AC$2:$AC$95,0)),"")</f>
        <v>849</v>
      </c>
      <c r="F23" s="20" t="n">
        <f aca="false">IFERROR(INDEX('SKU Data'!$J$2:$J$95,MATCH($A23,'SKU Data'!$AC$2:$AC$95,0)),"")</f>
        <v>59</v>
      </c>
      <c r="G23" s="21" t="n">
        <f aca="false">IFERROR(INDEX('SKU Data'!$L$2:$L$95,MATCH($A23,'SKU Data'!$AC$2:$AC$95,0)),"")</f>
        <v>0.0694935217903416</v>
      </c>
      <c r="H23" s="28" t="n">
        <f aca="false">IFERROR(G23/Settings!$B$3,"")</f>
        <v>1.04511741755006</v>
      </c>
      <c r="I23" s="29" t="n">
        <f aca="false">IFERROR(INDEX('SKU Data'!$Q$2:$Q$95,MATCH($A23,'SKU Data'!$AC$2:$AC$95,0)),"")</f>
        <v>0.350856094467529</v>
      </c>
      <c r="J23" s="22" t="n">
        <f aca="false">IFERROR(INDEX('SKU Data'!$H$2:$H$95,MATCH($A23,'SKU Data'!$AC$2:$AC$95,0)),"")</f>
        <v>6122.41</v>
      </c>
      <c r="K23" s="19" t="str">
        <f aca="false">IFERROR(INDEX('SKU Data'!$X$2:$X$95,MATCH($A23,'SKU Data'!$AC$2:$AC$95,0)),"")</f>
        <v>1 - Fix first</v>
      </c>
      <c r="L23" s="24" t="str">
        <f aca="false">IFERROR(INDEX('SKU Data'!$Y$2:$Y$95,MATCH($A23,'SKU Data'!$AC$2:$AC$95,0)),"")</f>
        <v/>
      </c>
    </row>
    <row r="24" customFormat="false" ht="15" hidden="false" customHeight="false" outlineLevel="0" collapsed="false">
      <c r="A24" s="19" t="n">
        <v>14</v>
      </c>
      <c r="B24" s="19" t="str">
        <f aca="false">IFERROR(INDEX('SKU Data'!$A$2:$A$95,MATCH($A24,'SKU Data'!$AC$2:$AC$95,0)),"")</f>
        <v>AUDNAT-03</v>
      </c>
      <c r="C24" s="19" t="str">
        <f aca="false">IFERROR(INDEX('SKU Data'!$B$2:$B$95,MATCH($A24,'SKU Data'!$AC$2:$AC$95,0)),"")</f>
        <v>Native Flowers Bouquet Designer Collection III</v>
      </c>
      <c r="D24" s="19" t="str">
        <f aca="false">IFERROR(INDEX('SKU Data'!$C$2:$C$95,MATCH($A24,'SKU Data'!$AC$2:$AC$95,0)),"")</f>
        <v>Native Flowers</v>
      </c>
      <c r="E24" s="20" t="n">
        <f aca="false">IFERROR(INDEX('SKU Data'!$E$2:$E$95,MATCH($A24,'SKU Data'!$AC$2:$AC$95,0)),"")</f>
        <v>353</v>
      </c>
      <c r="F24" s="20" t="n">
        <f aca="false">IFERROR(INDEX('SKU Data'!$J$2:$J$95,MATCH($A24,'SKU Data'!$AC$2:$AC$95,0)),"")</f>
        <v>25</v>
      </c>
      <c r="G24" s="21" t="n">
        <f aca="false">IFERROR(INDEX('SKU Data'!$L$2:$L$95,MATCH($A24,'SKU Data'!$AC$2:$AC$95,0)),"")</f>
        <v>0.0708215297450425</v>
      </c>
      <c r="H24" s="28" t="n">
        <f aca="false">IFERROR(G24/Settings!$B$3,"")</f>
        <v>1.0650894121813</v>
      </c>
      <c r="I24" s="29" t="n">
        <f aca="false">IFERROR(INDEX('SKU Data'!$Q$2:$Q$95,MATCH($A24,'SKU Data'!$AC$2:$AC$95,0)),"")</f>
        <v>0.326383840540986</v>
      </c>
      <c r="J24" s="22" t="n">
        <f aca="false">IFERROR(INDEX('SKU Data'!$H$2:$H$95,MATCH($A24,'SKU Data'!$AC$2:$AC$95,0)),"")</f>
        <v>4128.81</v>
      </c>
      <c r="K24" s="19" t="str">
        <f aca="false">IFERROR(INDEX('SKU Data'!$X$2:$X$95,MATCH($A24,'SKU Data'!$AC$2:$AC$95,0)),"")</f>
        <v>1 - Fix first</v>
      </c>
      <c r="L24" s="24" t="str">
        <f aca="false">IFERROR(INDEX('SKU Data'!$Y$2:$Y$95,MATCH($A24,'SKU Data'!$AC$2:$AC$95,0)),"")</f>
        <v/>
      </c>
    </row>
    <row r="25" customFormat="false" ht="15" hidden="false" customHeight="false" outlineLevel="0" collapsed="false">
      <c r="A25" s="19" t="n">
        <v>15</v>
      </c>
      <c r="B25" s="19" t="str">
        <f aca="false">IFERROR(INDEX('SKU Data'!$A$2:$A$95,MATCH($A25,'SKU Data'!$AC$2:$AC$95,0)),"")</f>
        <v>DCMJ-03A</v>
      </c>
      <c r="C25" s="19" t="str">
        <f aca="false">IFERROR(INDEX('SKU Data'!$B$2:$B$95,MATCH($A25,'SKU Data'!$AC$2:$AC$95,0)),"")</f>
        <v>Designer Collection Mason Jar III</v>
      </c>
      <c r="D25" s="19" t="str">
        <f aca="false">IFERROR(INDEX('SKU Data'!$C$2:$C$95,MATCH($A25,'SKU Data'!$AC$2:$AC$95,0)),"")</f>
        <v>Mason Jar</v>
      </c>
      <c r="E25" s="20" t="n">
        <f aca="false">IFERROR(INDEX('SKU Data'!$E$2:$E$95,MATCH($A25,'SKU Data'!$AC$2:$AC$95,0)),"")</f>
        <v>108</v>
      </c>
      <c r="F25" s="20" t="n">
        <f aca="false">IFERROR(INDEX('SKU Data'!$J$2:$J$95,MATCH($A25,'SKU Data'!$AC$2:$AC$95,0)),"")</f>
        <v>8</v>
      </c>
      <c r="G25" s="21" t="n">
        <f aca="false">IFERROR(INDEX('SKU Data'!$L$2:$L$95,MATCH($A25,'SKU Data'!$AC$2:$AC$95,0)),"")</f>
        <v>0.0740740740740741</v>
      </c>
      <c r="H25" s="28" t="n">
        <f aca="false">IFERROR(G25/Settings!$B$3,"")</f>
        <v>1.11400462962963</v>
      </c>
      <c r="I25" s="29" t="n">
        <f aca="false">IFERROR(INDEX('SKU Data'!$Q$2:$Q$95,MATCH($A25,'SKU Data'!$AC$2:$AC$95,0)),"")</f>
        <v>0.316202509281741</v>
      </c>
      <c r="J25" s="22" t="n">
        <f aca="false">IFERROR(INDEX('SKU Data'!$H$2:$H$95,MATCH($A25,'SKU Data'!$AC$2:$AC$95,0)),"")</f>
        <v>762.09</v>
      </c>
      <c r="K25" s="19" t="str">
        <f aca="false">IFERROR(INDEX('SKU Data'!$X$2:$X$95,MATCH($A25,'SKU Data'!$AC$2:$AC$95,0)),"")</f>
        <v>2 - Review</v>
      </c>
      <c r="L25" s="24" t="str">
        <f aca="false">IFERROR(INDEX('SKU Data'!$Y$2:$Y$95,MATCH($A25,'SKU Data'!$AC$2:$AC$95,0)),"")</f>
        <v/>
      </c>
    </row>
    <row r="26" customFormat="false" ht="15" hidden="false" customHeight="false" outlineLevel="0" collapsed="false">
      <c r="A26" s="38" t="s">
        <v>139</v>
      </c>
      <c r="E26" s="38" t="n">
        <f aca="false">COUNTIF('SKU Data'!$Y$2:$Y$95,"HIGH RATE")</f>
        <v>1</v>
      </c>
    </row>
    <row r="28" customFormat="false" ht="21.75" hidden="false" customHeight="true" outlineLevel="0" collapsed="false">
      <c r="A28" s="14" t="s">
        <v>140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customFormat="false" ht="33.75" hidden="false" customHeight="true" outlineLevel="0" collapsed="false">
      <c r="A29" s="18" t="s">
        <v>81</v>
      </c>
      <c r="B29" s="18" t="s">
        <v>16</v>
      </c>
      <c r="C29" s="18" t="s">
        <v>17</v>
      </c>
      <c r="D29" s="18" t="s">
        <v>18</v>
      </c>
      <c r="E29" s="18" t="s">
        <v>136</v>
      </c>
      <c r="F29" s="18" t="s">
        <v>20</v>
      </c>
      <c r="G29" s="18" t="s">
        <v>137</v>
      </c>
      <c r="H29" s="18"/>
      <c r="I29" s="18"/>
      <c r="J29" s="18" t="s">
        <v>22</v>
      </c>
      <c r="K29" s="18" t="s">
        <v>24</v>
      </c>
      <c r="L29" s="18"/>
    </row>
    <row r="30" customFormat="false" ht="15" hidden="false" customHeight="false" outlineLevel="0" collapsed="false">
      <c r="A30" s="19" t="n">
        <v>1</v>
      </c>
      <c r="B30" s="19" t="s">
        <v>141</v>
      </c>
      <c r="C30" s="19" t="str">
        <f aca="false">IFERROR(INDEX('SKU Data'!$B$2:$B$95,MATCH($B30,'SKU Data'!$A$2:$A$95,0)),"")</f>
        <v>Birthday Designer Collection III</v>
      </c>
      <c r="D30" s="19" t="str">
        <f aca="false">IFERROR(INDEX('SKU Data'!$C$2:$C$95,MATCH($B30,'SKU Data'!$A$2:$A$95,0)),"")</f>
        <v>Birthday</v>
      </c>
      <c r="E30" s="20" t="n">
        <f aca="false">IFERROR(INDEX('SKU Data'!$E$2:$E$95,MATCH($B30,'SKU Data'!$A$2:$A$95,0)),"")</f>
        <v>22</v>
      </c>
      <c r="F30" s="20" t="n">
        <f aca="false">IFERROR(INDEX('SKU Data'!$J$2:$J$95,MATCH($B30,'SKU Data'!$A$2:$A$95,0)),"")</f>
        <v>4</v>
      </c>
      <c r="G30" s="21" t="n">
        <f aca="false">IFERROR(INDEX('SKU Data'!$L$2:$L$95,MATCH($B30,'SKU Data'!$A$2:$A$95,0)),"")</f>
        <v>0.181818181818182</v>
      </c>
      <c r="H30" s="19"/>
      <c r="I30" s="19"/>
      <c r="J30" s="22" t="n">
        <f aca="false">IFERROR(INDEX('SKU Data'!$H$2:$H$95,MATCH($B30,'SKU Data'!$A$2:$A$95,0)),"")</f>
        <v>619.12</v>
      </c>
      <c r="K30" s="19" t="str">
        <f aca="false">IFERROR(INDEX('SKU Data'!$X$2:$X$95,MATCH($B30,'SKU Data'!$A$2:$A$95,0)),"")</f>
        <v>3 - Monitor</v>
      </c>
      <c r="L30" s="19"/>
    </row>
    <row r="31" customFormat="false" ht="15" hidden="false" customHeight="false" outlineLevel="0" collapsed="false">
      <c r="A31" s="19" t="n">
        <v>2</v>
      </c>
      <c r="B31" s="19" t="s">
        <v>142</v>
      </c>
      <c r="C31" s="19" t="str">
        <f aca="false">IFERROR(INDEX('SKU Data'!$B$2:$B$95,MATCH($B31,'SKU Data'!$A$2:$A$95,0)),"")</f>
        <v>Mothers Day Designers Collection I</v>
      </c>
      <c r="D31" s="19" t="str">
        <f aca="false">IFERROR(INDEX('SKU Data'!$C$2:$C$95,MATCH($B31,'SKU Data'!$A$2:$A$95,0)),"")</f>
        <v>Mother's Day</v>
      </c>
      <c r="E31" s="20" t="n">
        <f aca="false">IFERROR(INDEX('SKU Data'!$E$2:$E$95,MATCH($B31,'SKU Data'!$A$2:$A$95,0)),"")</f>
        <v>11</v>
      </c>
      <c r="F31" s="20" t="n">
        <f aca="false">IFERROR(INDEX('SKU Data'!$J$2:$J$95,MATCH($B31,'SKU Data'!$A$2:$A$95,0)),"")</f>
        <v>2</v>
      </c>
      <c r="G31" s="21" t="n">
        <f aca="false">IFERROR(INDEX('SKU Data'!$L$2:$L$95,MATCH($B31,'SKU Data'!$A$2:$A$95,0)),"")</f>
        <v>0.181818181818182</v>
      </c>
      <c r="H31" s="19"/>
      <c r="I31" s="19"/>
      <c r="J31" s="22" t="n">
        <f aca="false">IFERROR(INDEX('SKU Data'!$H$2:$H$95,MATCH($B31,'SKU Data'!$A$2:$A$95,0)),"")</f>
        <v>199.67</v>
      </c>
      <c r="K31" s="19" t="str">
        <f aca="false">IFERROR(INDEX('SKU Data'!$X$2:$X$95,MATCH($B31,'SKU Data'!$A$2:$A$95,0)),"")</f>
        <v>3 - Monitor</v>
      </c>
      <c r="L31" s="19"/>
    </row>
    <row r="32" customFormat="false" ht="15" hidden="false" customHeight="false" outlineLevel="0" collapsed="false">
      <c r="A32" s="19" t="n">
        <v>3</v>
      </c>
      <c r="B32" s="19" t="s">
        <v>143</v>
      </c>
      <c r="C32" s="19" t="str">
        <f aca="false">IFERROR(INDEX('SKU Data'!$B$2:$B$95,MATCH($B32,'SKU Data'!$A$2:$A$95,0)),"")</f>
        <v>Native Flowers Mason Jar Florist Selection III</v>
      </c>
      <c r="D32" s="19" t="str">
        <f aca="false">IFERROR(INDEX('SKU Data'!$C$2:$C$95,MATCH($B32,'SKU Data'!$A$2:$A$95,0)),"")</f>
        <v>Mason Jar</v>
      </c>
      <c r="E32" s="20" t="n">
        <f aca="false">IFERROR(INDEX('SKU Data'!$E$2:$E$95,MATCH($B32,'SKU Data'!$A$2:$A$95,0)),"")</f>
        <v>16</v>
      </c>
      <c r="F32" s="20" t="n">
        <f aca="false">IFERROR(INDEX('SKU Data'!$J$2:$J$95,MATCH($B32,'SKU Data'!$A$2:$A$95,0)),"")</f>
        <v>2</v>
      </c>
      <c r="G32" s="21" t="n">
        <f aca="false">IFERROR(INDEX('SKU Data'!$L$2:$L$95,MATCH($B32,'SKU Data'!$A$2:$A$95,0)),"")</f>
        <v>0.125</v>
      </c>
      <c r="H32" s="19"/>
      <c r="I32" s="19"/>
      <c r="J32" s="22" t="n">
        <f aca="false">IFERROR(INDEX('SKU Data'!$H$2:$H$95,MATCH($B32,'SKU Data'!$A$2:$A$95,0)),"")</f>
        <v>225.16</v>
      </c>
      <c r="K32" s="19" t="str">
        <f aca="false">IFERROR(INDEX('SKU Data'!$X$2:$X$95,MATCH($B32,'SKU Data'!$A$2:$A$95,0)),"")</f>
        <v>3 - Monitor</v>
      </c>
      <c r="L32" s="19"/>
    </row>
    <row r="33" customFormat="false" ht="15" hidden="false" customHeight="false" outlineLevel="0" collapsed="false">
      <c r="A33" s="19" t="n">
        <v>4</v>
      </c>
      <c r="B33" s="19" t="s">
        <v>144</v>
      </c>
      <c r="C33" s="19" t="str">
        <f aca="false">IFERROR(INDEX('SKU Data'!$B$2:$B$95,MATCH($B33,'SKU Data'!$A$2:$A$95,0)),"")</f>
        <v>Designer Collection Anniversary III</v>
      </c>
      <c r="D33" s="19" t="str">
        <f aca="false">IFERROR(INDEX('SKU Data'!$C$2:$C$95,MATCH($B33,'SKU Data'!$A$2:$A$95,0)),"")</f>
        <v>Anniversary</v>
      </c>
      <c r="E33" s="20" t="n">
        <f aca="false">IFERROR(INDEX('SKU Data'!$E$2:$E$95,MATCH($B33,'SKU Data'!$A$2:$A$95,0)),"")</f>
        <v>18</v>
      </c>
      <c r="F33" s="20" t="n">
        <f aca="false">IFERROR(INDEX('SKU Data'!$J$2:$J$95,MATCH($B33,'SKU Data'!$A$2:$A$95,0)),"")</f>
        <v>2</v>
      </c>
      <c r="G33" s="21" t="n">
        <f aca="false">IFERROR(INDEX('SKU Data'!$L$2:$L$95,MATCH($B33,'SKU Data'!$A$2:$A$95,0)),"")</f>
        <v>0.111111111111111</v>
      </c>
      <c r="H33" s="19"/>
      <c r="I33" s="19"/>
      <c r="J33" s="22" t="n">
        <f aca="false">IFERROR(INDEX('SKU Data'!$H$2:$H$95,MATCH($B33,'SKU Data'!$A$2:$A$95,0)),"")</f>
        <v>237.19</v>
      </c>
      <c r="K33" s="19" t="str">
        <f aca="false">IFERROR(INDEX('SKU Data'!$X$2:$X$95,MATCH($B33,'SKU Data'!$A$2:$A$95,0)),"")</f>
        <v>3 - Monitor</v>
      </c>
      <c r="L33" s="19"/>
    </row>
    <row r="34" customFormat="false" ht="15" hidden="false" customHeight="false" outlineLevel="0" collapsed="false">
      <c r="A34" s="19" t="n">
        <v>5</v>
      </c>
      <c r="B34" s="19" t="s">
        <v>145</v>
      </c>
      <c r="C34" s="19" t="str">
        <f aca="false">IFERROR(INDEX('SKU Data'!$B$2:$B$95,MATCH($B34,'SKU Data'!$A$2:$A$95,0)),"")</f>
        <v>Designer Collection IV</v>
      </c>
      <c r="D34" s="19" t="str">
        <f aca="false">IFERROR(INDEX('SKU Data'!$C$2:$C$95,MATCH($B34,'SKU Data'!$A$2:$A$95,0)),"")</f>
        <v>General (Designer Collection)</v>
      </c>
      <c r="E34" s="20" t="n">
        <f aca="false">IFERROR(INDEX('SKU Data'!$E$2:$E$95,MATCH($B34,'SKU Data'!$A$2:$A$95,0)),"")</f>
        <v>22</v>
      </c>
      <c r="F34" s="20" t="n">
        <f aca="false">IFERROR(INDEX('SKU Data'!$J$2:$J$95,MATCH($B34,'SKU Data'!$A$2:$A$95,0)),"")</f>
        <v>2</v>
      </c>
      <c r="G34" s="21" t="n">
        <f aca="false">IFERROR(INDEX('SKU Data'!$L$2:$L$95,MATCH($B34,'SKU Data'!$A$2:$A$95,0)),"")</f>
        <v>0.0909090909090909</v>
      </c>
      <c r="H34" s="19"/>
      <c r="I34" s="19"/>
      <c r="J34" s="22" t="n">
        <f aca="false">IFERROR(INDEX('SKU Data'!$H$2:$H$95,MATCH($B34,'SKU Data'!$A$2:$A$95,0)),"")</f>
        <v>427.37</v>
      </c>
      <c r="K34" s="19" t="str">
        <f aca="false">IFERROR(INDEX('SKU Data'!$X$2:$X$95,MATCH($B34,'SKU Data'!$A$2:$A$95,0)),"")</f>
        <v>3 - Monitor</v>
      </c>
      <c r="L34" s="19"/>
    </row>
    <row r="35" customFormat="false" ht="15" hidden="false" customHeight="false" outlineLevel="0" collapsed="false">
      <c r="A35" s="19" t="n">
        <v>6</v>
      </c>
      <c r="B35" s="19" t="s">
        <v>146</v>
      </c>
      <c r="C35" s="19" t="str">
        <f aca="false">IFERROR(INDEX('SKU Data'!$B$2:$B$95,MATCH($B35,'SKU Data'!$A$2:$A$95,0)),"")</f>
        <v>Anniversary Designer Collection III</v>
      </c>
      <c r="D35" s="19" t="str">
        <f aca="false">IFERROR(INDEX('SKU Data'!$C$2:$C$95,MATCH($B35,'SKU Data'!$A$2:$A$95,0)),"")</f>
        <v>Anniversary</v>
      </c>
      <c r="E35" s="20" t="n">
        <f aca="false">IFERROR(INDEX('SKU Data'!$E$2:$E$95,MATCH($B35,'SKU Data'!$A$2:$A$95,0)),"")</f>
        <v>27</v>
      </c>
      <c r="F35" s="20" t="n">
        <f aca="false">IFERROR(INDEX('SKU Data'!$J$2:$J$95,MATCH($B35,'SKU Data'!$A$2:$A$95,0)),"")</f>
        <v>2</v>
      </c>
      <c r="G35" s="21" t="n">
        <f aca="false">IFERROR(INDEX('SKU Data'!$L$2:$L$95,MATCH($B35,'SKU Data'!$A$2:$A$95,0)),"")</f>
        <v>0.0740740740740741</v>
      </c>
      <c r="H35" s="19"/>
      <c r="I35" s="19"/>
      <c r="J35" s="22" t="n">
        <f aca="false">IFERROR(INDEX('SKU Data'!$H$2:$H$95,MATCH($B35,'SKU Data'!$A$2:$A$95,0)),"")</f>
        <v>228.1</v>
      </c>
      <c r="K35" s="19" t="str">
        <f aca="false">IFERROR(INDEX('SKU Data'!$X$2:$X$95,MATCH($B35,'SKU Data'!$A$2:$A$95,0)),"")</f>
        <v>3 - Monitor</v>
      </c>
      <c r="L35" s="19"/>
    </row>
    <row r="37" customFormat="false" ht="21.75" hidden="false" customHeight="true" outlineLevel="0" collapsed="false">
      <c r="A37" s="14" t="s">
        <v>147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customFormat="false" ht="30" hidden="false" customHeight="true" outlineLevel="0" collapsed="false">
      <c r="A38" s="18"/>
      <c r="B38" s="18" t="s">
        <v>148</v>
      </c>
      <c r="C38" s="18"/>
      <c r="D38" s="18" t="s">
        <v>149</v>
      </c>
      <c r="E38" s="18" t="s">
        <v>150</v>
      </c>
      <c r="F38" s="18" t="s">
        <v>151</v>
      </c>
      <c r="G38" s="18" t="s">
        <v>150</v>
      </c>
      <c r="H38" s="18" t="s">
        <v>152</v>
      </c>
      <c r="I38" s="18" t="s">
        <v>150</v>
      </c>
      <c r="J38" s="18"/>
      <c r="K38" s="18"/>
      <c r="L38" s="18"/>
    </row>
    <row r="39" customFormat="false" ht="15" hidden="false" customHeight="false" outlineLevel="0" collapsed="false">
      <c r="A39" s="19"/>
      <c r="B39" s="19" t="s">
        <v>153</v>
      </c>
      <c r="C39" s="19"/>
      <c r="D39" s="19" t="s">
        <v>154</v>
      </c>
      <c r="E39" s="21" t="n">
        <f aca="false">IFERROR(IF(INDEX('SKU Data'!$E$2:$E$95,MATCH(D39,'SKU Data'!$A$2:$A$95,0))&lt;Settings!$B$4,"n/a (&lt;"&amp;Settings!$B$4&amp;" units)",INDEX('SKU Data'!$L$2:$L$95,MATCH(D39,'SKU Data'!$A$2:$A$95,0))),"n/a")</f>
        <v>0.0481444332998997</v>
      </c>
      <c r="F39" s="19" t="s">
        <v>155</v>
      </c>
      <c r="G39" s="21" t="n">
        <f aca="false">IFERROR(IF(INDEX('SKU Data'!$E$2:$E$95,MATCH(F39,'SKU Data'!$A$2:$A$95,0))&lt;Settings!$B$4,"n/a (&lt;"&amp;Settings!$B$4&amp;" units)",INDEX('SKU Data'!$L$2:$L$95,MATCH(F39,'SKU Data'!$A$2:$A$95,0))),"n/a")</f>
        <v>0.0635208711433757</v>
      </c>
      <c r="H39" s="19" t="s">
        <v>156</v>
      </c>
      <c r="I39" s="21" t="n">
        <f aca="false">IFERROR(IF(INDEX('SKU Data'!$E$2:$E$95,MATCH(H39,'SKU Data'!$A$2:$A$95,0))&lt;Settings!$B$4,"n/a (&lt;"&amp;Settings!$B$4&amp;" units)",INDEX('SKU Data'!$L$2:$L$95,MATCH(H39,'SKU Data'!$A$2:$A$95,0))),"n/a")</f>
        <v>0.0506329113924051</v>
      </c>
    </row>
    <row r="40" customFormat="false" ht="15" hidden="false" customHeight="false" outlineLevel="0" collapsed="false">
      <c r="A40" s="19"/>
      <c r="B40" s="19" t="s">
        <v>157</v>
      </c>
      <c r="C40" s="19"/>
      <c r="D40" s="19" t="s">
        <v>158</v>
      </c>
      <c r="E40" s="21" t="n">
        <f aca="false">IFERROR(IF(INDEX('SKU Data'!$E$2:$E$95,MATCH(D40,'SKU Data'!$A$2:$A$95,0))&lt;Settings!$B$4,"n/a (&lt;"&amp;Settings!$B$4&amp;" units)",INDEX('SKU Data'!$L$2:$L$95,MATCH(D40,'SKU Data'!$A$2:$A$95,0))),"n/a")</f>
        <v>0.0694935217903416</v>
      </c>
      <c r="F40" s="19" t="s">
        <v>159</v>
      </c>
      <c r="G40" s="21" t="n">
        <f aca="false">IFERROR(IF(INDEX('SKU Data'!$E$2:$E$95,MATCH(F40,'SKU Data'!$A$2:$A$95,0))&lt;Settings!$B$4,"n/a (&lt;"&amp;Settings!$B$4&amp;" units)",INDEX('SKU Data'!$L$2:$L$95,MATCH(F40,'SKU Data'!$A$2:$A$95,0))),"n/a")</f>
        <v>0.112107623318386</v>
      </c>
      <c r="H40" s="19" t="s">
        <v>160</v>
      </c>
      <c r="I40" s="21" t="n">
        <f aca="false">IFERROR(IF(INDEX('SKU Data'!$E$2:$E$95,MATCH(H40,'SKU Data'!$A$2:$A$95,0))&lt;Settings!$B$4,"n/a (&lt;"&amp;Settings!$B$4&amp;" units)",INDEX('SKU Data'!$L$2:$L$95,MATCH(H40,'SKU Data'!$A$2:$A$95,0))),"n/a")</f>
        <v>0.0847457627118644</v>
      </c>
    </row>
    <row r="41" customFormat="false" ht="15" hidden="false" customHeight="false" outlineLevel="0" collapsed="false">
      <c r="A41" s="19"/>
      <c r="B41" s="19" t="s">
        <v>161</v>
      </c>
      <c r="C41" s="19"/>
      <c r="D41" s="19" t="s">
        <v>162</v>
      </c>
      <c r="E41" s="21" t="n">
        <f aca="false">IFERROR(IF(INDEX('SKU Data'!$E$2:$E$95,MATCH(D41,'SKU Data'!$A$2:$A$95,0))&lt;Settings!$B$4,"n/a (&lt;"&amp;Settings!$B$4&amp;" units)",INDEX('SKU Data'!$L$2:$L$95,MATCH(D41,'SKU Data'!$A$2:$A$95,0))),"n/a")</f>
        <v>0.0528233151183971</v>
      </c>
      <c r="F41" s="19" t="s">
        <v>163</v>
      </c>
      <c r="G41" s="21" t="n">
        <f aca="false">IFERROR(IF(INDEX('SKU Data'!$E$2:$E$95,MATCH(F41,'SKU Data'!$A$2:$A$95,0))&lt;Settings!$B$4,"n/a (&lt;"&amp;Settings!$B$4&amp;" units)",INDEX('SKU Data'!$L$2:$L$95,MATCH(F41,'SKU Data'!$A$2:$A$95,0))),"n/a")</f>
        <v>0.0434782608695652</v>
      </c>
      <c r="H41" s="19" t="s">
        <v>144</v>
      </c>
      <c r="I41" s="21" t="str">
        <f aca="false">IFERROR(IF(INDEX('SKU Data'!$E$2:$E$95,MATCH(H41,'SKU Data'!$A$2:$A$95,0))&lt;Settings!$B$4,"n/a (&lt;"&amp;Settings!$B$4&amp;" units)",INDEX('SKU Data'!$L$2:$L$95,MATCH(H41,'SKU Data'!$A$2:$A$95,0))),"n/a")</f>
        <v>n/a (&lt;30 units)</v>
      </c>
    </row>
    <row r="42" customFormat="false" ht="15" hidden="false" customHeight="false" outlineLevel="0" collapsed="false">
      <c r="A42" s="19"/>
      <c r="B42" s="19" t="s">
        <v>164</v>
      </c>
      <c r="C42" s="19"/>
      <c r="D42" s="19" t="s">
        <v>165</v>
      </c>
      <c r="E42" s="21" t="n">
        <f aca="false">IFERROR(IF(INDEX('SKU Data'!$E$2:$E$95,MATCH(D42,'SKU Data'!$A$2:$A$95,0))&lt;Settings!$B$4,"n/a (&lt;"&amp;Settings!$B$4&amp;" units)",INDEX('SKU Data'!$L$2:$L$95,MATCH(D42,'SKU Data'!$A$2:$A$95,0))),"n/a")</f>
        <v>0.0570469798657718</v>
      </c>
      <c r="F42" s="19" t="s">
        <v>166</v>
      </c>
      <c r="G42" s="21" t="n">
        <f aca="false">IFERROR(IF(INDEX('SKU Data'!$E$2:$E$95,MATCH(F42,'SKU Data'!$A$2:$A$95,0))&lt;Settings!$B$4,"n/a (&lt;"&amp;Settings!$B$4&amp;" units)",INDEX('SKU Data'!$L$2:$L$95,MATCH(F42,'SKU Data'!$A$2:$A$95,0))),"n/a")</f>
        <v>0.0857142857142857</v>
      </c>
      <c r="H42" s="19" t="s">
        <v>167</v>
      </c>
      <c r="I42" s="21" t="str">
        <f aca="false">IFERROR(IF(INDEX('SKU Data'!$E$2:$E$95,MATCH(H42,'SKU Data'!$A$2:$A$95,0))&lt;Settings!$B$4,"n/a (&lt;"&amp;Settings!$B$4&amp;" units)",INDEX('SKU Data'!$L$2:$L$95,MATCH(H42,'SKU Data'!$A$2:$A$95,0))),"n/a")</f>
        <v>n/a</v>
      </c>
    </row>
    <row r="44" customFormat="false" ht="21.75" hidden="false" customHeight="true" outlineLevel="0" collapsed="false">
      <c r="A44" s="36" t="s">
        <v>168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customFormat="false" ht="39.75" hidden="false" customHeight="true" outlineLevel="0" collapsed="false">
      <c r="A45" s="18" t="s">
        <v>81</v>
      </c>
      <c r="B45" s="18" t="s">
        <v>16</v>
      </c>
      <c r="C45" s="18" t="s">
        <v>17</v>
      </c>
      <c r="D45" s="18" t="s">
        <v>18</v>
      </c>
      <c r="E45" s="18" t="s">
        <v>106</v>
      </c>
      <c r="F45" s="18" t="s">
        <v>169</v>
      </c>
      <c r="G45" s="18" t="s">
        <v>170</v>
      </c>
      <c r="H45" s="18" t="s">
        <v>171</v>
      </c>
      <c r="I45" s="18" t="s">
        <v>172</v>
      </c>
      <c r="J45" s="18" t="s">
        <v>138</v>
      </c>
      <c r="K45" s="18" t="s">
        <v>173</v>
      </c>
      <c r="L45" s="18"/>
    </row>
    <row r="46" customFormat="false" ht="15" hidden="false" customHeight="false" outlineLevel="0" collapsed="false">
      <c r="A46" s="25" t="s">
        <v>174</v>
      </c>
    </row>
    <row r="48" customFormat="false" ht="21.75" hidden="false" customHeight="true" outlineLevel="0" collapsed="false">
      <c r="A48" s="36" t="s">
        <v>175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customFormat="false" ht="45.75" hidden="false" customHeight="true" outlineLevel="0" collapsed="false">
      <c r="A49" s="16" t="s">
        <v>176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customFormat="false" ht="45.75" hidden="false" customHeight="true" outlineLevel="0" collapsed="false">
      <c r="A50" s="16" t="s">
        <v>177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customFormat="false" ht="45.75" hidden="false" customHeight="true" outlineLevel="0" collapsed="false">
      <c r="A51" s="16" t="s">
        <v>178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</sheetData>
  <mergeCells count="7">
    <mergeCell ref="A2:L2"/>
    <mergeCell ref="A5:L5"/>
    <mergeCell ref="A6:L6"/>
    <mergeCell ref="A7:L7"/>
    <mergeCell ref="A49:L49"/>
    <mergeCell ref="A50:L50"/>
    <mergeCell ref="A51:L51"/>
  </mergeCells>
  <conditionalFormatting sqref="G11:G25">
    <cfRule type="colorScale" priority="2">
      <colorScale>
        <cfvo type="num" val="0.03"/>
        <cfvo type="num" val="0.2"/>
        <color rgb="FFFFFFFF"/>
        <color rgb="FFF08A80"/>
      </colorScale>
    </cfRule>
  </conditionalFormatting>
  <conditionalFormatting sqref="L11:L25">
    <cfRule type="cellIs" priority="3" operator="equal" aboveAverage="0" equalAverage="0" bottom="0" percent="0" rank="0" text="" dxfId="1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6" min="5" style="0" width="6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26" t="s">
        <v>179</v>
      </c>
    </row>
    <row r="2" customFormat="false" ht="15" hidden="false" customHeight="false" outlineLevel="0" collapsed="false">
      <c r="A2" s="25" t="s">
        <v>180</v>
      </c>
    </row>
    <row r="4" customFormat="false" ht="24" hidden="false" customHeight="true" outlineLevel="0" collapsed="false">
      <c r="A4" s="18" t="s">
        <v>81</v>
      </c>
      <c r="B4" s="18" t="s">
        <v>181</v>
      </c>
      <c r="C4" s="18" t="s">
        <v>182</v>
      </c>
      <c r="D4" s="18" t="s">
        <v>183</v>
      </c>
      <c r="E4" s="18" t="s">
        <v>184</v>
      </c>
      <c r="F4" s="18" t="s">
        <v>185</v>
      </c>
      <c r="G4" s="18" t="s">
        <v>186</v>
      </c>
      <c r="H4" s="18" t="s">
        <v>187</v>
      </c>
    </row>
    <row r="5" customFormat="false" ht="51.75" hidden="false" customHeight="true" outlineLevel="0" collapsed="false">
      <c r="A5" s="30" t="n">
        <v>1</v>
      </c>
      <c r="B5" s="30" t="s">
        <v>188</v>
      </c>
      <c r="C5" s="30" t="s">
        <v>189</v>
      </c>
      <c r="D5" s="30" t="s">
        <v>190</v>
      </c>
      <c r="E5" s="30" t="s">
        <v>191</v>
      </c>
      <c r="F5" s="30" t="s">
        <v>192</v>
      </c>
      <c r="G5" s="30"/>
      <c r="H5" s="30"/>
    </row>
    <row r="6" customFormat="false" ht="51.75" hidden="false" customHeight="true" outlineLevel="0" collapsed="false">
      <c r="A6" s="30" t="n">
        <v>2</v>
      </c>
      <c r="B6" s="30" t="s">
        <v>188</v>
      </c>
      <c r="C6" s="30" t="s">
        <v>193</v>
      </c>
      <c r="D6" s="30" t="s">
        <v>194</v>
      </c>
      <c r="E6" s="30" t="s">
        <v>195</v>
      </c>
      <c r="F6" s="30" t="s">
        <v>196</v>
      </c>
      <c r="G6" s="30"/>
      <c r="H6" s="30"/>
    </row>
    <row r="7" customFormat="false" ht="51.75" hidden="false" customHeight="true" outlineLevel="0" collapsed="false">
      <c r="A7" s="30" t="n">
        <v>3</v>
      </c>
      <c r="B7" s="30" t="s">
        <v>188</v>
      </c>
      <c r="C7" s="30" t="s">
        <v>16</v>
      </c>
      <c r="D7" s="30" t="s">
        <v>197</v>
      </c>
      <c r="E7" s="30" t="s">
        <v>198</v>
      </c>
      <c r="F7" s="30" t="s">
        <v>199</v>
      </c>
      <c r="G7" s="30"/>
      <c r="H7" s="30"/>
    </row>
    <row r="8" customFormat="false" ht="51.75" hidden="false" customHeight="true" outlineLevel="0" collapsed="false">
      <c r="A8" s="30" t="n">
        <v>4</v>
      </c>
      <c r="B8" s="30" t="s">
        <v>188</v>
      </c>
      <c r="C8" s="30" t="s">
        <v>16</v>
      </c>
      <c r="D8" s="30" t="s">
        <v>200</v>
      </c>
      <c r="E8" s="30" t="s">
        <v>201</v>
      </c>
      <c r="F8" s="30" t="s">
        <v>199</v>
      </c>
      <c r="G8" s="30"/>
      <c r="H8" s="30"/>
    </row>
    <row r="9" customFormat="false" ht="51.75" hidden="false" customHeight="true" outlineLevel="0" collapsed="false">
      <c r="A9" s="30" t="n">
        <v>5</v>
      </c>
      <c r="B9" s="30" t="s">
        <v>188</v>
      </c>
      <c r="C9" s="30" t="s">
        <v>16</v>
      </c>
      <c r="D9" s="30" t="s">
        <v>202</v>
      </c>
      <c r="E9" s="30" t="s">
        <v>203</v>
      </c>
      <c r="F9" s="30" t="s">
        <v>199</v>
      </c>
      <c r="G9" s="30"/>
      <c r="H9" s="30"/>
    </row>
    <row r="10" customFormat="false" ht="51.75" hidden="false" customHeight="true" outlineLevel="0" collapsed="false">
      <c r="A10" s="30" t="n">
        <v>6</v>
      </c>
      <c r="B10" s="30" t="s">
        <v>188</v>
      </c>
      <c r="C10" s="30" t="s">
        <v>16</v>
      </c>
      <c r="D10" s="30" t="s">
        <v>204</v>
      </c>
      <c r="E10" s="30" t="s">
        <v>205</v>
      </c>
      <c r="F10" s="30" t="s">
        <v>199</v>
      </c>
      <c r="G10" s="30"/>
      <c r="H10" s="30"/>
    </row>
    <row r="11" customFormat="false" ht="51.75" hidden="false" customHeight="true" outlineLevel="0" collapsed="false">
      <c r="A11" s="30" t="n">
        <v>7</v>
      </c>
      <c r="B11" s="30" t="s">
        <v>188</v>
      </c>
      <c r="C11" s="30" t="s">
        <v>16</v>
      </c>
      <c r="D11" s="30" t="s">
        <v>206</v>
      </c>
      <c r="E11" s="30" t="s">
        <v>207</v>
      </c>
      <c r="F11" s="30" t="s">
        <v>199</v>
      </c>
      <c r="G11" s="30"/>
      <c r="H11" s="30"/>
    </row>
    <row r="12" customFormat="false" ht="51.75" hidden="false" customHeight="true" outlineLevel="0" collapsed="false">
      <c r="A12" s="30" t="n">
        <v>8</v>
      </c>
      <c r="B12" s="30" t="s">
        <v>188</v>
      </c>
      <c r="C12" s="30" t="s">
        <v>16</v>
      </c>
      <c r="D12" s="30" t="s">
        <v>208</v>
      </c>
      <c r="E12" s="30" t="s">
        <v>209</v>
      </c>
      <c r="F12" s="30" t="s">
        <v>199</v>
      </c>
      <c r="G12" s="30"/>
      <c r="H12" s="30"/>
    </row>
    <row r="13" customFormat="false" ht="51.75" hidden="false" customHeight="true" outlineLevel="0" collapsed="false">
      <c r="A13" s="30" t="n">
        <v>9</v>
      </c>
      <c r="B13" s="30" t="s">
        <v>188</v>
      </c>
      <c r="C13" s="30" t="s">
        <v>16</v>
      </c>
      <c r="D13" s="30" t="s">
        <v>210</v>
      </c>
      <c r="E13" s="30" t="s">
        <v>211</v>
      </c>
      <c r="F13" s="30" t="s">
        <v>199</v>
      </c>
      <c r="G13" s="30"/>
      <c r="H13" s="30"/>
    </row>
    <row r="14" customFormat="false" ht="51.75" hidden="false" customHeight="true" outlineLevel="0" collapsed="false">
      <c r="A14" s="30" t="n">
        <v>10</v>
      </c>
      <c r="B14" s="30" t="s">
        <v>188</v>
      </c>
      <c r="C14" s="30" t="s">
        <v>16</v>
      </c>
      <c r="D14" s="30" t="s">
        <v>212</v>
      </c>
      <c r="E14" s="30" t="s">
        <v>213</v>
      </c>
      <c r="F14" s="30" t="s">
        <v>199</v>
      </c>
      <c r="G14" s="30"/>
      <c r="H14" s="30"/>
    </row>
    <row r="15" customFormat="false" ht="51.75" hidden="false" customHeight="true" outlineLevel="0" collapsed="false">
      <c r="A15" s="30" t="n">
        <v>11</v>
      </c>
      <c r="B15" s="30" t="s">
        <v>188</v>
      </c>
      <c r="C15" s="30" t="s">
        <v>16</v>
      </c>
      <c r="D15" s="30" t="s">
        <v>214</v>
      </c>
      <c r="E15" s="30" t="s">
        <v>215</v>
      </c>
      <c r="F15" s="30" t="s">
        <v>199</v>
      </c>
      <c r="G15" s="30"/>
      <c r="H15" s="30"/>
    </row>
    <row r="16" customFormat="false" ht="51.75" hidden="false" customHeight="true" outlineLevel="0" collapsed="false">
      <c r="A16" s="30" t="n">
        <v>12</v>
      </c>
      <c r="B16" s="30" t="s">
        <v>188</v>
      </c>
      <c r="C16" s="30" t="s">
        <v>16</v>
      </c>
      <c r="D16" s="30" t="s">
        <v>216</v>
      </c>
      <c r="E16" s="30" t="s">
        <v>217</v>
      </c>
      <c r="F16" s="30" t="s">
        <v>199</v>
      </c>
      <c r="G16" s="30"/>
      <c r="H16" s="30"/>
    </row>
    <row r="17" customFormat="false" ht="51.75" hidden="false" customHeight="true" outlineLevel="0" collapsed="false">
      <c r="A17" s="30" t="n">
        <v>13</v>
      </c>
      <c r="B17" s="30" t="s">
        <v>188</v>
      </c>
      <c r="C17" s="30" t="s">
        <v>18</v>
      </c>
      <c r="D17" s="30" t="s">
        <v>218</v>
      </c>
      <c r="E17" s="30" t="s">
        <v>219</v>
      </c>
      <c r="F17" s="30" t="s">
        <v>220</v>
      </c>
      <c r="G17" s="30"/>
      <c r="H17" s="30"/>
    </row>
    <row r="18" customFormat="false" ht="51.75" hidden="false" customHeight="true" outlineLevel="0" collapsed="false">
      <c r="A18" s="30" t="n">
        <v>14</v>
      </c>
      <c r="B18" s="30" t="s">
        <v>221</v>
      </c>
      <c r="C18" s="30" t="s">
        <v>18</v>
      </c>
      <c r="D18" s="30" t="s">
        <v>222</v>
      </c>
      <c r="E18" s="30" t="s">
        <v>223</v>
      </c>
      <c r="F18" s="30" t="s">
        <v>224</v>
      </c>
      <c r="G18" s="30"/>
      <c r="H18" s="30"/>
    </row>
    <row r="19" customFormat="false" ht="51.75" hidden="false" customHeight="true" outlineLevel="0" collapsed="false">
      <c r="A19" s="30" t="n">
        <v>15</v>
      </c>
      <c r="B19" s="30" t="s">
        <v>221</v>
      </c>
      <c r="C19" s="30" t="s">
        <v>18</v>
      </c>
      <c r="D19" s="30" t="s">
        <v>225</v>
      </c>
      <c r="E19" s="30" t="s">
        <v>226</v>
      </c>
      <c r="F19" s="30" t="s">
        <v>224</v>
      </c>
      <c r="G19" s="30"/>
      <c r="H19" s="30"/>
    </row>
    <row r="20" customFormat="false" ht="51.75" hidden="false" customHeight="true" outlineLevel="0" collapsed="false">
      <c r="A20" s="30" t="n">
        <v>16</v>
      </c>
      <c r="B20" s="30" t="s">
        <v>221</v>
      </c>
      <c r="C20" s="30" t="s">
        <v>227</v>
      </c>
      <c r="D20" s="30" t="s">
        <v>100</v>
      </c>
      <c r="E20" s="30" t="s">
        <v>228</v>
      </c>
      <c r="F20" s="30" t="s">
        <v>229</v>
      </c>
      <c r="G20" s="30"/>
      <c r="H20" s="30"/>
    </row>
    <row r="21" customFormat="false" ht="51.75" hidden="false" customHeight="true" outlineLevel="0" collapsed="false">
      <c r="A21" s="30" t="n">
        <v>17</v>
      </c>
      <c r="B21" s="30" t="s">
        <v>221</v>
      </c>
      <c r="C21" s="30" t="s">
        <v>227</v>
      </c>
      <c r="D21" s="30" t="s">
        <v>97</v>
      </c>
      <c r="E21" s="30" t="s">
        <v>230</v>
      </c>
      <c r="F21" s="30" t="s">
        <v>229</v>
      </c>
      <c r="G21" s="30"/>
      <c r="H21" s="30"/>
    </row>
    <row r="22" customFormat="false" ht="51.75" hidden="false" customHeight="true" outlineLevel="0" collapsed="false">
      <c r="A22" s="30" t="n">
        <v>18</v>
      </c>
      <c r="B22" s="30" t="s">
        <v>231</v>
      </c>
      <c r="C22" s="30" t="s">
        <v>227</v>
      </c>
      <c r="D22" s="30" t="s">
        <v>89</v>
      </c>
      <c r="E22" s="30" t="s">
        <v>232</v>
      </c>
      <c r="F22" s="30" t="s">
        <v>229</v>
      </c>
      <c r="G22" s="30"/>
      <c r="H22" s="30"/>
    </row>
    <row r="23" customFormat="false" ht="51.75" hidden="false" customHeight="true" outlineLevel="0" collapsed="false">
      <c r="A23" s="30" t="n">
        <v>19</v>
      </c>
      <c r="B23" s="30" t="s">
        <v>231</v>
      </c>
      <c r="C23" s="30" t="s">
        <v>227</v>
      </c>
      <c r="D23" s="30" t="s">
        <v>93</v>
      </c>
      <c r="E23" s="30" t="s">
        <v>233</v>
      </c>
      <c r="F23" s="30" t="s">
        <v>229</v>
      </c>
      <c r="G23" s="30"/>
      <c r="H23" s="30"/>
    </row>
    <row r="24" customFormat="false" ht="51.75" hidden="false" customHeight="true" outlineLevel="0" collapsed="false">
      <c r="A24" s="30" t="n">
        <v>20</v>
      </c>
      <c r="B24" s="30" t="s">
        <v>221</v>
      </c>
      <c r="C24" s="30" t="s">
        <v>234</v>
      </c>
      <c r="D24" s="30" t="s">
        <v>214</v>
      </c>
      <c r="E24" s="30" t="s">
        <v>235</v>
      </c>
      <c r="F24" s="30" t="s">
        <v>236</v>
      </c>
      <c r="G24" s="30"/>
      <c r="H24" s="30"/>
    </row>
    <row r="25" customFormat="false" ht="51.75" hidden="false" customHeight="true" outlineLevel="0" collapsed="false">
      <c r="A25" s="30" t="n">
        <v>21</v>
      </c>
      <c r="B25" s="30" t="s">
        <v>231</v>
      </c>
      <c r="C25" s="30" t="s">
        <v>237</v>
      </c>
      <c r="D25" s="30" t="s">
        <v>238</v>
      </c>
      <c r="E25" s="30" t="s">
        <v>239</v>
      </c>
      <c r="F25" s="30" t="s">
        <v>240</v>
      </c>
      <c r="G25" s="30"/>
      <c r="H25" s="30"/>
    </row>
    <row r="26" customFormat="false" ht="51.75" hidden="false" customHeight="true" outlineLevel="0" collapsed="false">
      <c r="A26" s="30" t="n">
        <v>22</v>
      </c>
      <c r="B26" s="30" t="s">
        <v>231</v>
      </c>
      <c r="C26" s="30" t="s">
        <v>237</v>
      </c>
      <c r="D26" s="30" t="s">
        <v>241</v>
      </c>
      <c r="E26" s="30" t="s">
        <v>242</v>
      </c>
      <c r="F26" s="30" t="s">
        <v>240</v>
      </c>
      <c r="G26" s="30"/>
      <c r="H26" s="30"/>
    </row>
    <row r="27" customFormat="false" ht="51.75" hidden="false" customHeight="true" outlineLevel="0" collapsed="false">
      <c r="A27" s="30" t="n">
        <v>23</v>
      </c>
      <c r="B27" s="30" t="s">
        <v>231</v>
      </c>
      <c r="C27" s="30" t="s">
        <v>243</v>
      </c>
      <c r="D27" s="30" t="s">
        <v>244</v>
      </c>
      <c r="E27" s="30" t="s">
        <v>245</v>
      </c>
      <c r="F27" s="30" t="s">
        <v>246</v>
      </c>
      <c r="G27" s="30"/>
      <c r="H27" s="30"/>
    </row>
    <row r="28" customFormat="false" ht="51.75" hidden="false" customHeight="true" outlineLevel="0" collapsed="false">
      <c r="A28" s="30" t="n">
        <v>24</v>
      </c>
      <c r="B28" s="30" t="s">
        <v>231</v>
      </c>
      <c r="C28" s="30" t="s">
        <v>193</v>
      </c>
      <c r="D28" s="30" t="s">
        <v>247</v>
      </c>
      <c r="E28" s="30" t="s">
        <v>248</v>
      </c>
      <c r="F28" s="30" t="s">
        <v>249</v>
      </c>
      <c r="G28" s="30"/>
      <c r="H28" s="30"/>
    </row>
  </sheetData>
  <conditionalFormatting sqref="B5:B28">
    <cfRule type="cellIs" priority="2" operator="equal" aboveAverage="0" equalAverage="0" bottom="0" percent="0" rank="0" text="" dxfId="2">
      <formula>"P1"</formula>
    </cfRule>
    <cfRule type="cellIs" priority="3" operator="equal" aboveAverage="0" equalAverage="0" bottom="0" percent="0" rank="0" text="" dxfId="3">
      <formula>"P2"</formula>
    </cfRule>
    <cfRule type="cellIs" priority="4" operator="equal" aboveAverage="0" equalAverage="0" bottom="0" percent="0" rank="0" text="" dxfId="6">
      <formula>"P3"</formula>
    </cfRule>
  </conditionalFormatting>
  <dataValidations count="1">
    <dataValidation allowBlank="true" errorStyle="stop" operator="between" showDropDown="false" showErrorMessage="false" showInputMessage="false" sqref="H5:H28" type="list">
      <formula1>"To do,In progress,Done,Not an issue"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26" t="s">
        <v>250</v>
      </c>
    </row>
    <row r="3" customFormat="false" ht="75" hidden="false" customHeight="true" outlineLevel="0" collapsed="false">
      <c r="A3" s="39" t="s">
        <v>243</v>
      </c>
      <c r="B3" s="40" t="s">
        <v>251</v>
      </c>
    </row>
    <row r="4" customFormat="false" ht="30" hidden="false" customHeight="true" outlineLevel="0" collapsed="false">
      <c r="A4" s="39" t="s">
        <v>252</v>
      </c>
      <c r="B4" s="40" t="s">
        <v>253</v>
      </c>
    </row>
    <row r="5" customFormat="false" ht="30" hidden="false" customHeight="true" outlineLevel="0" collapsed="false">
      <c r="A5" s="39" t="s">
        <v>254</v>
      </c>
      <c r="B5" s="40" t="s">
        <v>255</v>
      </c>
    </row>
    <row r="6" customFormat="false" ht="30" hidden="false" customHeight="true" outlineLevel="0" collapsed="false">
      <c r="A6" s="39" t="s">
        <v>256</v>
      </c>
      <c r="B6" s="40" t="s">
        <v>257</v>
      </c>
    </row>
    <row r="7" customFormat="false" ht="30" hidden="false" customHeight="true" outlineLevel="0" collapsed="false">
      <c r="A7" s="39" t="s">
        <v>258</v>
      </c>
      <c r="B7" s="40" t="s">
        <v>259</v>
      </c>
    </row>
    <row r="8" customFormat="false" ht="30" hidden="false" customHeight="true" outlineLevel="0" collapsed="false">
      <c r="A8" s="39" t="s">
        <v>260</v>
      </c>
      <c r="B8" s="40" t="s">
        <v>261</v>
      </c>
    </row>
    <row r="9" customFormat="false" ht="30" hidden="false" customHeight="true" outlineLevel="0" collapsed="false">
      <c r="A9" s="39" t="s">
        <v>262</v>
      </c>
      <c r="B9" s="40" t="s">
        <v>263</v>
      </c>
    </row>
    <row r="10" customFormat="false" ht="30" hidden="false" customHeight="true" outlineLevel="0" collapsed="false">
      <c r="A10" s="39" t="s">
        <v>264</v>
      </c>
      <c r="B10" s="40" t="s">
        <v>265</v>
      </c>
    </row>
    <row r="11" customFormat="false" ht="30" hidden="false" customHeight="true" outlineLevel="0" collapsed="false">
      <c r="A11" s="39" t="s">
        <v>266</v>
      </c>
      <c r="B11" s="40" t="s">
        <v>267</v>
      </c>
    </row>
    <row r="12" customFormat="false" ht="45" hidden="false" customHeight="true" outlineLevel="0" collapsed="false">
      <c r="A12" s="39" t="s">
        <v>268</v>
      </c>
      <c r="B12" s="40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26" t="s">
        <v>270</v>
      </c>
    </row>
    <row r="2" customFormat="false" ht="15" hidden="false" customHeight="false" outlineLevel="0" collapsed="false">
      <c r="A2" s="25" t="s">
        <v>271</v>
      </c>
    </row>
    <row r="3" customFormat="false" ht="22.35" hidden="false" customHeight="false" outlineLevel="0" collapsed="false">
      <c r="A3" s="41" t="s">
        <v>272</v>
      </c>
      <c r="B3" s="42" t="n">
        <f aca="false">SUM(Detail!$L$2:$L$703)/SUM(Detail!$K$2:$K$703)</f>
        <v>0.0664935064935065</v>
      </c>
      <c r="C3" s="43" t="s">
        <v>273</v>
      </c>
    </row>
    <row r="4" customFormat="false" ht="15" hidden="false" customHeight="false" outlineLevel="0" collapsed="false">
      <c r="A4" s="41" t="s">
        <v>274</v>
      </c>
      <c r="B4" s="44" t="n">
        <v>30</v>
      </c>
      <c r="C4" s="43" t="s">
        <v>275</v>
      </c>
    </row>
    <row r="5" customFormat="false" ht="15" hidden="false" customHeight="false" outlineLevel="0" collapsed="false">
      <c r="A5" s="41" t="s">
        <v>276</v>
      </c>
      <c r="B5" s="44" t="n">
        <v>3</v>
      </c>
      <c r="C5" s="43" t="s">
        <v>275</v>
      </c>
    </row>
    <row r="6" customFormat="false" ht="15" hidden="false" customHeight="false" outlineLevel="0" collapsed="false">
      <c r="A6" s="41" t="s">
        <v>277</v>
      </c>
      <c r="B6" s="45" t="n">
        <v>3</v>
      </c>
      <c r="C6" s="43" t="s">
        <v>278</v>
      </c>
    </row>
    <row r="7" customFormat="false" ht="15" hidden="false" customHeight="false" outlineLevel="0" collapsed="false">
      <c r="A7" s="41" t="s">
        <v>279</v>
      </c>
      <c r="B7" s="44" t="n">
        <v>30</v>
      </c>
      <c r="C7" s="43" t="s">
        <v>280</v>
      </c>
    </row>
    <row r="8" customFormat="false" ht="15" hidden="false" customHeight="false" outlineLevel="0" collapsed="false">
      <c r="A8" s="41" t="s">
        <v>281</v>
      </c>
      <c r="B8" s="46" t="n">
        <v>1</v>
      </c>
      <c r="C8" s="43" t="s">
        <v>282</v>
      </c>
    </row>
    <row r="9" customFormat="false" ht="15" hidden="false" customHeight="false" outlineLevel="0" collapsed="false">
      <c r="A9" s="41" t="s">
        <v>283</v>
      </c>
      <c r="B9" s="46" t="n">
        <v>1</v>
      </c>
      <c r="C9" s="43"/>
    </row>
    <row r="10" customFormat="false" ht="15" hidden="false" customHeight="false" outlineLevel="0" collapsed="false">
      <c r="A10" s="41" t="s">
        <v>284</v>
      </c>
      <c r="B10" s="46" t="n">
        <v>1</v>
      </c>
      <c r="C10" s="43"/>
    </row>
    <row r="11" customFormat="false" ht="15" hidden="false" customHeight="false" outlineLevel="0" collapsed="false">
      <c r="A11" s="41" t="s">
        <v>285</v>
      </c>
      <c r="B11" s="44" t="n">
        <v>10</v>
      </c>
      <c r="C11" s="43" t="s">
        <v>286</v>
      </c>
    </row>
    <row r="12" customFormat="false" ht="15" hidden="false" customHeight="false" outlineLevel="0" collapsed="false">
      <c r="A12" s="41" t="s">
        <v>287</v>
      </c>
      <c r="B12" s="44" t="n">
        <v>25</v>
      </c>
      <c r="C12" s="43" t="s">
        <v>275</v>
      </c>
    </row>
    <row r="13" customFormat="false" ht="22.35" hidden="false" customHeight="false" outlineLevel="0" collapsed="false">
      <c r="A13" s="41" t="s">
        <v>288</v>
      </c>
      <c r="B13" s="47" t="s">
        <v>124</v>
      </c>
      <c r="C13" s="43" t="s">
        <v>289</v>
      </c>
    </row>
    <row r="14" customFormat="false" ht="15" hidden="false" customHeight="false" outlineLevel="0" collapsed="false">
      <c r="A14" s="41" t="s">
        <v>290</v>
      </c>
      <c r="B14" s="48" t="n">
        <v>0.0749146917947594</v>
      </c>
      <c r="C14" s="43" t="s">
        <v>291</v>
      </c>
    </row>
    <row r="15" customFormat="false" ht="15" hidden="false" customHeight="false" outlineLevel="0" collapsed="false">
      <c r="A15" s="41" t="s">
        <v>292</v>
      </c>
      <c r="B15" s="49" t="n">
        <v>12881254.87</v>
      </c>
      <c r="C15" s="43" t="s">
        <v>293</v>
      </c>
    </row>
    <row r="16" customFormat="false" ht="15" hidden="false" customHeight="false" outlineLevel="0" collapsed="false">
      <c r="A16" s="41" t="s">
        <v>294</v>
      </c>
      <c r="B16" s="49" t="n">
        <v>1045073.48</v>
      </c>
      <c r="C16" s="43" t="s">
        <v>295</v>
      </c>
    </row>
    <row r="17" customFormat="false" ht="15" hidden="false" customHeight="false" outlineLevel="0" collapsed="false">
      <c r="A17" s="41" t="s">
        <v>296</v>
      </c>
      <c r="B17" s="50" t="n">
        <f aca="false">SUM(Detail!$H$2:$H$703)</f>
        <v>1654508.272</v>
      </c>
      <c r="C17" s="43" t="s">
        <v>297</v>
      </c>
    </row>
    <row r="18" customFormat="false" ht="15" hidden="false" customHeight="false" outlineLevel="0" collapsed="false">
      <c r="A18" s="41" t="s">
        <v>298</v>
      </c>
      <c r="B18" s="50" t="n">
        <f aca="false">SUM(Detail!$E$2:$E$703)</f>
        <v>59422.49</v>
      </c>
      <c r="C18" s="43" t="s">
        <v>297</v>
      </c>
    </row>
    <row r="19" customFormat="false" ht="15" hidden="false" customHeight="false" outlineLevel="0" collapsed="false">
      <c r="A19" s="41" t="s">
        <v>299</v>
      </c>
      <c r="B19" s="51" t="n">
        <f aca="false">B18/B16</f>
        <v>0.0568596286645796</v>
      </c>
      <c r="C19" s="43" t="s">
        <v>300</v>
      </c>
    </row>
    <row r="20" customFormat="false" ht="15" hidden="false" customHeight="false" outlineLevel="0" collapsed="false">
      <c r="A20" s="41" t="s">
        <v>301</v>
      </c>
      <c r="B20" s="51" t="n">
        <f aca="false">B17/B15</f>
        <v>0.128443097252372</v>
      </c>
      <c r="C20" s="43" t="s">
        <v>302</v>
      </c>
    </row>
    <row r="21" customFormat="false" ht="15" hidden="false" customHeight="false" outlineLevel="0" collapsed="false">
      <c r="A21" s="41" t="s">
        <v>303</v>
      </c>
      <c r="B21" s="52" t="n">
        <f aca="false">SUM(Detail!$L$2:$L$703)</f>
        <v>512</v>
      </c>
      <c r="C21" s="43" t="s">
        <v>302</v>
      </c>
    </row>
    <row r="22" customFormat="false" ht="15" hidden="false" customHeight="false" outlineLevel="0" collapsed="false">
      <c r="A22" s="41" t="s">
        <v>304</v>
      </c>
      <c r="B22" s="52" t="n">
        <f aca="false">SUM(Detail!$K$2:$K$703)</f>
        <v>7700</v>
      </c>
      <c r="C22" s="4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P7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4" min="13" style="0" width="12"/>
    <col collapsed="false" customWidth="true" hidden="false" outlineLevel="0" max="16" min="15" style="0" width="11"/>
  </cols>
  <sheetData>
    <row r="1" customFormat="false" ht="45" hidden="false" customHeight="true" outlineLevel="0" collapsed="false">
      <c r="A1" s="18" t="s">
        <v>87</v>
      </c>
      <c r="B1" s="18" t="s">
        <v>106</v>
      </c>
      <c r="C1" s="18" t="s">
        <v>16</v>
      </c>
      <c r="D1" s="18" t="s">
        <v>18</v>
      </c>
      <c r="E1" s="18" t="s">
        <v>305</v>
      </c>
      <c r="F1" s="18" t="s">
        <v>170</v>
      </c>
      <c r="G1" s="18" t="s">
        <v>306</v>
      </c>
      <c r="H1" s="18" t="s">
        <v>307</v>
      </c>
      <c r="I1" s="18" t="s">
        <v>308</v>
      </c>
      <c r="J1" s="18" t="s">
        <v>309</v>
      </c>
      <c r="K1" s="18" t="s">
        <v>310</v>
      </c>
      <c r="L1" s="18" t="s">
        <v>311</v>
      </c>
      <c r="M1" s="18" t="s">
        <v>312</v>
      </c>
      <c r="N1" s="18" t="s">
        <v>313</v>
      </c>
      <c r="O1" s="18" t="s">
        <v>314</v>
      </c>
      <c r="P1" s="18" t="s">
        <v>315</v>
      </c>
    </row>
    <row r="2" customFormat="false" ht="15" hidden="false" customHeight="false" outlineLevel="0" collapsed="false">
      <c r="A2" s="53" t="s">
        <v>89</v>
      </c>
      <c r="B2" s="53" t="s">
        <v>117</v>
      </c>
      <c r="C2" s="53" t="s">
        <v>316</v>
      </c>
      <c r="D2" s="53" t="s">
        <v>62</v>
      </c>
      <c r="E2" s="54" t="n">
        <v>0</v>
      </c>
      <c r="F2" s="53" t="n">
        <v>0</v>
      </c>
      <c r="G2" s="53" t="n">
        <v>4</v>
      </c>
      <c r="H2" s="54" t="n">
        <v>449.1</v>
      </c>
      <c r="I2" s="53" t="n">
        <f aca="false">IF(B2&gt;=Settings!$B$13,1,0)</f>
        <v>0</v>
      </c>
      <c r="J2" s="53" t="n">
        <v>1</v>
      </c>
      <c r="K2" s="53" t="n">
        <f aca="false">G2*I2*J2</f>
        <v>0</v>
      </c>
      <c r="L2" s="53" t="n">
        <f aca="false">F2*I2*J2</f>
        <v>0</v>
      </c>
      <c r="M2" s="54" t="n">
        <f aca="false">H2*I2*J2</f>
        <v>0</v>
      </c>
      <c r="N2" s="54" t="n">
        <f aca="false">E2*I2*J2</f>
        <v>-0</v>
      </c>
      <c r="O2" s="53" t="n">
        <f aca="false">G2*J2</f>
        <v>4</v>
      </c>
      <c r="P2" s="53" t="n">
        <f aca="false">F2*J2</f>
        <v>0</v>
      </c>
    </row>
    <row r="3" customFormat="false" ht="15" hidden="false" customHeight="false" outlineLevel="0" collapsed="false">
      <c r="A3" s="53" t="s">
        <v>93</v>
      </c>
      <c r="B3" s="53" t="s">
        <v>117</v>
      </c>
      <c r="C3" s="53" t="s">
        <v>317</v>
      </c>
      <c r="D3" s="53" t="s">
        <v>46</v>
      </c>
      <c r="E3" s="54" t="n">
        <v>113.9</v>
      </c>
      <c r="F3" s="53" t="n">
        <v>1</v>
      </c>
      <c r="G3" s="53" t="n">
        <v>33</v>
      </c>
      <c r="H3" s="54" t="n">
        <v>3973.2</v>
      </c>
      <c r="I3" s="53" t="n">
        <f aca="false">IF(B3&gt;=Settings!$B$13,1,0)</f>
        <v>0</v>
      </c>
      <c r="J3" s="53" t="n">
        <v>1</v>
      </c>
      <c r="K3" s="53" t="n">
        <f aca="false">G3*I3*J3</f>
        <v>0</v>
      </c>
      <c r="L3" s="53" t="n">
        <f aca="false">F3*I3*J3</f>
        <v>0</v>
      </c>
      <c r="M3" s="54" t="n">
        <f aca="false">H3*I3*J3</f>
        <v>0</v>
      </c>
      <c r="N3" s="54" t="n">
        <f aca="false">E3*I3*J3</f>
        <v>0</v>
      </c>
      <c r="O3" s="53" t="n">
        <f aca="false">G3*J3</f>
        <v>33</v>
      </c>
      <c r="P3" s="53" t="n">
        <f aca="false">F3*J3</f>
        <v>1</v>
      </c>
    </row>
    <row r="4" customFormat="false" ht="15" hidden="false" customHeight="false" outlineLevel="0" collapsed="false">
      <c r="A4" s="53" t="s">
        <v>89</v>
      </c>
      <c r="B4" s="53" t="s">
        <v>117</v>
      </c>
      <c r="C4" s="53" t="s">
        <v>318</v>
      </c>
      <c r="D4" s="53" t="s">
        <v>58</v>
      </c>
      <c r="E4" s="54" t="n">
        <v>0</v>
      </c>
      <c r="F4" s="53" t="n">
        <v>0</v>
      </c>
      <c r="G4" s="53" t="n">
        <v>5</v>
      </c>
      <c r="H4" s="54" t="n">
        <v>819.75</v>
      </c>
      <c r="I4" s="53" t="n">
        <f aca="false">IF(B4&gt;=Settings!$B$13,1,0)</f>
        <v>0</v>
      </c>
      <c r="J4" s="53" t="n">
        <v>1</v>
      </c>
      <c r="K4" s="53" t="n">
        <f aca="false">G4*I4*J4</f>
        <v>0</v>
      </c>
      <c r="L4" s="53" t="n">
        <f aca="false">F4*I4*J4</f>
        <v>0</v>
      </c>
      <c r="M4" s="54" t="n">
        <f aca="false">H4*I4*J4</f>
        <v>0</v>
      </c>
      <c r="N4" s="54" t="n">
        <f aca="false">E4*I4*J4</f>
        <v>-0</v>
      </c>
      <c r="O4" s="53" t="n">
        <f aca="false">G4*J4</f>
        <v>5</v>
      </c>
      <c r="P4" s="53" t="n">
        <f aca="false">F4*J4</f>
        <v>0</v>
      </c>
    </row>
    <row r="5" customFormat="false" ht="15" hidden="false" customHeight="false" outlineLevel="0" collapsed="false">
      <c r="A5" s="53" t="s">
        <v>97</v>
      </c>
      <c r="B5" s="53" t="s">
        <v>117</v>
      </c>
      <c r="C5" s="53" t="s">
        <v>319</v>
      </c>
      <c r="D5" s="53" t="s">
        <v>58</v>
      </c>
      <c r="E5" s="54" t="n">
        <v>0</v>
      </c>
      <c r="F5" s="53" t="n">
        <v>0</v>
      </c>
      <c r="G5" s="53" t="n">
        <v>1</v>
      </c>
      <c r="H5" s="54" t="n">
        <v>169.95</v>
      </c>
      <c r="I5" s="53" t="n">
        <f aca="false">IF(B5&gt;=Settings!$B$13,1,0)</f>
        <v>0</v>
      </c>
      <c r="J5" s="53" t="n">
        <v>1</v>
      </c>
      <c r="K5" s="53" t="n">
        <f aca="false">G5*I5*J5</f>
        <v>0</v>
      </c>
      <c r="L5" s="53" t="n">
        <f aca="false">F5*I5*J5</f>
        <v>0</v>
      </c>
      <c r="M5" s="54" t="n">
        <f aca="false">H5*I5*J5</f>
        <v>0</v>
      </c>
      <c r="N5" s="54" t="n">
        <f aca="false">E5*I5*J5</f>
        <v>-0</v>
      </c>
      <c r="O5" s="53" t="n">
        <f aca="false">G5*J5</f>
        <v>1</v>
      </c>
      <c r="P5" s="53" t="n">
        <f aca="false">F5*J5</f>
        <v>0</v>
      </c>
    </row>
    <row r="6" customFormat="false" ht="15" hidden="false" customHeight="false" outlineLevel="0" collapsed="false">
      <c r="A6" s="53" t="s">
        <v>97</v>
      </c>
      <c r="B6" s="53" t="s">
        <v>117</v>
      </c>
      <c r="C6" s="53" t="s">
        <v>320</v>
      </c>
      <c r="D6" s="53" t="s">
        <v>54</v>
      </c>
      <c r="E6" s="54" t="n">
        <v>0</v>
      </c>
      <c r="F6" s="53" t="n">
        <v>0</v>
      </c>
      <c r="G6" s="53" t="n">
        <v>3</v>
      </c>
      <c r="H6" s="54" t="n">
        <v>299.85</v>
      </c>
      <c r="I6" s="53" t="n">
        <f aca="false">IF(B6&gt;=Settings!$B$13,1,0)</f>
        <v>0</v>
      </c>
      <c r="J6" s="53" t="n">
        <v>1</v>
      </c>
      <c r="K6" s="53" t="n">
        <f aca="false">G6*I6*J6</f>
        <v>0</v>
      </c>
      <c r="L6" s="53" t="n">
        <f aca="false">F6*I6*J6</f>
        <v>0</v>
      </c>
      <c r="M6" s="54" t="n">
        <f aca="false">H6*I6*J6</f>
        <v>0</v>
      </c>
      <c r="N6" s="54" t="n">
        <f aca="false">E6*I6*J6</f>
        <v>-0</v>
      </c>
      <c r="O6" s="53" t="n">
        <f aca="false">G6*J6</f>
        <v>3</v>
      </c>
      <c r="P6" s="53" t="n">
        <f aca="false">F6*J6</f>
        <v>0</v>
      </c>
    </row>
    <row r="7" customFormat="false" ht="15" hidden="false" customHeight="false" outlineLevel="0" collapsed="false">
      <c r="A7" s="53" t="s">
        <v>97</v>
      </c>
      <c r="B7" s="53" t="s">
        <v>117</v>
      </c>
      <c r="C7" s="53" t="s">
        <v>321</v>
      </c>
      <c r="D7" s="53" t="s">
        <v>46</v>
      </c>
      <c r="E7" s="54" t="n">
        <v>0</v>
      </c>
      <c r="F7" s="53" t="n">
        <v>0</v>
      </c>
      <c r="G7" s="53" t="n">
        <v>2</v>
      </c>
      <c r="H7" s="54" t="n">
        <v>279.9</v>
      </c>
      <c r="I7" s="53" t="n">
        <f aca="false">IF(B7&gt;=Settings!$B$13,1,0)</f>
        <v>0</v>
      </c>
      <c r="J7" s="53" t="n">
        <v>1</v>
      </c>
      <c r="K7" s="53" t="n">
        <f aca="false">G7*I7*J7</f>
        <v>0</v>
      </c>
      <c r="L7" s="53" t="n">
        <f aca="false">F7*I7*J7</f>
        <v>0</v>
      </c>
      <c r="M7" s="54" t="n">
        <f aca="false">H7*I7*J7</f>
        <v>0</v>
      </c>
      <c r="N7" s="54" t="n">
        <f aca="false">E7*I7*J7</f>
        <v>-0</v>
      </c>
      <c r="O7" s="53" t="n">
        <f aca="false">G7*J7</f>
        <v>2</v>
      </c>
      <c r="P7" s="53" t="n">
        <f aca="false">F7*J7</f>
        <v>0</v>
      </c>
    </row>
    <row r="8" customFormat="false" ht="15" hidden="false" customHeight="false" outlineLevel="0" collapsed="false">
      <c r="A8" s="53" t="s">
        <v>93</v>
      </c>
      <c r="B8" s="53" t="s">
        <v>117</v>
      </c>
      <c r="C8" s="53" t="s">
        <v>322</v>
      </c>
      <c r="D8" s="53" t="s">
        <v>54</v>
      </c>
      <c r="E8" s="54" t="n">
        <v>49.95</v>
      </c>
      <c r="F8" s="53" t="n">
        <v>1</v>
      </c>
      <c r="G8" s="53" t="n">
        <v>39</v>
      </c>
      <c r="H8" s="54" t="n">
        <v>2083.05</v>
      </c>
      <c r="I8" s="53" t="n">
        <f aca="false">IF(B8&gt;=Settings!$B$13,1,0)</f>
        <v>0</v>
      </c>
      <c r="J8" s="53" t="n">
        <v>1</v>
      </c>
      <c r="K8" s="53" t="n">
        <f aca="false">G8*I8*J8</f>
        <v>0</v>
      </c>
      <c r="L8" s="53" t="n">
        <f aca="false">F8*I8*J8</f>
        <v>0</v>
      </c>
      <c r="M8" s="54" t="n">
        <f aca="false">H8*I8*J8</f>
        <v>0</v>
      </c>
      <c r="N8" s="54" t="n">
        <f aca="false">E8*I8*J8</f>
        <v>0</v>
      </c>
      <c r="O8" s="53" t="n">
        <f aca="false">G8*J8</f>
        <v>39</v>
      </c>
      <c r="P8" s="53" t="n">
        <f aca="false">F8*J8</f>
        <v>1</v>
      </c>
    </row>
    <row r="9" customFormat="false" ht="15" hidden="false" customHeight="false" outlineLevel="0" collapsed="false">
      <c r="A9" s="53" t="s">
        <v>93</v>
      </c>
      <c r="B9" s="53" t="s">
        <v>117</v>
      </c>
      <c r="C9" s="53" t="s">
        <v>154</v>
      </c>
      <c r="D9" s="53" t="s">
        <v>42</v>
      </c>
      <c r="E9" s="54" t="n">
        <v>316.81</v>
      </c>
      <c r="F9" s="53" t="n">
        <v>4</v>
      </c>
      <c r="G9" s="53" t="n">
        <v>52</v>
      </c>
      <c r="H9" s="54" t="n">
        <v>4249.9</v>
      </c>
      <c r="I9" s="53" t="n">
        <f aca="false">IF(B9&gt;=Settings!$B$13,1,0)</f>
        <v>0</v>
      </c>
      <c r="J9" s="53" t="n">
        <v>1</v>
      </c>
      <c r="K9" s="53" t="n">
        <f aca="false">G9*I9*J9</f>
        <v>0</v>
      </c>
      <c r="L9" s="53" t="n">
        <f aca="false">F9*I9*J9</f>
        <v>0</v>
      </c>
      <c r="M9" s="54" t="n">
        <f aca="false">H9*I9*J9</f>
        <v>0</v>
      </c>
      <c r="N9" s="54" t="n">
        <f aca="false">E9*I9*J9</f>
        <v>0</v>
      </c>
      <c r="O9" s="53" t="n">
        <f aca="false">G9*J9</f>
        <v>52</v>
      </c>
      <c r="P9" s="53" t="n">
        <f aca="false">F9*J9</f>
        <v>4</v>
      </c>
    </row>
    <row r="10" customFormat="false" ht="15" hidden="false" customHeight="false" outlineLevel="0" collapsed="false">
      <c r="A10" s="53" t="s">
        <v>89</v>
      </c>
      <c r="B10" s="53" t="s">
        <v>117</v>
      </c>
      <c r="C10" s="53" t="s">
        <v>154</v>
      </c>
      <c r="D10" s="53" t="s">
        <v>42</v>
      </c>
      <c r="E10" s="54" t="n">
        <v>0</v>
      </c>
      <c r="F10" s="53" t="n">
        <v>0</v>
      </c>
      <c r="G10" s="53" t="n">
        <v>115</v>
      </c>
      <c r="H10" s="54" t="n">
        <v>9787.337</v>
      </c>
      <c r="I10" s="53" t="n">
        <f aca="false">IF(B10&gt;=Settings!$B$13,1,0)</f>
        <v>0</v>
      </c>
      <c r="J10" s="53" t="n">
        <v>1</v>
      </c>
      <c r="K10" s="53" t="n">
        <f aca="false">G10*I10*J10</f>
        <v>0</v>
      </c>
      <c r="L10" s="53" t="n">
        <f aca="false">F10*I10*J10</f>
        <v>0</v>
      </c>
      <c r="M10" s="54" t="n">
        <f aca="false">H10*I10*J10</f>
        <v>0</v>
      </c>
      <c r="N10" s="54" t="n">
        <f aca="false">E10*I10*J10</f>
        <v>-0</v>
      </c>
      <c r="O10" s="53" t="n">
        <f aca="false">G10*J10</f>
        <v>115</v>
      </c>
      <c r="P10" s="53" t="n">
        <f aca="false">F10*J10</f>
        <v>0</v>
      </c>
    </row>
    <row r="11" customFormat="false" ht="15" hidden="false" customHeight="false" outlineLevel="0" collapsed="false">
      <c r="A11" s="53" t="s">
        <v>89</v>
      </c>
      <c r="B11" s="53" t="s">
        <v>117</v>
      </c>
      <c r="C11" s="53" t="s">
        <v>155</v>
      </c>
      <c r="D11" s="53" t="s">
        <v>50</v>
      </c>
      <c r="E11" s="54" t="n">
        <v>0</v>
      </c>
      <c r="F11" s="53" t="n">
        <v>0</v>
      </c>
      <c r="G11" s="53" t="n">
        <v>77</v>
      </c>
      <c r="H11" s="54" t="n">
        <v>6511.804</v>
      </c>
      <c r="I11" s="53" t="n">
        <f aca="false">IF(B11&gt;=Settings!$B$13,1,0)</f>
        <v>0</v>
      </c>
      <c r="J11" s="53" t="n">
        <v>1</v>
      </c>
      <c r="K11" s="53" t="n">
        <f aca="false">G11*I11*J11</f>
        <v>0</v>
      </c>
      <c r="L11" s="53" t="n">
        <f aca="false">F11*I11*J11</f>
        <v>0</v>
      </c>
      <c r="M11" s="54" t="n">
        <f aca="false">H11*I11*J11</f>
        <v>0</v>
      </c>
      <c r="N11" s="54" t="n">
        <f aca="false">E11*I11*J11</f>
        <v>-0</v>
      </c>
      <c r="O11" s="53" t="n">
        <f aca="false">G11*J11</f>
        <v>77</v>
      </c>
      <c r="P11" s="53" t="n">
        <f aca="false">F11*J11</f>
        <v>0</v>
      </c>
    </row>
    <row r="12" customFormat="false" ht="15" hidden="false" customHeight="false" outlineLevel="0" collapsed="false">
      <c r="A12" s="53" t="s">
        <v>93</v>
      </c>
      <c r="B12" s="53" t="s">
        <v>117</v>
      </c>
      <c r="C12" s="53" t="s">
        <v>323</v>
      </c>
      <c r="D12" s="53" t="s">
        <v>62</v>
      </c>
      <c r="E12" s="54" t="n">
        <v>0</v>
      </c>
      <c r="F12" s="53" t="n">
        <v>0</v>
      </c>
      <c r="G12" s="53" t="n">
        <v>3</v>
      </c>
      <c r="H12" s="54" t="n">
        <v>432.85</v>
      </c>
      <c r="I12" s="53" t="n">
        <f aca="false">IF(B12&gt;=Settings!$B$13,1,0)</f>
        <v>0</v>
      </c>
      <c r="J12" s="53" t="n">
        <v>1</v>
      </c>
      <c r="K12" s="53" t="n">
        <f aca="false">G12*I12*J12</f>
        <v>0</v>
      </c>
      <c r="L12" s="53" t="n">
        <f aca="false">F12*I12*J12</f>
        <v>0</v>
      </c>
      <c r="M12" s="54" t="n">
        <f aca="false">H12*I12*J12</f>
        <v>0</v>
      </c>
      <c r="N12" s="54" t="n">
        <f aca="false">E12*I12*J12</f>
        <v>-0</v>
      </c>
      <c r="O12" s="53" t="n">
        <f aca="false">G12*J12</f>
        <v>3</v>
      </c>
      <c r="P12" s="53" t="n">
        <f aca="false">F12*J12</f>
        <v>0</v>
      </c>
    </row>
    <row r="13" customFormat="false" ht="15" hidden="false" customHeight="false" outlineLevel="0" collapsed="false">
      <c r="A13" s="53" t="s">
        <v>97</v>
      </c>
      <c r="B13" s="53" t="s">
        <v>117</v>
      </c>
      <c r="C13" s="53" t="s">
        <v>324</v>
      </c>
      <c r="D13" s="53" t="s">
        <v>46</v>
      </c>
      <c r="E13" s="54" t="n">
        <v>0</v>
      </c>
      <c r="F13" s="53" t="n">
        <v>0</v>
      </c>
      <c r="G13" s="53" t="n">
        <v>2</v>
      </c>
      <c r="H13" s="54" t="n">
        <v>229.9</v>
      </c>
      <c r="I13" s="53" t="n">
        <f aca="false">IF(B13&gt;=Settings!$B$13,1,0)</f>
        <v>0</v>
      </c>
      <c r="J13" s="53" t="n">
        <v>1</v>
      </c>
      <c r="K13" s="53" t="n">
        <f aca="false">G13*I13*J13</f>
        <v>0</v>
      </c>
      <c r="L13" s="53" t="n">
        <f aca="false">F13*I13*J13</f>
        <v>0</v>
      </c>
      <c r="M13" s="54" t="n">
        <f aca="false">H13*I13*J13</f>
        <v>0</v>
      </c>
      <c r="N13" s="54" t="n">
        <f aca="false">E13*I13*J13</f>
        <v>-0</v>
      </c>
      <c r="O13" s="53" t="n">
        <f aca="false">G13*J13</f>
        <v>2</v>
      </c>
      <c r="P13" s="53" t="n">
        <f aca="false">F13*J13</f>
        <v>0</v>
      </c>
    </row>
    <row r="14" customFormat="false" ht="15" hidden="false" customHeight="false" outlineLevel="0" collapsed="false">
      <c r="A14" s="53" t="s">
        <v>89</v>
      </c>
      <c r="B14" s="53" t="s">
        <v>117</v>
      </c>
      <c r="C14" s="53" t="s">
        <v>163</v>
      </c>
      <c r="D14" s="53" t="s">
        <v>50</v>
      </c>
      <c r="E14" s="54" t="n">
        <v>0</v>
      </c>
      <c r="F14" s="53" t="n">
        <v>0</v>
      </c>
      <c r="G14" s="53" t="n">
        <v>3</v>
      </c>
      <c r="H14" s="54" t="n">
        <v>477.584</v>
      </c>
      <c r="I14" s="53" t="n">
        <f aca="false">IF(B14&gt;=Settings!$B$13,1,0)</f>
        <v>0</v>
      </c>
      <c r="J14" s="53" t="n">
        <v>1</v>
      </c>
      <c r="K14" s="53" t="n">
        <f aca="false">G14*I14*J14</f>
        <v>0</v>
      </c>
      <c r="L14" s="53" t="n">
        <f aca="false">F14*I14*J14</f>
        <v>0</v>
      </c>
      <c r="M14" s="54" t="n">
        <f aca="false">H14*I14*J14</f>
        <v>0</v>
      </c>
      <c r="N14" s="54" t="n">
        <f aca="false">E14*I14*J14</f>
        <v>-0</v>
      </c>
      <c r="O14" s="53" t="n">
        <f aca="false">G14*J14</f>
        <v>3</v>
      </c>
      <c r="P14" s="53" t="n">
        <f aca="false">F14*J14</f>
        <v>0</v>
      </c>
    </row>
    <row r="15" customFormat="false" ht="15" hidden="false" customHeight="false" outlineLevel="0" collapsed="false">
      <c r="A15" s="53" t="s">
        <v>97</v>
      </c>
      <c r="B15" s="53" t="s">
        <v>117</v>
      </c>
      <c r="C15" s="53" t="s">
        <v>325</v>
      </c>
      <c r="D15" s="53" t="s">
        <v>58</v>
      </c>
      <c r="E15" s="54" t="n">
        <v>0</v>
      </c>
      <c r="F15" s="53" t="n">
        <v>0</v>
      </c>
      <c r="G15" s="53" t="n">
        <v>1</v>
      </c>
      <c r="H15" s="54" t="n">
        <v>124.95</v>
      </c>
      <c r="I15" s="53" t="n">
        <f aca="false">IF(B15&gt;=Settings!$B$13,1,0)</f>
        <v>0</v>
      </c>
      <c r="J15" s="53" t="n">
        <v>1</v>
      </c>
      <c r="K15" s="53" t="n">
        <f aca="false">G15*I15*J15</f>
        <v>0</v>
      </c>
      <c r="L15" s="53" t="n">
        <f aca="false">F15*I15*J15</f>
        <v>0</v>
      </c>
      <c r="M15" s="54" t="n">
        <f aca="false">H15*I15*J15</f>
        <v>0</v>
      </c>
      <c r="N15" s="54" t="n">
        <f aca="false">E15*I15*J15</f>
        <v>-0</v>
      </c>
      <c r="O15" s="53" t="n">
        <f aca="false">G15*J15</f>
        <v>1</v>
      </c>
      <c r="P15" s="53" t="n">
        <f aca="false">F15*J15</f>
        <v>0</v>
      </c>
    </row>
    <row r="16" customFormat="false" ht="15" hidden="false" customHeight="false" outlineLevel="0" collapsed="false">
      <c r="A16" s="53" t="s">
        <v>89</v>
      </c>
      <c r="B16" s="53" t="s">
        <v>117</v>
      </c>
      <c r="C16" s="53" t="s">
        <v>317</v>
      </c>
      <c r="D16" s="53" t="s">
        <v>46</v>
      </c>
      <c r="E16" s="54" t="n">
        <v>0</v>
      </c>
      <c r="F16" s="53" t="n">
        <v>0</v>
      </c>
      <c r="G16" s="53" t="n">
        <v>29</v>
      </c>
      <c r="H16" s="54" t="n">
        <v>3204.438</v>
      </c>
      <c r="I16" s="53" t="n">
        <f aca="false">IF(B16&gt;=Settings!$B$13,1,0)</f>
        <v>0</v>
      </c>
      <c r="J16" s="53" t="n">
        <v>1</v>
      </c>
      <c r="K16" s="53" t="n">
        <f aca="false">G16*I16*J16</f>
        <v>0</v>
      </c>
      <c r="L16" s="53" t="n">
        <f aca="false">F16*I16*J16</f>
        <v>0</v>
      </c>
      <c r="M16" s="54" t="n">
        <f aca="false">H16*I16*J16</f>
        <v>0</v>
      </c>
      <c r="N16" s="54" t="n">
        <f aca="false">E16*I16*J16</f>
        <v>-0</v>
      </c>
      <c r="O16" s="53" t="n">
        <f aca="false">G16*J16</f>
        <v>29</v>
      </c>
      <c r="P16" s="53" t="n">
        <f aca="false">F16*J16</f>
        <v>0</v>
      </c>
    </row>
    <row r="17" customFormat="false" ht="15" hidden="false" customHeight="false" outlineLevel="0" collapsed="false">
      <c r="A17" s="53" t="s">
        <v>97</v>
      </c>
      <c r="B17" s="53" t="s">
        <v>117</v>
      </c>
      <c r="C17" s="53" t="s">
        <v>326</v>
      </c>
      <c r="D17" s="53" t="s">
        <v>54</v>
      </c>
      <c r="E17" s="54" t="n">
        <v>0</v>
      </c>
      <c r="F17" s="53" t="n">
        <v>0</v>
      </c>
      <c r="G17" s="53" t="n">
        <v>2</v>
      </c>
      <c r="H17" s="54" t="n">
        <v>229.9</v>
      </c>
      <c r="I17" s="53" t="n">
        <f aca="false">IF(B17&gt;=Settings!$B$13,1,0)</f>
        <v>0</v>
      </c>
      <c r="J17" s="53" t="n">
        <v>1</v>
      </c>
      <c r="K17" s="53" t="n">
        <f aca="false">G17*I17*J17</f>
        <v>0</v>
      </c>
      <c r="L17" s="53" t="n">
        <f aca="false">F17*I17*J17</f>
        <v>0</v>
      </c>
      <c r="M17" s="54" t="n">
        <f aca="false">H17*I17*J17</f>
        <v>0</v>
      </c>
      <c r="N17" s="54" t="n">
        <f aca="false">E17*I17*J17</f>
        <v>-0</v>
      </c>
      <c r="O17" s="53" t="n">
        <f aca="false">G17*J17</f>
        <v>2</v>
      </c>
      <c r="P17" s="53" t="n">
        <f aca="false">F17*J17</f>
        <v>0</v>
      </c>
    </row>
    <row r="18" customFormat="false" ht="15" hidden="false" customHeight="false" outlineLevel="0" collapsed="false">
      <c r="A18" s="53" t="s">
        <v>97</v>
      </c>
      <c r="B18" s="53" t="s">
        <v>117</v>
      </c>
      <c r="C18" s="53" t="s">
        <v>327</v>
      </c>
      <c r="D18" s="53" t="s">
        <v>42</v>
      </c>
      <c r="E18" s="54" t="n">
        <v>0</v>
      </c>
      <c r="F18" s="53" t="n">
        <v>0</v>
      </c>
      <c r="G18" s="53" t="n">
        <v>4</v>
      </c>
      <c r="H18" s="54" t="n">
        <v>679.8</v>
      </c>
      <c r="I18" s="53" t="n">
        <f aca="false">IF(B18&gt;=Settings!$B$13,1,0)</f>
        <v>0</v>
      </c>
      <c r="J18" s="53" t="n">
        <v>1</v>
      </c>
      <c r="K18" s="53" t="n">
        <f aca="false">G18*I18*J18</f>
        <v>0</v>
      </c>
      <c r="L18" s="53" t="n">
        <f aca="false">F18*I18*J18</f>
        <v>0</v>
      </c>
      <c r="M18" s="54" t="n">
        <f aca="false">H18*I18*J18</f>
        <v>0</v>
      </c>
      <c r="N18" s="54" t="n">
        <f aca="false">E18*I18*J18</f>
        <v>-0</v>
      </c>
      <c r="O18" s="53" t="n">
        <f aca="false">G18*J18</f>
        <v>4</v>
      </c>
      <c r="P18" s="53" t="n">
        <f aca="false">F18*J18</f>
        <v>0</v>
      </c>
    </row>
    <row r="19" customFormat="false" ht="15" hidden="false" customHeight="false" outlineLevel="0" collapsed="false">
      <c r="A19" s="53" t="s">
        <v>89</v>
      </c>
      <c r="B19" s="53" t="s">
        <v>117</v>
      </c>
      <c r="C19" s="53" t="s">
        <v>328</v>
      </c>
      <c r="D19" s="53" t="s">
        <v>50</v>
      </c>
      <c r="E19" s="54" t="n">
        <v>0</v>
      </c>
      <c r="F19" s="53" t="n">
        <v>0</v>
      </c>
      <c r="G19" s="53" t="n">
        <v>18</v>
      </c>
      <c r="H19" s="54" t="n">
        <v>1737.74</v>
      </c>
      <c r="I19" s="53" t="n">
        <f aca="false">IF(B19&gt;=Settings!$B$13,1,0)</f>
        <v>0</v>
      </c>
      <c r="J19" s="53" t="n">
        <v>1</v>
      </c>
      <c r="K19" s="53" t="n">
        <f aca="false">G19*I19*J19</f>
        <v>0</v>
      </c>
      <c r="L19" s="53" t="n">
        <f aca="false">F19*I19*J19</f>
        <v>0</v>
      </c>
      <c r="M19" s="54" t="n">
        <f aca="false">H19*I19*J19</f>
        <v>0</v>
      </c>
      <c r="N19" s="54" t="n">
        <f aca="false">E19*I19*J19</f>
        <v>-0</v>
      </c>
      <c r="O19" s="53" t="n">
        <f aca="false">G19*J19</f>
        <v>18</v>
      </c>
      <c r="P19" s="53" t="n">
        <f aca="false">F19*J19</f>
        <v>0</v>
      </c>
    </row>
    <row r="20" customFormat="false" ht="15" hidden="false" customHeight="false" outlineLevel="0" collapsed="false">
      <c r="A20" s="53" t="s">
        <v>97</v>
      </c>
      <c r="B20" s="53" t="s">
        <v>117</v>
      </c>
      <c r="C20" s="53" t="s">
        <v>329</v>
      </c>
      <c r="D20" s="53" t="s">
        <v>66</v>
      </c>
      <c r="E20" s="54" t="n">
        <v>0</v>
      </c>
      <c r="F20" s="53" t="n">
        <v>0</v>
      </c>
      <c r="G20" s="53" t="n">
        <v>2</v>
      </c>
      <c r="H20" s="54" t="n">
        <v>139.9</v>
      </c>
      <c r="I20" s="53" t="n">
        <f aca="false">IF(B20&gt;=Settings!$B$13,1,0)</f>
        <v>0</v>
      </c>
      <c r="J20" s="53" t="n">
        <v>1</v>
      </c>
      <c r="K20" s="53" t="n">
        <f aca="false">G20*I20*J20</f>
        <v>0</v>
      </c>
      <c r="L20" s="53" t="n">
        <f aca="false">F20*I20*J20</f>
        <v>0</v>
      </c>
      <c r="M20" s="54" t="n">
        <f aca="false">H20*I20*J20</f>
        <v>0</v>
      </c>
      <c r="N20" s="54" t="n">
        <f aca="false">E20*I20*J20</f>
        <v>-0</v>
      </c>
      <c r="O20" s="53" t="n">
        <f aca="false">G20*J20</f>
        <v>2</v>
      </c>
      <c r="P20" s="53" t="n">
        <f aca="false">F20*J20</f>
        <v>0</v>
      </c>
    </row>
    <row r="21" customFormat="false" ht="15" hidden="false" customHeight="false" outlineLevel="0" collapsed="false">
      <c r="A21" s="53" t="s">
        <v>89</v>
      </c>
      <c r="B21" s="53" t="s">
        <v>117</v>
      </c>
      <c r="C21" s="53" t="s">
        <v>330</v>
      </c>
      <c r="D21" s="53" t="s">
        <v>46</v>
      </c>
      <c r="E21" s="54" t="n">
        <v>0</v>
      </c>
      <c r="F21" s="53" t="n">
        <v>0</v>
      </c>
      <c r="G21" s="53" t="n">
        <v>41</v>
      </c>
      <c r="H21" s="54" t="n">
        <v>5917.055</v>
      </c>
      <c r="I21" s="53" t="n">
        <f aca="false">IF(B21&gt;=Settings!$B$13,1,0)</f>
        <v>0</v>
      </c>
      <c r="J21" s="53" t="n">
        <v>1</v>
      </c>
      <c r="K21" s="53" t="n">
        <f aca="false">G21*I21*J21</f>
        <v>0</v>
      </c>
      <c r="L21" s="53" t="n">
        <f aca="false">F21*I21*J21</f>
        <v>0</v>
      </c>
      <c r="M21" s="54" t="n">
        <f aca="false">H21*I21*J21</f>
        <v>0</v>
      </c>
      <c r="N21" s="54" t="n">
        <f aca="false">E21*I21*J21</f>
        <v>-0</v>
      </c>
      <c r="O21" s="53" t="n">
        <f aca="false">G21*J21</f>
        <v>41</v>
      </c>
      <c r="P21" s="53" t="n">
        <f aca="false">F21*J21</f>
        <v>0</v>
      </c>
    </row>
    <row r="22" customFormat="false" ht="15" hidden="false" customHeight="false" outlineLevel="0" collapsed="false">
      <c r="A22" s="53" t="s">
        <v>97</v>
      </c>
      <c r="B22" s="53" t="s">
        <v>117</v>
      </c>
      <c r="C22" s="53" t="s">
        <v>331</v>
      </c>
      <c r="D22" s="53" t="s">
        <v>50</v>
      </c>
      <c r="E22" s="54" t="n">
        <v>0</v>
      </c>
      <c r="F22" s="53" t="n">
        <v>0</v>
      </c>
      <c r="G22" s="53" t="n">
        <v>1</v>
      </c>
      <c r="H22" s="54" t="n">
        <v>139.95</v>
      </c>
      <c r="I22" s="53" t="n">
        <f aca="false">IF(B22&gt;=Settings!$B$13,1,0)</f>
        <v>0</v>
      </c>
      <c r="J22" s="53" t="n">
        <v>1</v>
      </c>
      <c r="K22" s="53" t="n">
        <f aca="false">G22*I22*J22</f>
        <v>0</v>
      </c>
      <c r="L22" s="53" t="n">
        <f aca="false">F22*I22*J22</f>
        <v>0</v>
      </c>
      <c r="M22" s="54" t="n">
        <f aca="false">H22*I22*J22</f>
        <v>0</v>
      </c>
      <c r="N22" s="54" t="n">
        <f aca="false">E22*I22*J22</f>
        <v>-0</v>
      </c>
      <c r="O22" s="53" t="n">
        <f aca="false">G22*J22</f>
        <v>1</v>
      </c>
      <c r="P22" s="53" t="n">
        <f aca="false">F22*J22</f>
        <v>0</v>
      </c>
    </row>
    <row r="23" customFormat="false" ht="15" hidden="false" customHeight="false" outlineLevel="0" collapsed="false">
      <c r="A23" s="53" t="s">
        <v>89</v>
      </c>
      <c r="B23" s="53" t="s">
        <v>117</v>
      </c>
      <c r="C23" s="53" t="s">
        <v>332</v>
      </c>
      <c r="D23" s="53" t="s">
        <v>46</v>
      </c>
      <c r="E23" s="54" t="n">
        <v>0</v>
      </c>
      <c r="F23" s="53" t="n">
        <v>0</v>
      </c>
      <c r="G23" s="53" t="n">
        <v>60</v>
      </c>
      <c r="H23" s="54" t="n">
        <v>5076.508</v>
      </c>
      <c r="I23" s="53" t="n">
        <f aca="false">IF(B23&gt;=Settings!$B$13,1,0)</f>
        <v>0</v>
      </c>
      <c r="J23" s="53" t="n">
        <v>1</v>
      </c>
      <c r="K23" s="53" t="n">
        <f aca="false">G23*I23*J23</f>
        <v>0</v>
      </c>
      <c r="L23" s="53" t="n">
        <f aca="false">F23*I23*J23</f>
        <v>0</v>
      </c>
      <c r="M23" s="54" t="n">
        <f aca="false">H23*I23*J23</f>
        <v>0</v>
      </c>
      <c r="N23" s="54" t="n">
        <f aca="false">E23*I23*J23</f>
        <v>-0</v>
      </c>
      <c r="O23" s="53" t="n">
        <f aca="false">G23*J23</f>
        <v>60</v>
      </c>
      <c r="P23" s="53" t="n">
        <f aca="false">F23*J23</f>
        <v>0</v>
      </c>
    </row>
    <row r="24" customFormat="false" ht="15" hidden="false" customHeight="false" outlineLevel="0" collapsed="false">
      <c r="A24" s="53" t="s">
        <v>89</v>
      </c>
      <c r="B24" s="53" t="s">
        <v>117</v>
      </c>
      <c r="C24" s="53" t="s">
        <v>333</v>
      </c>
      <c r="D24" s="53" t="s">
        <v>54</v>
      </c>
      <c r="E24" s="54" t="n">
        <v>0</v>
      </c>
      <c r="F24" s="53" t="n">
        <v>0</v>
      </c>
      <c r="G24" s="53" t="n">
        <v>65</v>
      </c>
      <c r="H24" s="54" t="n">
        <v>4524.737</v>
      </c>
      <c r="I24" s="53" t="n">
        <f aca="false">IF(B24&gt;=Settings!$B$13,1,0)</f>
        <v>0</v>
      </c>
      <c r="J24" s="53" t="n">
        <v>1</v>
      </c>
      <c r="K24" s="53" t="n">
        <f aca="false">G24*I24*J24</f>
        <v>0</v>
      </c>
      <c r="L24" s="53" t="n">
        <f aca="false">F24*I24*J24</f>
        <v>0</v>
      </c>
      <c r="M24" s="54" t="n">
        <f aca="false">H24*I24*J24</f>
        <v>0</v>
      </c>
      <c r="N24" s="54" t="n">
        <f aca="false">E24*I24*J24</f>
        <v>-0</v>
      </c>
      <c r="O24" s="53" t="n">
        <f aca="false">G24*J24</f>
        <v>65</v>
      </c>
      <c r="P24" s="53" t="n">
        <f aca="false">F24*J24</f>
        <v>0</v>
      </c>
    </row>
    <row r="25" customFormat="false" ht="15" hidden="false" customHeight="false" outlineLevel="0" collapsed="false">
      <c r="A25" s="53" t="s">
        <v>97</v>
      </c>
      <c r="B25" s="53" t="s">
        <v>117</v>
      </c>
      <c r="C25" s="53" t="s">
        <v>334</v>
      </c>
      <c r="D25" s="53" t="s">
        <v>54</v>
      </c>
      <c r="E25" s="54" t="n">
        <v>0</v>
      </c>
      <c r="F25" s="53" t="n">
        <v>0</v>
      </c>
      <c r="G25" s="53" t="n">
        <v>1</v>
      </c>
      <c r="H25" s="54" t="n">
        <v>124.95</v>
      </c>
      <c r="I25" s="53" t="n">
        <f aca="false">IF(B25&gt;=Settings!$B$13,1,0)</f>
        <v>0</v>
      </c>
      <c r="J25" s="53" t="n">
        <v>1</v>
      </c>
      <c r="K25" s="53" t="n">
        <f aca="false">G25*I25*J25</f>
        <v>0</v>
      </c>
      <c r="L25" s="53" t="n">
        <f aca="false">F25*I25*J25</f>
        <v>0</v>
      </c>
      <c r="M25" s="54" t="n">
        <f aca="false">H25*I25*J25</f>
        <v>0</v>
      </c>
      <c r="N25" s="54" t="n">
        <f aca="false">E25*I25*J25</f>
        <v>-0</v>
      </c>
      <c r="O25" s="53" t="n">
        <f aca="false">G25*J25</f>
        <v>1</v>
      </c>
      <c r="P25" s="53" t="n">
        <f aca="false">F25*J25</f>
        <v>0</v>
      </c>
    </row>
    <row r="26" customFormat="false" ht="15" hidden="false" customHeight="false" outlineLevel="0" collapsed="false">
      <c r="A26" s="53" t="s">
        <v>97</v>
      </c>
      <c r="B26" s="53" t="s">
        <v>117</v>
      </c>
      <c r="C26" s="53" t="s">
        <v>335</v>
      </c>
      <c r="D26" s="53" t="s">
        <v>50</v>
      </c>
      <c r="E26" s="54" t="n">
        <v>0</v>
      </c>
      <c r="F26" s="53" t="n">
        <v>0</v>
      </c>
      <c r="G26" s="53" t="n">
        <v>1</v>
      </c>
      <c r="H26" s="54" t="n">
        <v>109.95</v>
      </c>
      <c r="I26" s="53" t="n">
        <f aca="false">IF(B26&gt;=Settings!$B$13,1,0)</f>
        <v>0</v>
      </c>
      <c r="J26" s="53" t="n">
        <v>1</v>
      </c>
      <c r="K26" s="53" t="n">
        <f aca="false">G26*I26*J26</f>
        <v>0</v>
      </c>
      <c r="L26" s="53" t="n">
        <f aca="false">F26*I26*J26</f>
        <v>0</v>
      </c>
      <c r="M26" s="54" t="n">
        <f aca="false">H26*I26*J26</f>
        <v>0</v>
      </c>
      <c r="N26" s="54" t="n">
        <f aca="false">E26*I26*J26</f>
        <v>-0</v>
      </c>
      <c r="O26" s="53" t="n">
        <f aca="false">G26*J26</f>
        <v>1</v>
      </c>
      <c r="P26" s="53" t="n">
        <f aca="false">F26*J26</f>
        <v>0</v>
      </c>
    </row>
    <row r="27" customFormat="false" ht="15" hidden="false" customHeight="false" outlineLevel="0" collapsed="false">
      <c r="A27" s="53" t="s">
        <v>89</v>
      </c>
      <c r="B27" s="53" t="s">
        <v>117</v>
      </c>
      <c r="C27" s="53" t="s">
        <v>323</v>
      </c>
      <c r="D27" s="53" t="s">
        <v>62</v>
      </c>
      <c r="E27" s="54" t="n">
        <v>0</v>
      </c>
      <c r="F27" s="53" t="n">
        <v>0</v>
      </c>
      <c r="G27" s="53" t="n">
        <v>7</v>
      </c>
      <c r="H27" s="54" t="n">
        <v>994.154</v>
      </c>
      <c r="I27" s="53" t="n">
        <f aca="false">IF(B27&gt;=Settings!$B$13,1,0)</f>
        <v>0</v>
      </c>
      <c r="J27" s="53" t="n">
        <v>1</v>
      </c>
      <c r="K27" s="53" t="n">
        <f aca="false">G27*I27*J27</f>
        <v>0</v>
      </c>
      <c r="L27" s="53" t="n">
        <f aca="false">F27*I27*J27</f>
        <v>0</v>
      </c>
      <c r="M27" s="54" t="n">
        <f aca="false">H27*I27*J27</f>
        <v>0</v>
      </c>
      <c r="N27" s="54" t="n">
        <f aca="false">E27*I27*J27</f>
        <v>-0</v>
      </c>
      <c r="O27" s="53" t="n">
        <f aca="false">G27*J27</f>
        <v>7</v>
      </c>
      <c r="P27" s="53" t="n">
        <f aca="false">F27*J27</f>
        <v>0</v>
      </c>
    </row>
    <row r="28" customFormat="false" ht="15" hidden="false" customHeight="false" outlineLevel="0" collapsed="false">
      <c r="A28" s="53" t="s">
        <v>97</v>
      </c>
      <c r="B28" s="53" t="s">
        <v>117</v>
      </c>
      <c r="C28" s="53" t="s">
        <v>336</v>
      </c>
      <c r="D28" s="53" t="s">
        <v>66</v>
      </c>
      <c r="E28" s="54" t="n">
        <v>0</v>
      </c>
      <c r="F28" s="53" t="n">
        <v>0</v>
      </c>
      <c r="G28" s="53" t="n">
        <v>1</v>
      </c>
      <c r="H28" s="54" t="n">
        <v>69.95</v>
      </c>
      <c r="I28" s="53" t="n">
        <f aca="false">IF(B28&gt;=Settings!$B$13,1,0)</f>
        <v>0</v>
      </c>
      <c r="J28" s="53" t="n">
        <v>1</v>
      </c>
      <c r="K28" s="53" t="n">
        <f aca="false">G28*I28*J28</f>
        <v>0</v>
      </c>
      <c r="L28" s="53" t="n">
        <f aca="false">F28*I28*J28</f>
        <v>0</v>
      </c>
      <c r="M28" s="54" t="n">
        <f aca="false">H28*I28*J28</f>
        <v>0</v>
      </c>
      <c r="N28" s="54" t="n">
        <f aca="false">E28*I28*J28</f>
        <v>-0</v>
      </c>
      <c r="O28" s="53" t="n">
        <f aca="false">G28*J28</f>
        <v>1</v>
      </c>
      <c r="P28" s="53" t="n">
        <f aca="false">F28*J28</f>
        <v>0</v>
      </c>
    </row>
    <row r="29" customFormat="false" ht="15" hidden="false" customHeight="false" outlineLevel="0" collapsed="false">
      <c r="A29" s="53" t="s">
        <v>97</v>
      </c>
      <c r="B29" s="53" t="s">
        <v>117</v>
      </c>
      <c r="C29" s="53" t="s">
        <v>337</v>
      </c>
      <c r="D29" s="53" t="s">
        <v>58</v>
      </c>
      <c r="E29" s="54" t="n">
        <v>0</v>
      </c>
      <c r="F29" s="53" t="n">
        <v>0</v>
      </c>
      <c r="G29" s="53" t="n">
        <v>1</v>
      </c>
      <c r="H29" s="54" t="n">
        <v>180.95</v>
      </c>
      <c r="I29" s="53" t="n">
        <f aca="false">IF(B29&gt;=Settings!$B$13,1,0)</f>
        <v>0</v>
      </c>
      <c r="J29" s="53" t="n">
        <v>1</v>
      </c>
      <c r="K29" s="53" t="n">
        <f aca="false">G29*I29*J29</f>
        <v>0</v>
      </c>
      <c r="L29" s="53" t="n">
        <f aca="false">F29*I29*J29</f>
        <v>0</v>
      </c>
      <c r="M29" s="54" t="n">
        <f aca="false">H29*I29*J29</f>
        <v>0</v>
      </c>
      <c r="N29" s="54" t="n">
        <f aca="false">E29*I29*J29</f>
        <v>-0</v>
      </c>
      <c r="O29" s="53" t="n">
        <f aca="false">G29*J29</f>
        <v>1</v>
      </c>
      <c r="P29" s="53" t="n">
        <f aca="false">F29*J29</f>
        <v>0</v>
      </c>
    </row>
    <row r="30" customFormat="false" ht="15" hidden="false" customHeight="false" outlineLevel="0" collapsed="false">
      <c r="A30" s="53" t="s">
        <v>89</v>
      </c>
      <c r="B30" s="53" t="s">
        <v>117</v>
      </c>
      <c r="C30" s="53" t="s">
        <v>338</v>
      </c>
      <c r="D30" s="53" t="s">
        <v>50</v>
      </c>
      <c r="E30" s="54" t="n">
        <v>0</v>
      </c>
      <c r="F30" s="53" t="n">
        <v>0</v>
      </c>
      <c r="G30" s="53" t="n">
        <v>2</v>
      </c>
      <c r="H30" s="54" t="n">
        <v>188.3</v>
      </c>
      <c r="I30" s="53" t="n">
        <f aca="false">IF(B30&gt;=Settings!$B$13,1,0)</f>
        <v>0</v>
      </c>
      <c r="J30" s="53" t="n">
        <v>1</v>
      </c>
      <c r="K30" s="53" t="n">
        <f aca="false">G30*I30*J30</f>
        <v>0</v>
      </c>
      <c r="L30" s="53" t="n">
        <f aca="false">F30*I30*J30</f>
        <v>0</v>
      </c>
      <c r="M30" s="54" t="n">
        <f aca="false">H30*I30*J30</f>
        <v>0</v>
      </c>
      <c r="N30" s="54" t="n">
        <f aca="false">E30*I30*J30</f>
        <v>-0</v>
      </c>
      <c r="O30" s="53" t="n">
        <f aca="false">G30*J30</f>
        <v>2</v>
      </c>
      <c r="P30" s="53" t="n">
        <f aca="false">F30*J30</f>
        <v>0</v>
      </c>
    </row>
    <row r="31" customFormat="false" ht="15" hidden="false" customHeight="false" outlineLevel="0" collapsed="false">
      <c r="A31" s="53" t="s">
        <v>97</v>
      </c>
      <c r="B31" s="53" t="s">
        <v>117</v>
      </c>
      <c r="C31" s="53" t="s">
        <v>339</v>
      </c>
      <c r="D31" s="53" t="s">
        <v>50</v>
      </c>
      <c r="E31" s="54" t="n">
        <v>0</v>
      </c>
      <c r="F31" s="53" t="n">
        <v>0</v>
      </c>
      <c r="G31" s="53" t="n">
        <v>1</v>
      </c>
      <c r="H31" s="54" t="n">
        <v>154.95</v>
      </c>
      <c r="I31" s="53" t="n">
        <f aca="false">IF(B31&gt;=Settings!$B$13,1,0)</f>
        <v>0</v>
      </c>
      <c r="J31" s="53" t="n">
        <v>1</v>
      </c>
      <c r="K31" s="53" t="n">
        <f aca="false">G31*I31*J31</f>
        <v>0</v>
      </c>
      <c r="L31" s="53" t="n">
        <f aca="false">F31*I31*J31</f>
        <v>0</v>
      </c>
      <c r="M31" s="54" t="n">
        <f aca="false">H31*I31*J31</f>
        <v>0</v>
      </c>
      <c r="N31" s="54" t="n">
        <f aca="false">E31*I31*J31</f>
        <v>-0</v>
      </c>
      <c r="O31" s="53" t="n">
        <f aca="false">G31*J31</f>
        <v>1</v>
      </c>
      <c r="P31" s="53" t="n">
        <f aca="false">F31*J31</f>
        <v>0</v>
      </c>
    </row>
    <row r="32" customFormat="false" ht="15" hidden="false" customHeight="false" outlineLevel="0" collapsed="false">
      <c r="A32" s="53" t="s">
        <v>97</v>
      </c>
      <c r="B32" s="53" t="s">
        <v>117</v>
      </c>
      <c r="C32" s="53" t="s">
        <v>340</v>
      </c>
      <c r="D32" s="53" t="s">
        <v>50</v>
      </c>
      <c r="E32" s="54" t="n">
        <v>0</v>
      </c>
      <c r="F32" s="53" t="n">
        <v>0</v>
      </c>
      <c r="G32" s="53" t="n">
        <v>2</v>
      </c>
      <c r="H32" s="54" t="n">
        <v>169.9</v>
      </c>
      <c r="I32" s="53" t="n">
        <f aca="false">IF(B32&gt;=Settings!$B$13,1,0)</f>
        <v>0</v>
      </c>
      <c r="J32" s="53" t="n">
        <v>1</v>
      </c>
      <c r="K32" s="53" t="n">
        <f aca="false">G32*I32*J32</f>
        <v>0</v>
      </c>
      <c r="L32" s="53" t="n">
        <f aca="false">F32*I32*J32</f>
        <v>0</v>
      </c>
      <c r="M32" s="54" t="n">
        <f aca="false">H32*I32*J32</f>
        <v>0</v>
      </c>
      <c r="N32" s="54" t="n">
        <f aca="false">E32*I32*J32</f>
        <v>-0</v>
      </c>
      <c r="O32" s="53" t="n">
        <f aca="false">G32*J32</f>
        <v>2</v>
      </c>
      <c r="P32" s="53" t="n">
        <f aca="false">F32*J32</f>
        <v>0</v>
      </c>
    </row>
    <row r="33" customFormat="false" ht="15" hidden="false" customHeight="false" outlineLevel="0" collapsed="false">
      <c r="A33" s="53" t="s">
        <v>97</v>
      </c>
      <c r="B33" s="53" t="s">
        <v>117</v>
      </c>
      <c r="C33" s="53" t="s">
        <v>341</v>
      </c>
      <c r="D33" s="53" t="s">
        <v>54</v>
      </c>
      <c r="E33" s="54" t="n">
        <v>0</v>
      </c>
      <c r="F33" s="53" t="n">
        <v>0</v>
      </c>
      <c r="G33" s="53" t="n">
        <v>2</v>
      </c>
      <c r="H33" s="54" t="n">
        <v>209.9</v>
      </c>
      <c r="I33" s="53" t="n">
        <f aca="false">IF(B33&gt;=Settings!$B$13,1,0)</f>
        <v>0</v>
      </c>
      <c r="J33" s="53" t="n">
        <v>1</v>
      </c>
      <c r="K33" s="53" t="n">
        <f aca="false">G33*I33*J33</f>
        <v>0</v>
      </c>
      <c r="L33" s="53" t="n">
        <f aca="false">F33*I33*J33</f>
        <v>0</v>
      </c>
      <c r="M33" s="54" t="n">
        <f aca="false">H33*I33*J33</f>
        <v>0</v>
      </c>
      <c r="N33" s="54" t="n">
        <f aca="false">E33*I33*J33</f>
        <v>-0</v>
      </c>
      <c r="O33" s="53" t="n">
        <f aca="false">G33*J33</f>
        <v>2</v>
      </c>
      <c r="P33" s="53" t="n">
        <f aca="false">F33*J33</f>
        <v>0</v>
      </c>
    </row>
    <row r="34" customFormat="false" ht="15" hidden="false" customHeight="false" outlineLevel="0" collapsed="false">
      <c r="A34" s="53" t="s">
        <v>97</v>
      </c>
      <c r="B34" s="53" t="s">
        <v>117</v>
      </c>
      <c r="C34" s="53" t="s">
        <v>342</v>
      </c>
      <c r="D34" s="53" t="s">
        <v>54</v>
      </c>
      <c r="E34" s="54" t="n">
        <v>0</v>
      </c>
      <c r="F34" s="53" t="n">
        <v>0</v>
      </c>
      <c r="G34" s="53" t="n">
        <v>8</v>
      </c>
      <c r="H34" s="54" t="n">
        <v>559.6</v>
      </c>
      <c r="I34" s="53" t="n">
        <f aca="false">IF(B34&gt;=Settings!$B$13,1,0)</f>
        <v>0</v>
      </c>
      <c r="J34" s="53" t="n">
        <v>1</v>
      </c>
      <c r="K34" s="53" t="n">
        <f aca="false">G34*I34*J34</f>
        <v>0</v>
      </c>
      <c r="L34" s="53" t="n">
        <f aca="false">F34*I34*J34</f>
        <v>0</v>
      </c>
      <c r="M34" s="54" t="n">
        <f aca="false">H34*I34*J34</f>
        <v>0</v>
      </c>
      <c r="N34" s="54" t="n">
        <f aca="false">E34*I34*J34</f>
        <v>-0</v>
      </c>
      <c r="O34" s="53" t="n">
        <f aca="false">G34*J34</f>
        <v>8</v>
      </c>
      <c r="P34" s="53" t="n">
        <f aca="false">F34*J34</f>
        <v>0</v>
      </c>
    </row>
    <row r="35" customFormat="false" ht="15" hidden="false" customHeight="false" outlineLevel="0" collapsed="false">
      <c r="A35" s="53" t="s">
        <v>89</v>
      </c>
      <c r="B35" s="53" t="s">
        <v>117</v>
      </c>
      <c r="C35" s="53" t="s">
        <v>159</v>
      </c>
      <c r="D35" s="53" t="s">
        <v>50</v>
      </c>
      <c r="E35" s="54" t="n">
        <v>0</v>
      </c>
      <c r="F35" s="53" t="n">
        <v>0</v>
      </c>
      <c r="G35" s="53" t="n">
        <v>15</v>
      </c>
      <c r="H35" s="54" t="n">
        <v>1569.25</v>
      </c>
      <c r="I35" s="53" t="n">
        <f aca="false">IF(B35&gt;=Settings!$B$13,1,0)</f>
        <v>0</v>
      </c>
      <c r="J35" s="53" t="n">
        <v>1</v>
      </c>
      <c r="K35" s="53" t="n">
        <f aca="false">G35*I35*J35</f>
        <v>0</v>
      </c>
      <c r="L35" s="53" t="n">
        <f aca="false">F35*I35*J35</f>
        <v>0</v>
      </c>
      <c r="M35" s="54" t="n">
        <f aca="false">H35*I35*J35</f>
        <v>0</v>
      </c>
      <c r="N35" s="54" t="n">
        <f aca="false">E35*I35*J35</f>
        <v>-0</v>
      </c>
      <c r="O35" s="53" t="n">
        <f aca="false">G35*J35</f>
        <v>15</v>
      </c>
      <c r="P35" s="53" t="n">
        <f aca="false">F35*J35</f>
        <v>0</v>
      </c>
    </row>
    <row r="36" customFormat="false" ht="15" hidden="false" customHeight="false" outlineLevel="0" collapsed="false">
      <c r="A36" s="53" t="s">
        <v>89</v>
      </c>
      <c r="B36" s="53" t="s">
        <v>117</v>
      </c>
      <c r="C36" s="53" t="s">
        <v>160</v>
      </c>
      <c r="D36" s="53" t="s">
        <v>58</v>
      </c>
      <c r="E36" s="54" t="n">
        <v>0</v>
      </c>
      <c r="F36" s="53" t="n">
        <v>0</v>
      </c>
      <c r="G36" s="53" t="n">
        <v>3</v>
      </c>
      <c r="H36" s="54" t="n">
        <v>369.85</v>
      </c>
      <c r="I36" s="53" t="n">
        <f aca="false">IF(B36&gt;=Settings!$B$13,1,0)</f>
        <v>0</v>
      </c>
      <c r="J36" s="53" t="n">
        <v>1</v>
      </c>
      <c r="K36" s="53" t="n">
        <f aca="false">G36*I36*J36</f>
        <v>0</v>
      </c>
      <c r="L36" s="53" t="n">
        <f aca="false">F36*I36*J36</f>
        <v>0</v>
      </c>
      <c r="M36" s="54" t="n">
        <f aca="false">H36*I36*J36</f>
        <v>0</v>
      </c>
      <c r="N36" s="54" t="n">
        <f aca="false">E36*I36*J36</f>
        <v>-0</v>
      </c>
      <c r="O36" s="53" t="n">
        <f aca="false">G36*J36</f>
        <v>3</v>
      </c>
      <c r="P36" s="53" t="n">
        <f aca="false">F36*J36</f>
        <v>0</v>
      </c>
    </row>
    <row r="37" customFormat="false" ht="15" hidden="false" customHeight="false" outlineLevel="0" collapsed="false">
      <c r="A37" s="53" t="s">
        <v>97</v>
      </c>
      <c r="B37" s="53" t="s">
        <v>117</v>
      </c>
      <c r="C37" s="53" t="s">
        <v>343</v>
      </c>
      <c r="D37" s="53" t="s">
        <v>54</v>
      </c>
      <c r="E37" s="54" t="n">
        <v>0</v>
      </c>
      <c r="F37" s="53" t="n">
        <v>0</v>
      </c>
      <c r="G37" s="53" t="n">
        <v>7</v>
      </c>
      <c r="H37" s="54" t="n">
        <v>629.65</v>
      </c>
      <c r="I37" s="53" t="n">
        <f aca="false">IF(B37&gt;=Settings!$B$13,1,0)</f>
        <v>0</v>
      </c>
      <c r="J37" s="53" t="n">
        <v>1</v>
      </c>
      <c r="K37" s="53" t="n">
        <f aca="false">G37*I37*J37</f>
        <v>0</v>
      </c>
      <c r="L37" s="53" t="n">
        <f aca="false">F37*I37*J37</f>
        <v>0</v>
      </c>
      <c r="M37" s="54" t="n">
        <f aca="false">H37*I37*J37</f>
        <v>0</v>
      </c>
      <c r="N37" s="54" t="n">
        <f aca="false">E37*I37*J37</f>
        <v>-0</v>
      </c>
      <c r="O37" s="53" t="n">
        <f aca="false">G37*J37</f>
        <v>7</v>
      </c>
      <c r="P37" s="53" t="n">
        <f aca="false">F37*J37</f>
        <v>0</v>
      </c>
    </row>
    <row r="38" customFormat="false" ht="15" hidden="false" customHeight="false" outlineLevel="0" collapsed="false">
      <c r="A38" s="53" t="s">
        <v>89</v>
      </c>
      <c r="B38" s="53" t="s">
        <v>117</v>
      </c>
      <c r="C38" s="53" t="s">
        <v>344</v>
      </c>
      <c r="D38" s="53" t="s">
        <v>50</v>
      </c>
      <c r="E38" s="54" t="n">
        <v>0</v>
      </c>
      <c r="F38" s="53" t="n">
        <v>0</v>
      </c>
      <c r="G38" s="53" t="n">
        <v>4</v>
      </c>
      <c r="H38" s="54" t="n">
        <v>458.35</v>
      </c>
      <c r="I38" s="53" t="n">
        <f aca="false">IF(B38&gt;=Settings!$B$13,1,0)</f>
        <v>0</v>
      </c>
      <c r="J38" s="53" t="n">
        <v>1</v>
      </c>
      <c r="K38" s="53" t="n">
        <f aca="false">G38*I38*J38</f>
        <v>0</v>
      </c>
      <c r="L38" s="53" t="n">
        <f aca="false">F38*I38*J38</f>
        <v>0</v>
      </c>
      <c r="M38" s="54" t="n">
        <f aca="false">H38*I38*J38</f>
        <v>0</v>
      </c>
      <c r="N38" s="54" t="n">
        <f aca="false">E38*I38*J38</f>
        <v>-0</v>
      </c>
      <c r="O38" s="53" t="n">
        <f aca="false">G38*J38</f>
        <v>4</v>
      </c>
      <c r="P38" s="53" t="n">
        <f aca="false">F38*J38</f>
        <v>0</v>
      </c>
    </row>
    <row r="39" customFormat="false" ht="15" hidden="false" customHeight="false" outlineLevel="0" collapsed="false">
      <c r="A39" s="53" t="s">
        <v>97</v>
      </c>
      <c r="B39" s="53" t="s">
        <v>117</v>
      </c>
      <c r="C39" s="53" t="s">
        <v>345</v>
      </c>
      <c r="D39" s="53" t="s">
        <v>46</v>
      </c>
      <c r="E39" s="54" t="n">
        <v>269.9</v>
      </c>
      <c r="F39" s="53" t="n">
        <v>2</v>
      </c>
      <c r="G39" s="53" t="n">
        <v>7</v>
      </c>
      <c r="H39" s="54" t="n">
        <v>944.65</v>
      </c>
      <c r="I39" s="53" t="n">
        <f aca="false">IF(B39&gt;=Settings!$B$13,1,0)</f>
        <v>0</v>
      </c>
      <c r="J39" s="53" t="n">
        <v>1</v>
      </c>
      <c r="K39" s="53" t="n">
        <f aca="false">G39*I39*J39</f>
        <v>0</v>
      </c>
      <c r="L39" s="53" t="n">
        <f aca="false">F39*I39*J39</f>
        <v>0</v>
      </c>
      <c r="M39" s="54" t="n">
        <f aca="false">H39*I39*J39</f>
        <v>0</v>
      </c>
      <c r="N39" s="54" t="n">
        <f aca="false">E39*I39*J39</f>
        <v>0</v>
      </c>
      <c r="O39" s="53" t="n">
        <f aca="false">G39*J39</f>
        <v>7</v>
      </c>
      <c r="P39" s="53" t="n">
        <f aca="false">F39*J39</f>
        <v>2</v>
      </c>
    </row>
    <row r="40" customFormat="false" ht="15" hidden="false" customHeight="false" outlineLevel="0" collapsed="false">
      <c r="A40" s="53" t="s">
        <v>89</v>
      </c>
      <c r="B40" s="53" t="s">
        <v>117</v>
      </c>
      <c r="C40" s="53" t="s">
        <v>162</v>
      </c>
      <c r="D40" s="53" t="s">
        <v>42</v>
      </c>
      <c r="E40" s="54" t="n">
        <v>0</v>
      </c>
      <c r="F40" s="53" t="n">
        <v>0</v>
      </c>
      <c r="G40" s="53" t="n">
        <v>44</v>
      </c>
      <c r="H40" s="54" t="n">
        <v>5971.85</v>
      </c>
      <c r="I40" s="53" t="n">
        <f aca="false">IF(B40&gt;=Settings!$B$13,1,0)</f>
        <v>0</v>
      </c>
      <c r="J40" s="53" t="n">
        <v>1</v>
      </c>
      <c r="K40" s="53" t="n">
        <f aca="false">G40*I40*J40</f>
        <v>0</v>
      </c>
      <c r="L40" s="53" t="n">
        <f aca="false">F40*I40*J40</f>
        <v>0</v>
      </c>
      <c r="M40" s="54" t="n">
        <f aca="false">H40*I40*J40</f>
        <v>0</v>
      </c>
      <c r="N40" s="54" t="n">
        <f aca="false">E40*I40*J40</f>
        <v>-0</v>
      </c>
      <c r="O40" s="53" t="n">
        <f aca="false">G40*J40</f>
        <v>44</v>
      </c>
      <c r="P40" s="53" t="n">
        <f aca="false">F40*J40</f>
        <v>0</v>
      </c>
    </row>
    <row r="41" customFormat="false" ht="15" hidden="false" customHeight="false" outlineLevel="0" collapsed="false">
      <c r="A41" s="53" t="s">
        <v>93</v>
      </c>
      <c r="B41" s="53" t="s">
        <v>117</v>
      </c>
      <c r="C41" s="53" t="s">
        <v>158</v>
      </c>
      <c r="D41" s="53" t="s">
        <v>42</v>
      </c>
      <c r="E41" s="54" t="n">
        <v>0</v>
      </c>
      <c r="F41" s="53" t="n">
        <v>0</v>
      </c>
      <c r="G41" s="53" t="n">
        <v>31</v>
      </c>
      <c r="H41" s="54" t="n">
        <v>3523.25</v>
      </c>
      <c r="I41" s="53" t="n">
        <f aca="false">IF(B41&gt;=Settings!$B$13,1,0)</f>
        <v>0</v>
      </c>
      <c r="J41" s="53" t="n">
        <v>1</v>
      </c>
      <c r="K41" s="53" t="n">
        <f aca="false">G41*I41*J41</f>
        <v>0</v>
      </c>
      <c r="L41" s="53" t="n">
        <f aca="false">F41*I41*J41</f>
        <v>0</v>
      </c>
      <c r="M41" s="54" t="n">
        <f aca="false">H41*I41*J41</f>
        <v>0</v>
      </c>
      <c r="N41" s="54" t="n">
        <f aca="false">E41*I41*J41</f>
        <v>-0</v>
      </c>
      <c r="O41" s="53" t="n">
        <f aca="false">G41*J41</f>
        <v>31</v>
      </c>
      <c r="P41" s="53" t="n">
        <f aca="false">F41*J41</f>
        <v>0</v>
      </c>
    </row>
    <row r="42" customFormat="false" ht="15" hidden="false" customHeight="false" outlineLevel="0" collapsed="false">
      <c r="A42" s="53" t="s">
        <v>97</v>
      </c>
      <c r="B42" s="53" t="s">
        <v>117</v>
      </c>
      <c r="C42" s="53" t="s">
        <v>346</v>
      </c>
      <c r="D42" s="53" t="s">
        <v>50</v>
      </c>
      <c r="E42" s="54" t="n">
        <v>0</v>
      </c>
      <c r="F42" s="53" t="n">
        <v>0</v>
      </c>
      <c r="G42" s="53" t="n">
        <v>1</v>
      </c>
      <c r="H42" s="54" t="n">
        <v>84.95</v>
      </c>
      <c r="I42" s="53" t="n">
        <f aca="false">IF(B42&gt;=Settings!$B$13,1,0)</f>
        <v>0</v>
      </c>
      <c r="J42" s="53" t="n">
        <v>1</v>
      </c>
      <c r="K42" s="53" t="n">
        <f aca="false">G42*I42*J42</f>
        <v>0</v>
      </c>
      <c r="L42" s="53" t="n">
        <f aca="false">F42*I42*J42</f>
        <v>0</v>
      </c>
      <c r="M42" s="54" t="n">
        <f aca="false">H42*I42*J42</f>
        <v>0</v>
      </c>
      <c r="N42" s="54" t="n">
        <f aca="false">E42*I42*J42</f>
        <v>-0</v>
      </c>
      <c r="O42" s="53" t="n">
        <f aca="false">G42*J42</f>
        <v>1</v>
      </c>
      <c r="P42" s="53" t="n">
        <f aca="false">F42*J42</f>
        <v>0</v>
      </c>
    </row>
    <row r="43" customFormat="false" ht="15" hidden="false" customHeight="false" outlineLevel="0" collapsed="false">
      <c r="A43" s="53" t="s">
        <v>93</v>
      </c>
      <c r="B43" s="53" t="s">
        <v>117</v>
      </c>
      <c r="C43" s="53" t="s">
        <v>318</v>
      </c>
      <c r="D43" s="53" t="s">
        <v>58</v>
      </c>
      <c r="E43" s="54" t="n">
        <v>0</v>
      </c>
      <c r="F43" s="53" t="n">
        <v>0</v>
      </c>
      <c r="G43" s="53" t="n">
        <v>3</v>
      </c>
      <c r="H43" s="54" t="n">
        <v>449.85</v>
      </c>
      <c r="I43" s="53" t="n">
        <f aca="false">IF(B43&gt;=Settings!$B$13,1,0)</f>
        <v>0</v>
      </c>
      <c r="J43" s="53" t="n">
        <v>1</v>
      </c>
      <c r="K43" s="53" t="n">
        <f aca="false">G43*I43*J43</f>
        <v>0</v>
      </c>
      <c r="L43" s="53" t="n">
        <f aca="false">F43*I43*J43</f>
        <v>0</v>
      </c>
      <c r="M43" s="54" t="n">
        <f aca="false">H43*I43*J43</f>
        <v>0</v>
      </c>
      <c r="N43" s="54" t="n">
        <f aca="false">E43*I43*J43</f>
        <v>-0</v>
      </c>
      <c r="O43" s="53" t="n">
        <f aca="false">G43*J43</f>
        <v>3</v>
      </c>
      <c r="P43" s="53" t="n">
        <f aca="false">F43*J43</f>
        <v>0</v>
      </c>
    </row>
    <row r="44" customFormat="false" ht="15" hidden="false" customHeight="false" outlineLevel="0" collapsed="false">
      <c r="A44" s="53" t="s">
        <v>93</v>
      </c>
      <c r="B44" s="53" t="s">
        <v>117</v>
      </c>
      <c r="C44" s="53" t="s">
        <v>156</v>
      </c>
      <c r="D44" s="53" t="s">
        <v>58</v>
      </c>
      <c r="E44" s="54" t="n">
        <v>0</v>
      </c>
      <c r="F44" s="53" t="n">
        <v>0</v>
      </c>
      <c r="G44" s="53" t="n">
        <v>5</v>
      </c>
      <c r="H44" s="54" t="n">
        <v>437.95</v>
      </c>
      <c r="I44" s="53" t="n">
        <f aca="false">IF(B44&gt;=Settings!$B$13,1,0)</f>
        <v>0</v>
      </c>
      <c r="J44" s="53" t="n">
        <v>1</v>
      </c>
      <c r="K44" s="53" t="n">
        <f aca="false">G44*I44*J44</f>
        <v>0</v>
      </c>
      <c r="L44" s="53" t="n">
        <f aca="false">F44*I44*J44</f>
        <v>0</v>
      </c>
      <c r="M44" s="54" t="n">
        <f aca="false">H44*I44*J44</f>
        <v>0</v>
      </c>
      <c r="N44" s="54" t="n">
        <f aca="false">E44*I44*J44</f>
        <v>-0</v>
      </c>
      <c r="O44" s="53" t="n">
        <f aca="false">G44*J44</f>
        <v>5</v>
      </c>
      <c r="P44" s="53" t="n">
        <f aca="false">F44*J44</f>
        <v>0</v>
      </c>
    </row>
    <row r="45" customFormat="false" ht="15" hidden="false" customHeight="false" outlineLevel="0" collapsed="false">
      <c r="A45" s="53" t="s">
        <v>93</v>
      </c>
      <c r="B45" s="53" t="s">
        <v>117</v>
      </c>
      <c r="C45" s="53" t="s">
        <v>144</v>
      </c>
      <c r="D45" s="53" t="s">
        <v>58</v>
      </c>
      <c r="E45" s="54" t="n">
        <v>0</v>
      </c>
      <c r="F45" s="53" t="n">
        <v>0</v>
      </c>
      <c r="G45" s="53" t="n">
        <v>4</v>
      </c>
      <c r="H45" s="54" t="n">
        <v>543.8</v>
      </c>
      <c r="I45" s="53" t="n">
        <f aca="false">IF(B45&gt;=Settings!$B$13,1,0)</f>
        <v>0</v>
      </c>
      <c r="J45" s="53" t="n">
        <v>1</v>
      </c>
      <c r="K45" s="53" t="n">
        <f aca="false">G45*I45*J45</f>
        <v>0</v>
      </c>
      <c r="L45" s="53" t="n">
        <f aca="false">F45*I45*J45</f>
        <v>0</v>
      </c>
      <c r="M45" s="54" t="n">
        <f aca="false">H45*I45*J45</f>
        <v>0</v>
      </c>
      <c r="N45" s="54" t="n">
        <f aca="false">E45*I45*J45</f>
        <v>-0</v>
      </c>
      <c r="O45" s="53" t="n">
        <f aca="false">G45*J45</f>
        <v>4</v>
      </c>
      <c r="P45" s="53" t="n">
        <f aca="false">F45*J45</f>
        <v>0</v>
      </c>
    </row>
    <row r="46" customFormat="false" ht="15" hidden="false" customHeight="false" outlineLevel="0" collapsed="false">
      <c r="A46" s="53" t="s">
        <v>93</v>
      </c>
      <c r="B46" s="53" t="s">
        <v>117</v>
      </c>
      <c r="C46" s="53" t="s">
        <v>347</v>
      </c>
      <c r="D46" s="53" t="s">
        <v>62</v>
      </c>
      <c r="E46" s="54" t="n">
        <v>0</v>
      </c>
      <c r="F46" s="53" t="n">
        <v>0</v>
      </c>
      <c r="G46" s="53" t="n">
        <v>1</v>
      </c>
      <c r="H46" s="54" t="n">
        <v>73.95</v>
      </c>
      <c r="I46" s="53" t="n">
        <f aca="false">IF(B46&gt;=Settings!$B$13,1,0)</f>
        <v>0</v>
      </c>
      <c r="J46" s="53" t="n">
        <v>1</v>
      </c>
      <c r="K46" s="53" t="n">
        <f aca="false">G46*I46*J46</f>
        <v>0</v>
      </c>
      <c r="L46" s="53" t="n">
        <f aca="false">F46*I46*J46</f>
        <v>0</v>
      </c>
      <c r="M46" s="54" t="n">
        <f aca="false">H46*I46*J46</f>
        <v>0</v>
      </c>
      <c r="N46" s="54" t="n">
        <f aca="false">E46*I46*J46</f>
        <v>-0</v>
      </c>
      <c r="O46" s="53" t="n">
        <f aca="false">G46*J46</f>
        <v>1</v>
      </c>
      <c r="P46" s="53" t="n">
        <f aca="false">F46*J46</f>
        <v>0</v>
      </c>
    </row>
    <row r="47" customFormat="false" ht="15" hidden="false" customHeight="false" outlineLevel="0" collapsed="false">
      <c r="A47" s="53" t="s">
        <v>97</v>
      </c>
      <c r="B47" s="53" t="s">
        <v>117</v>
      </c>
      <c r="C47" s="53" t="s">
        <v>348</v>
      </c>
      <c r="D47" s="53" t="s">
        <v>62</v>
      </c>
      <c r="E47" s="54" t="n">
        <v>0</v>
      </c>
      <c r="F47" s="53" t="n">
        <v>0</v>
      </c>
      <c r="G47" s="53" t="n">
        <v>1</v>
      </c>
      <c r="H47" s="54" t="n">
        <v>143.25</v>
      </c>
      <c r="I47" s="53" t="n">
        <f aca="false">IF(B47&gt;=Settings!$B$13,1,0)</f>
        <v>0</v>
      </c>
      <c r="J47" s="53" t="n">
        <v>1</v>
      </c>
      <c r="K47" s="53" t="n">
        <f aca="false">G47*I47*J47</f>
        <v>0</v>
      </c>
      <c r="L47" s="53" t="n">
        <f aca="false">F47*I47*J47</f>
        <v>0</v>
      </c>
      <c r="M47" s="54" t="n">
        <f aca="false">H47*I47*J47</f>
        <v>0</v>
      </c>
      <c r="N47" s="54" t="n">
        <f aca="false">E47*I47*J47</f>
        <v>-0</v>
      </c>
      <c r="O47" s="53" t="n">
        <f aca="false">G47*J47</f>
        <v>1</v>
      </c>
      <c r="P47" s="53" t="n">
        <f aca="false">F47*J47</f>
        <v>0</v>
      </c>
    </row>
    <row r="48" customFormat="false" ht="15" hidden="false" customHeight="false" outlineLevel="0" collapsed="false">
      <c r="A48" s="53" t="s">
        <v>97</v>
      </c>
      <c r="B48" s="53" t="s">
        <v>117</v>
      </c>
      <c r="C48" s="53" t="s">
        <v>349</v>
      </c>
      <c r="D48" s="53" t="s">
        <v>46</v>
      </c>
      <c r="E48" s="54" t="n">
        <v>0</v>
      </c>
      <c r="F48" s="53" t="n">
        <v>0</v>
      </c>
      <c r="G48" s="53" t="n">
        <v>13</v>
      </c>
      <c r="H48" s="54" t="n">
        <v>1429.35</v>
      </c>
      <c r="I48" s="53" t="n">
        <f aca="false">IF(B48&gt;=Settings!$B$13,1,0)</f>
        <v>0</v>
      </c>
      <c r="J48" s="53" t="n">
        <v>1</v>
      </c>
      <c r="K48" s="53" t="n">
        <f aca="false">G48*I48*J48</f>
        <v>0</v>
      </c>
      <c r="L48" s="53" t="n">
        <f aca="false">F48*I48*J48</f>
        <v>0</v>
      </c>
      <c r="M48" s="54" t="n">
        <f aca="false">H48*I48*J48</f>
        <v>0</v>
      </c>
      <c r="N48" s="54" t="n">
        <f aca="false">E48*I48*J48</f>
        <v>-0</v>
      </c>
      <c r="O48" s="53" t="n">
        <f aca="false">G48*J48</f>
        <v>13</v>
      </c>
      <c r="P48" s="53" t="n">
        <f aca="false">F48*J48</f>
        <v>0</v>
      </c>
    </row>
    <row r="49" customFormat="false" ht="15" hidden="false" customHeight="false" outlineLevel="0" collapsed="false">
      <c r="A49" s="53" t="s">
        <v>97</v>
      </c>
      <c r="B49" s="53" t="s">
        <v>117</v>
      </c>
      <c r="C49" s="53" t="s">
        <v>350</v>
      </c>
      <c r="D49" s="53" t="s">
        <v>46</v>
      </c>
      <c r="E49" s="54" t="n">
        <v>124.95</v>
      </c>
      <c r="F49" s="53" t="n">
        <v>1</v>
      </c>
      <c r="G49" s="53" t="n">
        <v>6</v>
      </c>
      <c r="H49" s="54" t="n">
        <v>749.7</v>
      </c>
      <c r="I49" s="53" t="n">
        <f aca="false">IF(B49&gt;=Settings!$B$13,1,0)</f>
        <v>0</v>
      </c>
      <c r="J49" s="53" t="n">
        <v>1</v>
      </c>
      <c r="K49" s="53" t="n">
        <f aca="false">G49*I49*J49</f>
        <v>0</v>
      </c>
      <c r="L49" s="53" t="n">
        <f aca="false">F49*I49*J49</f>
        <v>0</v>
      </c>
      <c r="M49" s="54" t="n">
        <f aca="false">H49*I49*J49</f>
        <v>0</v>
      </c>
      <c r="N49" s="54" t="n">
        <f aca="false">E49*I49*J49</f>
        <v>0</v>
      </c>
      <c r="O49" s="53" t="n">
        <f aca="false">G49*J49</f>
        <v>6</v>
      </c>
      <c r="P49" s="53" t="n">
        <f aca="false">F49*J49</f>
        <v>1</v>
      </c>
    </row>
    <row r="50" customFormat="false" ht="15" hidden="false" customHeight="false" outlineLevel="0" collapsed="false">
      <c r="A50" s="53" t="s">
        <v>89</v>
      </c>
      <c r="B50" s="53" t="s">
        <v>117</v>
      </c>
      <c r="C50" s="53" t="s">
        <v>322</v>
      </c>
      <c r="D50" s="53" t="s">
        <v>54</v>
      </c>
      <c r="E50" s="54" t="n">
        <v>0</v>
      </c>
      <c r="F50" s="53" t="n">
        <v>0</v>
      </c>
      <c r="G50" s="53" t="n">
        <v>140</v>
      </c>
      <c r="H50" s="54" t="n">
        <v>7760.332</v>
      </c>
      <c r="I50" s="53" t="n">
        <f aca="false">IF(B50&gt;=Settings!$B$13,1,0)</f>
        <v>0</v>
      </c>
      <c r="J50" s="53" t="n">
        <v>1</v>
      </c>
      <c r="K50" s="53" t="n">
        <f aca="false">G50*I50*J50</f>
        <v>0</v>
      </c>
      <c r="L50" s="53" t="n">
        <f aca="false">F50*I50*J50</f>
        <v>0</v>
      </c>
      <c r="M50" s="54" t="n">
        <f aca="false">H50*I50*J50</f>
        <v>0</v>
      </c>
      <c r="N50" s="54" t="n">
        <f aca="false">E50*I50*J50</f>
        <v>-0</v>
      </c>
      <c r="O50" s="53" t="n">
        <f aca="false">G50*J50</f>
        <v>140</v>
      </c>
      <c r="P50" s="53" t="n">
        <f aca="false">F50*J50</f>
        <v>0</v>
      </c>
    </row>
    <row r="51" customFormat="false" ht="15" hidden="false" customHeight="false" outlineLevel="0" collapsed="false">
      <c r="A51" s="53" t="s">
        <v>93</v>
      </c>
      <c r="B51" s="53" t="s">
        <v>117</v>
      </c>
      <c r="C51" s="53" t="s">
        <v>160</v>
      </c>
      <c r="D51" s="53" t="s">
        <v>58</v>
      </c>
      <c r="E51" s="54" t="n">
        <v>0</v>
      </c>
      <c r="F51" s="53" t="n">
        <v>0</v>
      </c>
      <c r="G51" s="53" t="n">
        <v>7</v>
      </c>
      <c r="H51" s="54" t="n">
        <v>799.65</v>
      </c>
      <c r="I51" s="53" t="n">
        <f aca="false">IF(B51&gt;=Settings!$B$13,1,0)</f>
        <v>0</v>
      </c>
      <c r="J51" s="53" t="n">
        <v>1</v>
      </c>
      <c r="K51" s="53" t="n">
        <f aca="false">G51*I51*J51</f>
        <v>0</v>
      </c>
      <c r="L51" s="53" t="n">
        <f aca="false">F51*I51*J51</f>
        <v>0</v>
      </c>
      <c r="M51" s="54" t="n">
        <f aca="false">H51*I51*J51</f>
        <v>0</v>
      </c>
      <c r="N51" s="54" t="n">
        <f aca="false">E51*I51*J51</f>
        <v>-0</v>
      </c>
      <c r="O51" s="53" t="n">
        <f aca="false">G51*J51</f>
        <v>7</v>
      </c>
      <c r="P51" s="53" t="n">
        <f aca="false">F51*J51</f>
        <v>0</v>
      </c>
    </row>
    <row r="52" customFormat="false" ht="15" hidden="false" customHeight="false" outlineLevel="0" collapsed="false">
      <c r="A52" s="53" t="s">
        <v>97</v>
      </c>
      <c r="B52" s="53" t="s">
        <v>117</v>
      </c>
      <c r="C52" s="53" t="s">
        <v>351</v>
      </c>
      <c r="D52" s="53" t="s">
        <v>58</v>
      </c>
      <c r="E52" s="54" t="n">
        <v>0</v>
      </c>
      <c r="F52" s="53" t="n">
        <v>0</v>
      </c>
      <c r="G52" s="53" t="n">
        <v>1</v>
      </c>
      <c r="H52" s="54" t="n">
        <v>155.95</v>
      </c>
      <c r="I52" s="53" t="n">
        <f aca="false">IF(B52&gt;=Settings!$B$13,1,0)</f>
        <v>0</v>
      </c>
      <c r="J52" s="53" t="n">
        <v>1</v>
      </c>
      <c r="K52" s="53" t="n">
        <f aca="false">G52*I52*J52</f>
        <v>0</v>
      </c>
      <c r="L52" s="53" t="n">
        <f aca="false">F52*I52*J52</f>
        <v>0</v>
      </c>
      <c r="M52" s="54" t="n">
        <f aca="false">H52*I52*J52</f>
        <v>0</v>
      </c>
      <c r="N52" s="54" t="n">
        <f aca="false">E52*I52*J52</f>
        <v>-0</v>
      </c>
      <c r="O52" s="53" t="n">
        <f aca="false">G52*J52</f>
        <v>1</v>
      </c>
      <c r="P52" s="53" t="n">
        <f aca="false">F52*J52</f>
        <v>0</v>
      </c>
    </row>
    <row r="53" customFormat="false" ht="15" hidden="false" customHeight="false" outlineLevel="0" collapsed="false">
      <c r="A53" s="53" t="s">
        <v>93</v>
      </c>
      <c r="B53" s="53" t="s">
        <v>117</v>
      </c>
      <c r="C53" s="53" t="s">
        <v>165</v>
      </c>
      <c r="D53" s="53" t="s">
        <v>42</v>
      </c>
      <c r="E53" s="54" t="n">
        <v>0</v>
      </c>
      <c r="F53" s="53" t="n">
        <v>0</v>
      </c>
      <c r="G53" s="53" t="n">
        <v>10</v>
      </c>
      <c r="H53" s="54" t="n">
        <v>2338</v>
      </c>
      <c r="I53" s="53" t="n">
        <f aca="false">IF(B53&gt;=Settings!$B$13,1,0)</f>
        <v>0</v>
      </c>
      <c r="J53" s="53" t="n">
        <v>1</v>
      </c>
      <c r="K53" s="53" t="n">
        <f aca="false">G53*I53*J53</f>
        <v>0</v>
      </c>
      <c r="L53" s="53" t="n">
        <f aca="false">F53*I53*J53</f>
        <v>0</v>
      </c>
      <c r="M53" s="54" t="n">
        <f aca="false">H53*I53*J53</f>
        <v>0</v>
      </c>
      <c r="N53" s="54" t="n">
        <f aca="false">E53*I53*J53</f>
        <v>-0</v>
      </c>
      <c r="O53" s="53" t="n">
        <f aca="false">G53*J53</f>
        <v>10</v>
      </c>
      <c r="P53" s="53" t="n">
        <f aca="false">F53*J53</f>
        <v>0</v>
      </c>
    </row>
    <row r="54" customFormat="false" ht="15" hidden="false" customHeight="false" outlineLevel="0" collapsed="false">
      <c r="A54" s="53" t="s">
        <v>93</v>
      </c>
      <c r="B54" s="53" t="s">
        <v>117</v>
      </c>
      <c r="C54" s="53" t="s">
        <v>333</v>
      </c>
      <c r="D54" s="53" t="s">
        <v>54</v>
      </c>
      <c r="E54" s="54" t="n">
        <v>0</v>
      </c>
      <c r="F54" s="53" t="n">
        <v>0</v>
      </c>
      <c r="G54" s="53" t="n">
        <v>79</v>
      </c>
      <c r="H54" s="54" t="n">
        <v>5196.35</v>
      </c>
      <c r="I54" s="53" t="n">
        <f aca="false">IF(B54&gt;=Settings!$B$13,1,0)</f>
        <v>0</v>
      </c>
      <c r="J54" s="53" t="n">
        <v>1</v>
      </c>
      <c r="K54" s="53" t="n">
        <f aca="false">G54*I54*J54</f>
        <v>0</v>
      </c>
      <c r="L54" s="53" t="n">
        <f aca="false">F54*I54*J54</f>
        <v>0</v>
      </c>
      <c r="M54" s="54" t="n">
        <f aca="false">H54*I54*J54</f>
        <v>0</v>
      </c>
      <c r="N54" s="54" t="n">
        <f aca="false">E54*I54*J54</f>
        <v>-0</v>
      </c>
      <c r="O54" s="53" t="n">
        <f aca="false">G54*J54</f>
        <v>79</v>
      </c>
      <c r="P54" s="53" t="n">
        <f aca="false">F54*J54</f>
        <v>0</v>
      </c>
    </row>
    <row r="55" customFormat="false" ht="15" hidden="false" customHeight="false" outlineLevel="0" collapsed="false">
      <c r="A55" s="53" t="s">
        <v>97</v>
      </c>
      <c r="B55" s="53" t="s">
        <v>117</v>
      </c>
      <c r="C55" s="53" t="s">
        <v>352</v>
      </c>
      <c r="D55" s="53" t="s">
        <v>46</v>
      </c>
      <c r="E55" s="54" t="n">
        <v>0</v>
      </c>
      <c r="F55" s="53" t="n">
        <v>0</v>
      </c>
      <c r="G55" s="53" t="n">
        <v>4</v>
      </c>
      <c r="H55" s="54" t="n">
        <v>339.8</v>
      </c>
      <c r="I55" s="53" t="n">
        <f aca="false">IF(B55&gt;=Settings!$B$13,1,0)</f>
        <v>0</v>
      </c>
      <c r="J55" s="53" t="n">
        <v>1</v>
      </c>
      <c r="K55" s="53" t="n">
        <f aca="false">G55*I55*J55</f>
        <v>0</v>
      </c>
      <c r="L55" s="53" t="n">
        <f aca="false">F55*I55*J55</f>
        <v>0</v>
      </c>
      <c r="M55" s="54" t="n">
        <f aca="false">H55*I55*J55</f>
        <v>0</v>
      </c>
      <c r="N55" s="54" t="n">
        <f aca="false">E55*I55*J55</f>
        <v>-0</v>
      </c>
      <c r="O55" s="53" t="n">
        <f aca="false">G55*J55</f>
        <v>4</v>
      </c>
      <c r="P55" s="53" t="n">
        <f aca="false">F55*J55</f>
        <v>0</v>
      </c>
    </row>
    <row r="56" customFormat="false" ht="15" hidden="false" customHeight="false" outlineLevel="0" collapsed="false">
      <c r="A56" s="53" t="s">
        <v>93</v>
      </c>
      <c r="B56" s="53" t="s">
        <v>117</v>
      </c>
      <c r="C56" s="53" t="s">
        <v>316</v>
      </c>
      <c r="D56" s="53" t="s">
        <v>62</v>
      </c>
      <c r="E56" s="54" t="n">
        <v>0</v>
      </c>
      <c r="F56" s="53" t="n">
        <v>0</v>
      </c>
      <c r="G56" s="53" t="n">
        <v>1</v>
      </c>
      <c r="H56" s="54" t="n">
        <v>106.95</v>
      </c>
      <c r="I56" s="53" t="n">
        <f aca="false">IF(B56&gt;=Settings!$B$13,1,0)</f>
        <v>0</v>
      </c>
      <c r="J56" s="53" t="n">
        <v>1</v>
      </c>
      <c r="K56" s="53" t="n">
        <f aca="false">G56*I56*J56</f>
        <v>0</v>
      </c>
      <c r="L56" s="53" t="n">
        <f aca="false">F56*I56*J56</f>
        <v>0</v>
      </c>
      <c r="M56" s="54" t="n">
        <f aca="false">H56*I56*J56</f>
        <v>0</v>
      </c>
      <c r="N56" s="54" t="n">
        <f aca="false">E56*I56*J56</f>
        <v>-0</v>
      </c>
      <c r="O56" s="53" t="n">
        <f aca="false">G56*J56</f>
        <v>1</v>
      </c>
      <c r="P56" s="53" t="n">
        <f aca="false">F56*J56</f>
        <v>0</v>
      </c>
    </row>
    <row r="57" customFormat="false" ht="15" hidden="false" customHeight="false" outlineLevel="0" collapsed="false">
      <c r="A57" s="53" t="s">
        <v>89</v>
      </c>
      <c r="B57" s="53" t="s">
        <v>117</v>
      </c>
      <c r="C57" s="53" t="s">
        <v>166</v>
      </c>
      <c r="D57" s="53" t="s">
        <v>50</v>
      </c>
      <c r="E57" s="54" t="n">
        <v>0</v>
      </c>
      <c r="F57" s="53" t="n">
        <v>0</v>
      </c>
      <c r="G57" s="53" t="n">
        <v>10</v>
      </c>
      <c r="H57" s="54" t="n">
        <v>1594.762</v>
      </c>
      <c r="I57" s="53" t="n">
        <f aca="false">IF(B57&gt;=Settings!$B$13,1,0)</f>
        <v>0</v>
      </c>
      <c r="J57" s="53" t="n">
        <v>1</v>
      </c>
      <c r="K57" s="53" t="n">
        <f aca="false">G57*I57*J57</f>
        <v>0</v>
      </c>
      <c r="L57" s="53" t="n">
        <f aca="false">F57*I57*J57</f>
        <v>0</v>
      </c>
      <c r="M57" s="54" t="n">
        <f aca="false">H57*I57*J57</f>
        <v>0</v>
      </c>
      <c r="N57" s="54" t="n">
        <f aca="false">E57*I57*J57</f>
        <v>-0</v>
      </c>
      <c r="O57" s="53" t="n">
        <f aca="false">G57*J57</f>
        <v>10</v>
      </c>
      <c r="P57" s="53" t="n">
        <f aca="false">F57*J57</f>
        <v>0</v>
      </c>
    </row>
    <row r="58" customFormat="false" ht="15" hidden="false" customHeight="false" outlineLevel="0" collapsed="false">
      <c r="A58" s="53" t="s">
        <v>93</v>
      </c>
      <c r="B58" s="53" t="s">
        <v>117</v>
      </c>
      <c r="C58" s="53" t="s">
        <v>330</v>
      </c>
      <c r="D58" s="53" t="s">
        <v>46</v>
      </c>
      <c r="E58" s="54" t="n">
        <v>277.82</v>
      </c>
      <c r="F58" s="53" t="n">
        <v>2</v>
      </c>
      <c r="G58" s="53" t="n">
        <v>46</v>
      </c>
      <c r="H58" s="54" t="n">
        <v>6950.1</v>
      </c>
      <c r="I58" s="53" t="n">
        <f aca="false">IF(B58&gt;=Settings!$B$13,1,0)</f>
        <v>0</v>
      </c>
      <c r="J58" s="53" t="n">
        <v>1</v>
      </c>
      <c r="K58" s="53" t="n">
        <f aca="false">G58*I58*J58</f>
        <v>0</v>
      </c>
      <c r="L58" s="53" t="n">
        <f aca="false">F58*I58*J58</f>
        <v>0</v>
      </c>
      <c r="M58" s="54" t="n">
        <f aca="false">H58*I58*J58</f>
        <v>0</v>
      </c>
      <c r="N58" s="54" t="n">
        <f aca="false">E58*I58*J58</f>
        <v>0</v>
      </c>
      <c r="O58" s="53" t="n">
        <f aca="false">G58*J58</f>
        <v>46</v>
      </c>
      <c r="P58" s="53" t="n">
        <f aca="false">F58*J58</f>
        <v>2</v>
      </c>
    </row>
    <row r="59" customFormat="false" ht="15" hidden="false" customHeight="false" outlineLevel="0" collapsed="false">
      <c r="A59" s="53" t="s">
        <v>97</v>
      </c>
      <c r="B59" s="53" t="s">
        <v>117</v>
      </c>
      <c r="C59" s="53" t="s">
        <v>353</v>
      </c>
      <c r="D59" s="53" t="s">
        <v>58</v>
      </c>
      <c r="E59" s="54" t="n">
        <v>0</v>
      </c>
      <c r="F59" s="53" t="n">
        <v>0</v>
      </c>
      <c r="G59" s="53" t="n">
        <v>1</v>
      </c>
      <c r="H59" s="54" t="n">
        <v>99.95</v>
      </c>
      <c r="I59" s="53" t="n">
        <f aca="false">IF(B59&gt;=Settings!$B$13,1,0)</f>
        <v>0</v>
      </c>
      <c r="J59" s="53" t="n">
        <v>1</v>
      </c>
      <c r="K59" s="53" t="n">
        <f aca="false">G59*I59*J59</f>
        <v>0</v>
      </c>
      <c r="L59" s="53" t="n">
        <f aca="false">F59*I59*J59</f>
        <v>0</v>
      </c>
      <c r="M59" s="54" t="n">
        <f aca="false">H59*I59*J59</f>
        <v>0</v>
      </c>
      <c r="N59" s="54" t="n">
        <f aca="false">E59*I59*J59</f>
        <v>-0</v>
      </c>
      <c r="O59" s="53" t="n">
        <f aca="false">G59*J59</f>
        <v>1</v>
      </c>
      <c r="P59" s="53" t="n">
        <f aca="false">F59*J59</f>
        <v>0</v>
      </c>
    </row>
    <row r="60" customFormat="false" ht="15" hidden="false" customHeight="false" outlineLevel="0" collapsed="false">
      <c r="A60" s="53" t="s">
        <v>89</v>
      </c>
      <c r="B60" s="53" t="s">
        <v>117</v>
      </c>
      <c r="C60" s="53" t="s">
        <v>158</v>
      </c>
      <c r="D60" s="53" t="s">
        <v>42</v>
      </c>
      <c r="E60" s="54" t="n">
        <v>0</v>
      </c>
      <c r="F60" s="53" t="n">
        <v>0</v>
      </c>
      <c r="G60" s="53" t="n">
        <v>90</v>
      </c>
      <c r="H60" s="54" t="n">
        <v>10036.607</v>
      </c>
      <c r="I60" s="53" t="n">
        <f aca="false">IF(B60&gt;=Settings!$B$13,1,0)</f>
        <v>0</v>
      </c>
      <c r="J60" s="53" t="n">
        <v>1</v>
      </c>
      <c r="K60" s="53" t="n">
        <f aca="false">G60*I60*J60</f>
        <v>0</v>
      </c>
      <c r="L60" s="53" t="n">
        <f aca="false">F60*I60*J60</f>
        <v>0</v>
      </c>
      <c r="M60" s="54" t="n">
        <f aca="false">H60*I60*J60</f>
        <v>0</v>
      </c>
      <c r="N60" s="54" t="n">
        <f aca="false">E60*I60*J60</f>
        <v>-0</v>
      </c>
      <c r="O60" s="53" t="n">
        <f aca="false">G60*J60</f>
        <v>90</v>
      </c>
      <c r="P60" s="53" t="n">
        <f aca="false">F60*J60</f>
        <v>0</v>
      </c>
    </row>
    <row r="61" customFormat="false" ht="15" hidden="false" customHeight="false" outlineLevel="0" collapsed="false">
      <c r="A61" s="53" t="s">
        <v>89</v>
      </c>
      <c r="B61" s="53" t="s">
        <v>117</v>
      </c>
      <c r="C61" s="53" t="s">
        <v>347</v>
      </c>
      <c r="D61" s="53" t="s">
        <v>62</v>
      </c>
      <c r="E61" s="54" t="n">
        <v>0</v>
      </c>
      <c r="F61" s="53" t="n">
        <v>0</v>
      </c>
      <c r="G61" s="53" t="n">
        <v>47</v>
      </c>
      <c r="H61" s="54" t="n">
        <v>3968.65</v>
      </c>
      <c r="I61" s="53" t="n">
        <f aca="false">IF(B61&gt;=Settings!$B$13,1,0)</f>
        <v>0</v>
      </c>
      <c r="J61" s="53" t="n">
        <v>1</v>
      </c>
      <c r="K61" s="53" t="n">
        <f aca="false">G61*I61*J61</f>
        <v>0</v>
      </c>
      <c r="L61" s="53" t="n">
        <f aca="false">F61*I61*J61</f>
        <v>0</v>
      </c>
      <c r="M61" s="54" t="n">
        <f aca="false">H61*I61*J61</f>
        <v>0</v>
      </c>
      <c r="N61" s="54" t="n">
        <f aca="false">E61*I61*J61</f>
        <v>-0</v>
      </c>
      <c r="O61" s="53" t="n">
        <f aca="false">G61*J61</f>
        <v>47</v>
      </c>
      <c r="P61" s="53" t="n">
        <f aca="false">F61*J61</f>
        <v>0</v>
      </c>
    </row>
    <row r="62" customFormat="false" ht="15" hidden="false" customHeight="false" outlineLevel="0" collapsed="false">
      <c r="A62" s="53" t="s">
        <v>97</v>
      </c>
      <c r="B62" s="53" t="s">
        <v>117</v>
      </c>
      <c r="C62" s="53" t="s">
        <v>354</v>
      </c>
      <c r="D62" s="53" t="s">
        <v>58</v>
      </c>
      <c r="E62" s="54" t="n">
        <v>0</v>
      </c>
      <c r="F62" s="53" t="n">
        <v>0</v>
      </c>
      <c r="G62" s="53" t="n">
        <v>2</v>
      </c>
      <c r="H62" s="54" t="n">
        <v>229.9</v>
      </c>
      <c r="I62" s="53" t="n">
        <f aca="false">IF(B62&gt;=Settings!$B$13,1,0)</f>
        <v>0</v>
      </c>
      <c r="J62" s="53" t="n">
        <v>1</v>
      </c>
      <c r="K62" s="53" t="n">
        <f aca="false">G62*I62*J62</f>
        <v>0</v>
      </c>
      <c r="L62" s="53" t="n">
        <f aca="false">F62*I62*J62</f>
        <v>0</v>
      </c>
      <c r="M62" s="54" t="n">
        <f aca="false">H62*I62*J62</f>
        <v>0</v>
      </c>
      <c r="N62" s="54" t="n">
        <f aca="false">E62*I62*J62</f>
        <v>-0</v>
      </c>
      <c r="O62" s="53" t="n">
        <f aca="false">G62*J62</f>
        <v>2</v>
      </c>
      <c r="P62" s="53" t="n">
        <f aca="false">F62*J62</f>
        <v>0</v>
      </c>
    </row>
    <row r="63" customFormat="false" ht="15" hidden="false" customHeight="false" outlineLevel="0" collapsed="false">
      <c r="A63" s="53" t="s">
        <v>97</v>
      </c>
      <c r="B63" s="53" t="s">
        <v>117</v>
      </c>
      <c r="C63" s="53" t="s">
        <v>355</v>
      </c>
      <c r="D63" s="53" t="s">
        <v>58</v>
      </c>
      <c r="E63" s="54" t="n">
        <v>0</v>
      </c>
      <c r="F63" s="53" t="n">
        <v>0</v>
      </c>
      <c r="G63" s="53" t="n">
        <v>1</v>
      </c>
      <c r="H63" s="54" t="n">
        <v>194.95</v>
      </c>
      <c r="I63" s="53" t="n">
        <f aca="false">IF(B63&gt;=Settings!$B$13,1,0)</f>
        <v>0</v>
      </c>
      <c r="J63" s="53" t="n">
        <v>1</v>
      </c>
      <c r="K63" s="53" t="n">
        <f aca="false">G63*I63*J63</f>
        <v>0</v>
      </c>
      <c r="L63" s="53" t="n">
        <f aca="false">F63*I63*J63</f>
        <v>0</v>
      </c>
      <c r="M63" s="54" t="n">
        <f aca="false">H63*I63*J63</f>
        <v>0</v>
      </c>
      <c r="N63" s="54" t="n">
        <f aca="false">E63*I63*J63</f>
        <v>-0</v>
      </c>
      <c r="O63" s="53" t="n">
        <f aca="false">G63*J63</f>
        <v>1</v>
      </c>
      <c r="P63" s="53" t="n">
        <f aca="false">F63*J63</f>
        <v>0</v>
      </c>
    </row>
    <row r="64" customFormat="false" ht="15" hidden="false" customHeight="false" outlineLevel="0" collapsed="false">
      <c r="A64" s="53" t="s">
        <v>89</v>
      </c>
      <c r="B64" s="53" t="s">
        <v>117</v>
      </c>
      <c r="C64" s="53" t="s">
        <v>145</v>
      </c>
      <c r="D64" s="53" t="s">
        <v>62</v>
      </c>
      <c r="E64" s="54" t="n">
        <v>0</v>
      </c>
      <c r="F64" s="53" t="n">
        <v>0</v>
      </c>
      <c r="G64" s="53" t="n">
        <v>4</v>
      </c>
      <c r="H64" s="54" t="n">
        <v>689.8</v>
      </c>
      <c r="I64" s="53" t="n">
        <f aca="false">IF(B64&gt;=Settings!$B$13,1,0)</f>
        <v>0</v>
      </c>
      <c r="J64" s="53" t="n">
        <v>1</v>
      </c>
      <c r="K64" s="53" t="n">
        <f aca="false">G64*I64*J64</f>
        <v>0</v>
      </c>
      <c r="L64" s="53" t="n">
        <f aca="false">F64*I64*J64</f>
        <v>0</v>
      </c>
      <c r="M64" s="54" t="n">
        <f aca="false">H64*I64*J64</f>
        <v>0</v>
      </c>
      <c r="N64" s="54" t="n">
        <f aca="false">E64*I64*J64</f>
        <v>-0</v>
      </c>
      <c r="O64" s="53" t="n">
        <f aca="false">G64*J64</f>
        <v>4</v>
      </c>
      <c r="P64" s="53" t="n">
        <f aca="false">F64*J64</f>
        <v>0</v>
      </c>
    </row>
    <row r="65" customFormat="false" ht="15" hidden="false" customHeight="false" outlineLevel="0" collapsed="false">
      <c r="A65" s="53" t="s">
        <v>89</v>
      </c>
      <c r="B65" s="53" t="s">
        <v>117</v>
      </c>
      <c r="C65" s="53" t="s">
        <v>144</v>
      </c>
      <c r="D65" s="53" t="s">
        <v>58</v>
      </c>
      <c r="E65" s="54" t="n">
        <v>0</v>
      </c>
      <c r="F65" s="53" t="n">
        <v>0</v>
      </c>
      <c r="G65" s="53" t="n">
        <v>4</v>
      </c>
      <c r="H65" s="54" t="n">
        <v>588.748</v>
      </c>
      <c r="I65" s="53" t="n">
        <f aca="false">IF(B65&gt;=Settings!$B$13,1,0)</f>
        <v>0</v>
      </c>
      <c r="J65" s="53" t="n">
        <v>1</v>
      </c>
      <c r="K65" s="53" t="n">
        <f aca="false">G65*I65*J65</f>
        <v>0</v>
      </c>
      <c r="L65" s="53" t="n">
        <f aca="false">F65*I65*J65</f>
        <v>0</v>
      </c>
      <c r="M65" s="54" t="n">
        <f aca="false">H65*I65*J65</f>
        <v>0</v>
      </c>
      <c r="N65" s="54" t="n">
        <f aca="false">E65*I65*J65</f>
        <v>-0</v>
      </c>
      <c r="O65" s="53" t="n">
        <f aca="false">G65*J65</f>
        <v>4</v>
      </c>
      <c r="P65" s="53" t="n">
        <f aca="false">F65*J65</f>
        <v>0</v>
      </c>
    </row>
    <row r="66" customFormat="false" ht="15" hidden="false" customHeight="false" outlineLevel="0" collapsed="false">
      <c r="A66" s="53" t="s">
        <v>97</v>
      </c>
      <c r="B66" s="53" t="s">
        <v>117</v>
      </c>
      <c r="C66" s="53" t="s">
        <v>356</v>
      </c>
      <c r="D66" s="53" t="s">
        <v>42</v>
      </c>
      <c r="E66" s="54" t="n">
        <v>0</v>
      </c>
      <c r="F66" s="53" t="n">
        <v>0</v>
      </c>
      <c r="G66" s="53" t="n">
        <v>4</v>
      </c>
      <c r="H66" s="54" t="n">
        <v>779.8</v>
      </c>
      <c r="I66" s="53" t="n">
        <f aca="false">IF(B66&gt;=Settings!$B$13,1,0)</f>
        <v>0</v>
      </c>
      <c r="J66" s="53" t="n">
        <v>1</v>
      </c>
      <c r="K66" s="53" t="n">
        <f aca="false">G66*I66*J66</f>
        <v>0</v>
      </c>
      <c r="L66" s="53" t="n">
        <f aca="false">F66*I66*J66</f>
        <v>0</v>
      </c>
      <c r="M66" s="54" t="n">
        <f aca="false">H66*I66*J66</f>
        <v>0</v>
      </c>
      <c r="N66" s="54" t="n">
        <f aca="false">E66*I66*J66</f>
        <v>-0</v>
      </c>
      <c r="O66" s="53" t="n">
        <f aca="false">G66*J66</f>
        <v>4</v>
      </c>
      <c r="P66" s="53" t="n">
        <f aca="false">F66*J66</f>
        <v>0</v>
      </c>
    </row>
    <row r="67" customFormat="false" ht="15" hidden="false" customHeight="false" outlineLevel="0" collapsed="false">
      <c r="A67" s="53" t="s">
        <v>89</v>
      </c>
      <c r="B67" s="53" t="s">
        <v>117</v>
      </c>
      <c r="C67" s="53" t="s">
        <v>165</v>
      </c>
      <c r="D67" s="53" t="s">
        <v>42</v>
      </c>
      <c r="E67" s="54" t="n">
        <v>0</v>
      </c>
      <c r="F67" s="53" t="n">
        <v>0</v>
      </c>
      <c r="G67" s="53" t="n">
        <v>12</v>
      </c>
      <c r="H67" s="54" t="n">
        <v>2921.85</v>
      </c>
      <c r="I67" s="53" t="n">
        <f aca="false">IF(B67&gt;=Settings!$B$13,1,0)</f>
        <v>0</v>
      </c>
      <c r="J67" s="53" t="n">
        <v>1</v>
      </c>
      <c r="K67" s="53" t="n">
        <f aca="false">G67*I67*J67</f>
        <v>0</v>
      </c>
      <c r="L67" s="53" t="n">
        <f aca="false">F67*I67*J67</f>
        <v>0</v>
      </c>
      <c r="M67" s="54" t="n">
        <f aca="false">H67*I67*J67</f>
        <v>0</v>
      </c>
      <c r="N67" s="54" t="n">
        <f aca="false">E67*I67*J67</f>
        <v>-0</v>
      </c>
      <c r="O67" s="53" t="n">
        <f aca="false">G67*J67</f>
        <v>12</v>
      </c>
      <c r="P67" s="53" t="n">
        <f aca="false">F67*J67</f>
        <v>0</v>
      </c>
    </row>
    <row r="68" customFormat="false" ht="15" hidden="false" customHeight="false" outlineLevel="0" collapsed="false">
      <c r="A68" s="53" t="s">
        <v>89</v>
      </c>
      <c r="B68" s="53" t="s">
        <v>117</v>
      </c>
      <c r="C68" s="53" t="s">
        <v>156</v>
      </c>
      <c r="D68" s="53" t="s">
        <v>58</v>
      </c>
      <c r="E68" s="54" t="n">
        <v>0</v>
      </c>
      <c r="F68" s="53" t="n">
        <v>0</v>
      </c>
      <c r="G68" s="53" t="n">
        <v>90</v>
      </c>
      <c r="H68" s="54" t="n">
        <v>7372.53</v>
      </c>
      <c r="I68" s="53" t="n">
        <f aca="false">IF(B68&gt;=Settings!$B$13,1,0)</f>
        <v>0</v>
      </c>
      <c r="J68" s="53" t="n">
        <v>1</v>
      </c>
      <c r="K68" s="53" t="n">
        <f aca="false">G68*I68*J68</f>
        <v>0</v>
      </c>
      <c r="L68" s="53" t="n">
        <f aca="false">F68*I68*J68</f>
        <v>0</v>
      </c>
      <c r="M68" s="54" t="n">
        <f aca="false">H68*I68*J68</f>
        <v>0</v>
      </c>
      <c r="N68" s="54" t="n">
        <f aca="false">E68*I68*J68</f>
        <v>-0</v>
      </c>
      <c r="O68" s="53" t="n">
        <f aca="false">G68*J68</f>
        <v>90</v>
      </c>
      <c r="P68" s="53" t="n">
        <f aca="false">F68*J68</f>
        <v>0</v>
      </c>
    </row>
    <row r="69" customFormat="false" ht="15" hidden="false" customHeight="false" outlineLevel="0" collapsed="false">
      <c r="A69" s="53" t="s">
        <v>93</v>
      </c>
      <c r="B69" s="53" t="s">
        <v>117</v>
      </c>
      <c r="C69" s="53" t="s">
        <v>357</v>
      </c>
      <c r="D69" s="53" t="s">
        <v>54</v>
      </c>
      <c r="E69" s="54" t="n">
        <v>0</v>
      </c>
      <c r="F69" s="53" t="n">
        <v>0</v>
      </c>
      <c r="G69" s="53" t="n">
        <v>34</v>
      </c>
      <c r="H69" s="54" t="n">
        <v>2836.35</v>
      </c>
      <c r="I69" s="53" t="n">
        <f aca="false">IF(B69&gt;=Settings!$B$13,1,0)</f>
        <v>0</v>
      </c>
      <c r="J69" s="53" t="n">
        <v>1</v>
      </c>
      <c r="K69" s="53" t="n">
        <f aca="false">G69*I69*J69</f>
        <v>0</v>
      </c>
      <c r="L69" s="53" t="n">
        <f aca="false">F69*I69*J69</f>
        <v>0</v>
      </c>
      <c r="M69" s="54" t="n">
        <f aca="false">H69*I69*J69</f>
        <v>0</v>
      </c>
      <c r="N69" s="54" t="n">
        <f aca="false">E69*I69*J69</f>
        <v>-0</v>
      </c>
      <c r="O69" s="53" t="n">
        <f aca="false">G69*J69</f>
        <v>34</v>
      </c>
      <c r="P69" s="53" t="n">
        <f aca="false">F69*J69</f>
        <v>0</v>
      </c>
    </row>
    <row r="70" customFormat="false" ht="15" hidden="false" customHeight="false" outlineLevel="0" collapsed="false">
      <c r="A70" s="53" t="s">
        <v>89</v>
      </c>
      <c r="B70" s="53" t="s">
        <v>117</v>
      </c>
      <c r="C70" s="53" t="s">
        <v>357</v>
      </c>
      <c r="D70" s="53" t="s">
        <v>54</v>
      </c>
      <c r="E70" s="54" t="n">
        <v>0</v>
      </c>
      <c r="F70" s="53" t="n">
        <v>0</v>
      </c>
      <c r="G70" s="53" t="n">
        <v>19</v>
      </c>
      <c r="H70" s="54" t="n">
        <v>1715.432</v>
      </c>
      <c r="I70" s="53" t="n">
        <f aca="false">IF(B70&gt;=Settings!$B$13,1,0)</f>
        <v>0</v>
      </c>
      <c r="J70" s="53" t="n">
        <v>1</v>
      </c>
      <c r="K70" s="53" t="n">
        <f aca="false">G70*I70*J70</f>
        <v>0</v>
      </c>
      <c r="L70" s="53" t="n">
        <f aca="false">F70*I70*J70</f>
        <v>0</v>
      </c>
      <c r="M70" s="54" t="n">
        <f aca="false">H70*I70*J70</f>
        <v>0</v>
      </c>
      <c r="N70" s="54" t="n">
        <f aca="false">E70*I70*J70</f>
        <v>-0</v>
      </c>
      <c r="O70" s="53" t="n">
        <f aca="false">G70*J70</f>
        <v>19</v>
      </c>
      <c r="P70" s="53" t="n">
        <f aca="false">F70*J70</f>
        <v>0</v>
      </c>
    </row>
    <row r="71" customFormat="false" ht="15" hidden="false" customHeight="false" outlineLevel="0" collapsed="false">
      <c r="A71" s="53" t="s">
        <v>97</v>
      </c>
      <c r="B71" s="53" t="s">
        <v>117</v>
      </c>
      <c r="C71" s="53" t="s">
        <v>358</v>
      </c>
      <c r="D71" s="53" t="s">
        <v>54</v>
      </c>
      <c r="E71" s="54" t="n">
        <v>0</v>
      </c>
      <c r="F71" s="53" t="n">
        <v>0</v>
      </c>
      <c r="G71" s="53" t="n">
        <v>5</v>
      </c>
      <c r="H71" s="54" t="n">
        <v>399.95</v>
      </c>
      <c r="I71" s="53" t="n">
        <f aca="false">IF(B71&gt;=Settings!$B$13,1,0)</f>
        <v>0</v>
      </c>
      <c r="J71" s="53" t="n">
        <v>1</v>
      </c>
      <c r="K71" s="53" t="n">
        <f aca="false">G71*I71*J71</f>
        <v>0</v>
      </c>
      <c r="L71" s="53" t="n">
        <f aca="false">F71*I71*J71</f>
        <v>0</v>
      </c>
      <c r="M71" s="54" t="n">
        <f aca="false">H71*I71*J71</f>
        <v>0</v>
      </c>
      <c r="N71" s="54" t="n">
        <f aca="false">E71*I71*J71</f>
        <v>-0</v>
      </c>
      <c r="O71" s="53" t="n">
        <f aca="false">G71*J71</f>
        <v>5</v>
      </c>
      <c r="P71" s="53" t="n">
        <f aca="false">F71*J71</f>
        <v>0</v>
      </c>
    </row>
    <row r="72" customFormat="false" ht="15" hidden="false" customHeight="false" outlineLevel="0" collapsed="false">
      <c r="A72" s="53" t="s">
        <v>93</v>
      </c>
      <c r="B72" s="53" t="s">
        <v>117</v>
      </c>
      <c r="C72" s="53" t="s">
        <v>332</v>
      </c>
      <c r="D72" s="53" t="s">
        <v>46</v>
      </c>
      <c r="E72" s="54" t="n">
        <v>0</v>
      </c>
      <c r="F72" s="53" t="n">
        <v>0</v>
      </c>
      <c r="G72" s="53" t="n">
        <v>38</v>
      </c>
      <c r="H72" s="54" t="n">
        <v>2903</v>
      </c>
      <c r="I72" s="53" t="n">
        <f aca="false">IF(B72&gt;=Settings!$B$13,1,0)</f>
        <v>0</v>
      </c>
      <c r="J72" s="53" t="n">
        <v>1</v>
      </c>
      <c r="K72" s="53" t="n">
        <f aca="false">G72*I72*J72</f>
        <v>0</v>
      </c>
      <c r="L72" s="53" t="n">
        <f aca="false">F72*I72*J72</f>
        <v>0</v>
      </c>
      <c r="M72" s="54" t="n">
        <f aca="false">H72*I72*J72</f>
        <v>0</v>
      </c>
      <c r="N72" s="54" t="n">
        <f aca="false">E72*I72*J72</f>
        <v>-0</v>
      </c>
      <c r="O72" s="53" t="n">
        <f aca="false">G72*J72</f>
        <v>38</v>
      </c>
      <c r="P72" s="53" t="n">
        <f aca="false">F72*J72</f>
        <v>0</v>
      </c>
    </row>
    <row r="73" customFormat="false" ht="15" hidden="false" customHeight="false" outlineLevel="0" collapsed="false">
      <c r="A73" s="53" t="s">
        <v>97</v>
      </c>
      <c r="B73" s="53" t="s">
        <v>117</v>
      </c>
      <c r="C73" s="53" t="s">
        <v>359</v>
      </c>
      <c r="D73" s="53" t="s">
        <v>66</v>
      </c>
      <c r="E73" s="54" t="n">
        <v>0</v>
      </c>
      <c r="F73" s="53" t="n">
        <v>0</v>
      </c>
      <c r="G73" s="53" t="n">
        <v>2</v>
      </c>
      <c r="H73" s="54" t="n">
        <v>219.9</v>
      </c>
      <c r="I73" s="53" t="n">
        <f aca="false">IF(B73&gt;=Settings!$B$13,1,0)</f>
        <v>0</v>
      </c>
      <c r="J73" s="53" t="n">
        <v>1</v>
      </c>
      <c r="K73" s="53" t="n">
        <f aca="false">G73*I73*J73</f>
        <v>0</v>
      </c>
      <c r="L73" s="53" t="n">
        <f aca="false">F73*I73*J73</f>
        <v>0</v>
      </c>
      <c r="M73" s="54" t="n">
        <f aca="false">H73*I73*J73</f>
        <v>0</v>
      </c>
      <c r="N73" s="54" t="n">
        <f aca="false">E73*I73*J73</f>
        <v>-0</v>
      </c>
      <c r="O73" s="53" t="n">
        <f aca="false">G73*J73</f>
        <v>2</v>
      </c>
      <c r="P73" s="53" t="n">
        <f aca="false">F73*J73</f>
        <v>0</v>
      </c>
    </row>
    <row r="74" customFormat="false" ht="15" hidden="false" customHeight="false" outlineLevel="0" collapsed="false">
      <c r="A74" s="53" t="s">
        <v>93</v>
      </c>
      <c r="B74" s="53" t="s">
        <v>117</v>
      </c>
      <c r="C74" s="53" t="s">
        <v>360</v>
      </c>
      <c r="D74" s="53" t="s">
        <v>54</v>
      </c>
      <c r="E74" s="54" t="n">
        <v>0</v>
      </c>
      <c r="F74" s="53" t="n">
        <v>0</v>
      </c>
      <c r="G74" s="53" t="n">
        <v>9</v>
      </c>
      <c r="H74" s="54" t="n">
        <v>1029.95</v>
      </c>
      <c r="I74" s="53" t="n">
        <f aca="false">IF(B74&gt;=Settings!$B$13,1,0)</f>
        <v>0</v>
      </c>
      <c r="J74" s="53" t="n">
        <v>1</v>
      </c>
      <c r="K74" s="53" t="n">
        <f aca="false">G74*I74*J74</f>
        <v>0</v>
      </c>
      <c r="L74" s="53" t="n">
        <f aca="false">F74*I74*J74</f>
        <v>0</v>
      </c>
      <c r="M74" s="54" t="n">
        <f aca="false">H74*I74*J74</f>
        <v>0</v>
      </c>
      <c r="N74" s="54" t="n">
        <f aca="false">E74*I74*J74</f>
        <v>-0</v>
      </c>
      <c r="O74" s="53" t="n">
        <f aca="false">G74*J74</f>
        <v>9</v>
      </c>
      <c r="P74" s="53" t="n">
        <f aca="false">F74*J74</f>
        <v>0</v>
      </c>
    </row>
    <row r="75" customFormat="false" ht="15" hidden="false" customHeight="false" outlineLevel="0" collapsed="false">
      <c r="A75" s="53" t="s">
        <v>89</v>
      </c>
      <c r="B75" s="53" t="s">
        <v>117</v>
      </c>
      <c r="C75" s="53" t="s">
        <v>360</v>
      </c>
      <c r="D75" s="53" t="s">
        <v>54</v>
      </c>
      <c r="E75" s="54" t="n">
        <v>0</v>
      </c>
      <c r="F75" s="53" t="n">
        <v>0</v>
      </c>
      <c r="G75" s="53" t="n">
        <v>8</v>
      </c>
      <c r="H75" s="54" t="n">
        <v>924.4</v>
      </c>
      <c r="I75" s="53" t="n">
        <f aca="false">IF(B75&gt;=Settings!$B$13,1,0)</f>
        <v>0</v>
      </c>
      <c r="J75" s="53" t="n">
        <v>1</v>
      </c>
      <c r="K75" s="53" t="n">
        <f aca="false">G75*I75*J75</f>
        <v>0</v>
      </c>
      <c r="L75" s="53" t="n">
        <f aca="false">F75*I75*J75</f>
        <v>0</v>
      </c>
      <c r="M75" s="54" t="n">
        <f aca="false">H75*I75*J75</f>
        <v>0</v>
      </c>
      <c r="N75" s="54" t="n">
        <f aca="false">E75*I75*J75</f>
        <v>-0</v>
      </c>
      <c r="O75" s="53" t="n">
        <f aca="false">G75*J75</f>
        <v>8</v>
      </c>
      <c r="P75" s="53" t="n">
        <f aca="false">F75*J75</f>
        <v>0</v>
      </c>
    </row>
    <row r="76" customFormat="false" ht="15" hidden="false" customHeight="false" outlineLevel="0" collapsed="false">
      <c r="A76" s="53" t="s">
        <v>93</v>
      </c>
      <c r="B76" s="53" t="s">
        <v>117</v>
      </c>
      <c r="C76" s="53" t="s">
        <v>162</v>
      </c>
      <c r="D76" s="53" t="s">
        <v>42</v>
      </c>
      <c r="E76" s="54" t="n">
        <v>147.2</v>
      </c>
      <c r="F76" s="53" t="n">
        <v>1</v>
      </c>
      <c r="G76" s="53" t="n">
        <v>46</v>
      </c>
      <c r="H76" s="54" t="n">
        <v>6375.2</v>
      </c>
      <c r="I76" s="53" t="n">
        <f aca="false">IF(B76&gt;=Settings!$B$13,1,0)</f>
        <v>0</v>
      </c>
      <c r="J76" s="53" t="n">
        <v>1</v>
      </c>
      <c r="K76" s="53" t="n">
        <f aca="false">G76*I76*J76</f>
        <v>0</v>
      </c>
      <c r="L76" s="53" t="n">
        <f aca="false">F76*I76*J76</f>
        <v>0</v>
      </c>
      <c r="M76" s="54" t="n">
        <f aca="false">H76*I76*J76</f>
        <v>0</v>
      </c>
      <c r="N76" s="54" t="n">
        <f aca="false">E76*I76*J76</f>
        <v>0</v>
      </c>
      <c r="O76" s="53" t="n">
        <f aca="false">G76*J76</f>
        <v>46</v>
      </c>
      <c r="P76" s="53" t="n">
        <f aca="false">F76*J76</f>
        <v>1</v>
      </c>
    </row>
    <row r="77" customFormat="false" ht="15" hidden="false" customHeight="false" outlineLevel="0" collapsed="false">
      <c r="A77" s="53" t="s">
        <v>97</v>
      </c>
      <c r="B77" s="53" t="s">
        <v>117</v>
      </c>
      <c r="C77" s="53" t="s">
        <v>361</v>
      </c>
      <c r="D77" s="53" t="s">
        <v>50</v>
      </c>
      <c r="E77" s="54" t="n">
        <v>0</v>
      </c>
      <c r="F77" s="53" t="n">
        <v>0</v>
      </c>
      <c r="G77" s="53" t="n">
        <v>5</v>
      </c>
      <c r="H77" s="54" t="n">
        <v>424.75</v>
      </c>
      <c r="I77" s="53" t="n">
        <f aca="false">IF(B77&gt;=Settings!$B$13,1,0)</f>
        <v>0</v>
      </c>
      <c r="J77" s="53" t="n">
        <v>1</v>
      </c>
      <c r="K77" s="53" t="n">
        <f aca="false">G77*I77*J77</f>
        <v>0</v>
      </c>
      <c r="L77" s="53" t="n">
        <f aca="false">F77*I77*J77</f>
        <v>0</v>
      </c>
      <c r="M77" s="54" t="n">
        <f aca="false">H77*I77*J77</f>
        <v>0</v>
      </c>
      <c r="N77" s="54" t="n">
        <f aca="false">E77*I77*J77</f>
        <v>-0</v>
      </c>
      <c r="O77" s="53" t="n">
        <f aca="false">G77*J77</f>
        <v>5</v>
      </c>
      <c r="P77" s="53" t="n">
        <f aca="false">F77*J77</f>
        <v>0</v>
      </c>
    </row>
    <row r="78" customFormat="false" ht="15" hidden="false" customHeight="false" outlineLevel="0" collapsed="false">
      <c r="A78" s="53" t="s">
        <v>97</v>
      </c>
      <c r="B78" s="53" t="s">
        <v>118</v>
      </c>
      <c r="C78" s="53" t="s">
        <v>342</v>
      </c>
      <c r="D78" s="53" t="s">
        <v>54</v>
      </c>
      <c r="E78" s="54" t="n">
        <v>69.95</v>
      </c>
      <c r="F78" s="53" t="n">
        <v>1</v>
      </c>
      <c r="G78" s="53" t="n">
        <v>2</v>
      </c>
      <c r="H78" s="54" t="n">
        <v>139.9</v>
      </c>
      <c r="I78" s="53" t="n">
        <f aca="false">IF(B78&gt;=Settings!$B$13,1,0)</f>
        <v>0</v>
      </c>
      <c r="J78" s="53" t="n">
        <v>1</v>
      </c>
      <c r="K78" s="53" t="n">
        <f aca="false">G78*I78*J78</f>
        <v>0</v>
      </c>
      <c r="L78" s="53" t="n">
        <f aca="false">F78*I78*J78</f>
        <v>0</v>
      </c>
      <c r="M78" s="54" t="n">
        <f aca="false">H78*I78*J78</f>
        <v>0</v>
      </c>
      <c r="N78" s="54" t="n">
        <f aca="false">E78*I78*J78</f>
        <v>0</v>
      </c>
      <c r="O78" s="53" t="n">
        <f aca="false">G78*J78</f>
        <v>2</v>
      </c>
      <c r="P78" s="53" t="n">
        <f aca="false">F78*J78</f>
        <v>1</v>
      </c>
    </row>
    <row r="79" customFormat="false" ht="15" hidden="false" customHeight="false" outlineLevel="0" collapsed="false">
      <c r="A79" s="53" t="s">
        <v>89</v>
      </c>
      <c r="B79" s="53" t="s">
        <v>118</v>
      </c>
      <c r="C79" s="53" t="s">
        <v>344</v>
      </c>
      <c r="D79" s="53" t="s">
        <v>50</v>
      </c>
      <c r="E79" s="54" t="n">
        <v>0</v>
      </c>
      <c r="F79" s="53" t="n">
        <v>0</v>
      </c>
      <c r="G79" s="53" t="n">
        <v>3</v>
      </c>
      <c r="H79" s="54" t="n">
        <v>359.85</v>
      </c>
      <c r="I79" s="53" t="n">
        <f aca="false">IF(B79&gt;=Settings!$B$13,1,0)</f>
        <v>0</v>
      </c>
      <c r="J79" s="53" t="n">
        <v>1</v>
      </c>
      <c r="K79" s="53" t="n">
        <f aca="false">G79*I79*J79</f>
        <v>0</v>
      </c>
      <c r="L79" s="53" t="n">
        <f aca="false">F79*I79*J79</f>
        <v>0</v>
      </c>
      <c r="M79" s="54" t="n">
        <f aca="false">H79*I79*J79</f>
        <v>0</v>
      </c>
      <c r="N79" s="54" t="n">
        <f aca="false">E79*I79*J79</f>
        <v>-0</v>
      </c>
      <c r="O79" s="53" t="n">
        <f aca="false">G79*J79</f>
        <v>3</v>
      </c>
      <c r="P79" s="53" t="n">
        <f aca="false">F79*J79</f>
        <v>0</v>
      </c>
    </row>
    <row r="80" customFormat="false" ht="15" hidden="false" customHeight="false" outlineLevel="0" collapsed="false">
      <c r="A80" s="53" t="s">
        <v>97</v>
      </c>
      <c r="B80" s="53" t="s">
        <v>118</v>
      </c>
      <c r="C80" s="53" t="s">
        <v>343</v>
      </c>
      <c r="D80" s="53" t="s">
        <v>54</v>
      </c>
      <c r="E80" s="54" t="n">
        <v>0</v>
      </c>
      <c r="F80" s="53" t="n">
        <v>0</v>
      </c>
      <c r="G80" s="53" t="n">
        <v>4</v>
      </c>
      <c r="H80" s="54" t="n">
        <v>359.8</v>
      </c>
      <c r="I80" s="53" t="n">
        <f aca="false">IF(B80&gt;=Settings!$B$13,1,0)</f>
        <v>0</v>
      </c>
      <c r="J80" s="53" t="n">
        <v>1</v>
      </c>
      <c r="K80" s="53" t="n">
        <f aca="false">G80*I80*J80</f>
        <v>0</v>
      </c>
      <c r="L80" s="53" t="n">
        <f aca="false">F80*I80*J80</f>
        <v>0</v>
      </c>
      <c r="M80" s="54" t="n">
        <f aca="false">H80*I80*J80</f>
        <v>0</v>
      </c>
      <c r="N80" s="54" t="n">
        <f aca="false">E80*I80*J80</f>
        <v>-0</v>
      </c>
      <c r="O80" s="53" t="n">
        <f aca="false">G80*J80</f>
        <v>4</v>
      </c>
      <c r="P80" s="53" t="n">
        <f aca="false">F80*J80</f>
        <v>0</v>
      </c>
    </row>
    <row r="81" customFormat="false" ht="15" hidden="false" customHeight="false" outlineLevel="0" collapsed="false">
      <c r="A81" s="53" t="s">
        <v>97</v>
      </c>
      <c r="B81" s="53" t="s">
        <v>118</v>
      </c>
      <c r="C81" s="53" t="s">
        <v>345</v>
      </c>
      <c r="D81" s="53" t="s">
        <v>46</v>
      </c>
      <c r="E81" s="54" t="n">
        <v>0</v>
      </c>
      <c r="F81" s="53" t="n">
        <v>0</v>
      </c>
      <c r="G81" s="53" t="n">
        <v>2</v>
      </c>
      <c r="H81" s="54" t="n">
        <v>269.9</v>
      </c>
      <c r="I81" s="53" t="n">
        <f aca="false">IF(B81&gt;=Settings!$B$13,1,0)</f>
        <v>0</v>
      </c>
      <c r="J81" s="53" t="n">
        <v>1</v>
      </c>
      <c r="K81" s="53" t="n">
        <f aca="false">G81*I81*J81</f>
        <v>0</v>
      </c>
      <c r="L81" s="53" t="n">
        <f aca="false">F81*I81*J81</f>
        <v>0</v>
      </c>
      <c r="M81" s="54" t="n">
        <f aca="false">H81*I81*J81</f>
        <v>0</v>
      </c>
      <c r="N81" s="54" t="n">
        <f aca="false">E81*I81*J81</f>
        <v>-0</v>
      </c>
      <c r="O81" s="53" t="n">
        <f aca="false">G81*J81</f>
        <v>2</v>
      </c>
      <c r="P81" s="53" t="n">
        <f aca="false">F81*J81</f>
        <v>0</v>
      </c>
    </row>
    <row r="82" customFormat="false" ht="15" hidden="false" customHeight="false" outlineLevel="0" collapsed="false">
      <c r="A82" s="53" t="s">
        <v>89</v>
      </c>
      <c r="B82" s="53" t="s">
        <v>118</v>
      </c>
      <c r="C82" s="53" t="s">
        <v>160</v>
      </c>
      <c r="D82" s="53" t="s">
        <v>58</v>
      </c>
      <c r="E82" s="54" t="n">
        <v>0</v>
      </c>
      <c r="F82" s="53" t="n">
        <v>0</v>
      </c>
      <c r="G82" s="53" t="n">
        <v>1</v>
      </c>
      <c r="H82" s="54" t="n">
        <v>114.95</v>
      </c>
      <c r="I82" s="53" t="n">
        <f aca="false">IF(B82&gt;=Settings!$B$13,1,0)</f>
        <v>0</v>
      </c>
      <c r="J82" s="53" t="n">
        <v>1</v>
      </c>
      <c r="K82" s="53" t="n">
        <f aca="false">G82*I82*J82</f>
        <v>0</v>
      </c>
      <c r="L82" s="53" t="n">
        <f aca="false">F82*I82*J82</f>
        <v>0</v>
      </c>
      <c r="M82" s="54" t="n">
        <f aca="false">H82*I82*J82</f>
        <v>0</v>
      </c>
      <c r="N82" s="54" t="n">
        <f aca="false">E82*I82*J82</f>
        <v>-0</v>
      </c>
      <c r="O82" s="53" t="n">
        <f aca="false">G82*J82</f>
        <v>1</v>
      </c>
      <c r="P82" s="53" t="n">
        <f aca="false">F82*J82</f>
        <v>0</v>
      </c>
    </row>
    <row r="83" customFormat="false" ht="15" hidden="false" customHeight="false" outlineLevel="0" collapsed="false">
      <c r="A83" s="53" t="s">
        <v>93</v>
      </c>
      <c r="B83" s="53" t="s">
        <v>118</v>
      </c>
      <c r="C83" s="53" t="s">
        <v>332</v>
      </c>
      <c r="D83" s="53" t="s">
        <v>46</v>
      </c>
      <c r="E83" s="54" t="n">
        <v>74.95</v>
      </c>
      <c r="F83" s="53" t="n">
        <v>1</v>
      </c>
      <c r="G83" s="53" t="n">
        <v>25</v>
      </c>
      <c r="H83" s="54" t="n">
        <v>1946.55</v>
      </c>
      <c r="I83" s="53" t="n">
        <f aca="false">IF(B83&gt;=Settings!$B$13,1,0)</f>
        <v>0</v>
      </c>
      <c r="J83" s="53" t="n">
        <v>1</v>
      </c>
      <c r="K83" s="53" t="n">
        <f aca="false">G83*I83*J83</f>
        <v>0</v>
      </c>
      <c r="L83" s="53" t="n">
        <f aca="false">F83*I83*J83</f>
        <v>0</v>
      </c>
      <c r="M83" s="54" t="n">
        <f aca="false">H83*I83*J83</f>
        <v>0</v>
      </c>
      <c r="N83" s="54" t="n">
        <f aca="false">E83*I83*J83</f>
        <v>0</v>
      </c>
      <c r="O83" s="53" t="n">
        <f aca="false">G83*J83</f>
        <v>25</v>
      </c>
      <c r="P83" s="53" t="n">
        <f aca="false">F83*J83</f>
        <v>1</v>
      </c>
    </row>
    <row r="84" customFormat="false" ht="15" hidden="false" customHeight="false" outlineLevel="0" collapsed="false">
      <c r="A84" s="53" t="s">
        <v>89</v>
      </c>
      <c r="B84" s="53" t="s">
        <v>118</v>
      </c>
      <c r="C84" s="53" t="s">
        <v>154</v>
      </c>
      <c r="D84" s="53" t="s">
        <v>42</v>
      </c>
      <c r="E84" s="54" t="n">
        <v>0</v>
      </c>
      <c r="F84" s="53" t="n">
        <v>0</v>
      </c>
      <c r="G84" s="53" t="n">
        <v>74</v>
      </c>
      <c r="H84" s="54" t="n">
        <v>6632.5</v>
      </c>
      <c r="I84" s="53" t="n">
        <f aca="false">IF(B84&gt;=Settings!$B$13,1,0)</f>
        <v>0</v>
      </c>
      <c r="J84" s="53" t="n">
        <v>1</v>
      </c>
      <c r="K84" s="53" t="n">
        <f aca="false">G84*I84*J84</f>
        <v>0</v>
      </c>
      <c r="L84" s="53" t="n">
        <f aca="false">F84*I84*J84</f>
        <v>0</v>
      </c>
      <c r="M84" s="54" t="n">
        <f aca="false">H84*I84*J84</f>
        <v>0</v>
      </c>
      <c r="N84" s="54" t="n">
        <f aca="false">E84*I84*J84</f>
        <v>-0</v>
      </c>
      <c r="O84" s="53" t="n">
        <f aca="false">G84*J84</f>
        <v>74</v>
      </c>
      <c r="P84" s="53" t="n">
        <f aca="false">F84*J84</f>
        <v>0</v>
      </c>
    </row>
    <row r="85" customFormat="false" ht="15" hidden="false" customHeight="false" outlineLevel="0" collapsed="false">
      <c r="A85" s="53" t="s">
        <v>93</v>
      </c>
      <c r="B85" s="53" t="s">
        <v>118</v>
      </c>
      <c r="C85" s="53" t="s">
        <v>318</v>
      </c>
      <c r="D85" s="53" t="s">
        <v>58</v>
      </c>
      <c r="E85" s="54" t="n">
        <v>184.95</v>
      </c>
      <c r="F85" s="53" t="n">
        <v>1</v>
      </c>
      <c r="G85" s="53" t="n">
        <v>5</v>
      </c>
      <c r="H85" s="54" t="n">
        <v>984.75</v>
      </c>
      <c r="I85" s="53" t="n">
        <f aca="false">IF(B85&gt;=Settings!$B$13,1,0)</f>
        <v>0</v>
      </c>
      <c r="J85" s="53" t="n">
        <v>1</v>
      </c>
      <c r="K85" s="53" t="n">
        <f aca="false">G85*I85*J85</f>
        <v>0</v>
      </c>
      <c r="L85" s="53" t="n">
        <f aca="false">F85*I85*J85</f>
        <v>0</v>
      </c>
      <c r="M85" s="54" t="n">
        <f aca="false">H85*I85*J85</f>
        <v>0</v>
      </c>
      <c r="N85" s="54" t="n">
        <f aca="false">E85*I85*J85</f>
        <v>0</v>
      </c>
      <c r="O85" s="53" t="n">
        <f aca="false">G85*J85</f>
        <v>5</v>
      </c>
      <c r="P85" s="53" t="n">
        <f aca="false">F85*J85</f>
        <v>1</v>
      </c>
    </row>
    <row r="86" customFormat="false" ht="15" hidden="false" customHeight="false" outlineLevel="0" collapsed="false">
      <c r="A86" s="53" t="s">
        <v>89</v>
      </c>
      <c r="B86" s="53" t="s">
        <v>118</v>
      </c>
      <c r="C86" s="53" t="s">
        <v>333</v>
      </c>
      <c r="D86" s="53" t="s">
        <v>54</v>
      </c>
      <c r="E86" s="54" t="n">
        <v>0</v>
      </c>
      <c r="F86" s="53" t="n">
        <v>0</v>
      </c>
      <c r="G86" s="53" t="n">
        <v>45</v>
      </c>
      <c r="H86" s="54" t="n">
        <v>3553.666</v>
      </c>
      <c r="I86" s="53" t="n">
        <f aca="false">IF(B86&gt;=Settings!$B$13,1,0)</f>
        <v>0</v>
      </c>
      <c r="J86" s="53" t="n">
        <v>1</v>
      </c>
      <c r="K86" s="53" t="n">
        <f aca="false">G86*I86*J86</f>
        <v>0</v>
      </c>
      <c r="L86" s="53" t="n">
        <f aca="false">F86*I86*J86</f>
        <v>0</v>
      </c>
      <c r="M86" s="54" t="n">
        <f aca="false">H86*I86*J86</f>
        <v>0</v>
      </c>
      <c r="N86" s="54" t="n">
        <f aca="false">E86*I86*J86</f>
        <v>-0</v>
      </c>
      <c r="O86" s="53" t="n">
        <f aca="false">G86*J86</f>
        <v>45</v>
      </c>
      <c r="P86" s="53" t="n">
        <f aca="false">F86*J86</f>
        <v>0</v>
      </c>
    </row>
    <row r="87" customFormat="false" ht="15" hidden="false" customHeight="false" outlineLevel="0" collapsed="false">
      <c r="A87" s="53" t="s">
        <v>89</v>
      </c>
      <c r="B87" s="53" t="s">
        <v>118</v>
      </c>
      <c r="C87" s="53" t="s">
        <v>144</v>
      </c>
      <c r="D87" s="53" t="s">
        <v>58</v>
      </c>
      <c r="E87" s="54" t="n">
        <v>0</v>
      </c>
      <c r="F87" s="53" t="n">
        <v>0</v>
      </c>
      <c r="G87" s="53" t="n">
        <v>2</v>
      </c>
      <c r="H87" s="54" t="n">
        <v>251.9</v>
      </c>
      <c r="I87" s="53" t="n">
        <f aca="false">IF(B87&gt;=Settings!$B$13,1,0)</f>
        <v>0</v>
      </c>
      <c r="J87" s="53" t="n">
        <v>1</v>
      </c>
      <c r="K87" s="53" t="n">
        <f aca="false">G87*I87*J87</f>
        <v>0</v>
      </c>
      <c r="L87" s="53" t="n">
        <f aca="false">F87*I87*J87</f>
        <v>0</v>
      </c>
      <c r="M87" s="54" t="n">
        <f aca="false">H87*I87*J87</f>
        <v>0</v>
      </c>
      <c r="N87" s="54" t="n">
        <f aca="false">E87*I87*J87</f>
        <v>-0</v>
      </c>
      <c r="O87" s="53" t="n">
        <f aca="false">G87*J87</f>
        <v>2</v>
      </c>
      <c r="P87" s="53" t="n">
        <f aca="false">F87*J87</f>
        <v>0</v>
      </c>
    </row>
    <row r="88" customFormat="false" ht="15" hidden="false" customHeight="false" outlineLevel="0" collapsed="false">
      <c r="A88" s="53" t="s">
        <v>97</v>
      </c>
      <c r="B88" s="53" t="s">
        <v>118</v>
      </c>
      <c r="C88" s="53" t="s">
        <v>319</v>
      </c>
      <c r="D88" s="53" t="s">
        <v>58</v>
      </c>
      <c r="E88" s="54" t="n">
        <v>0</v>
      </c>
      <c r="F88" s="53" t="n">
        <v>0</v>
      </c>
      <c r="G88" s="53" t="n">
        <v>1</v>
      </c>
      <c r="H88" s="54" t="n">
        <v>169.95</v>
      </c>
      <c r="I88" s="53" t="n">
        <f aca="false">IF(B88&gt;=Settings!$B$13,1,0)</f>
        <v>0</v>
      </c>
      <c r="J88" s="53" t="n">
        <v>1</v>
      </c>
      <c r="K88" s="53" t="n">
        <f aca="false">G88*I88*J88</f>
        <v>0</v>
      </c>
      <c r="L88" s="53" t="n">
        <f aca="false">F88*I88*J88</f>
        <v>0</v>
      </c>
      <c r="M88" s="54" t="n">
        <f aca="false">H88*I88*J88</f>
        <v>0</v>
      </c>
      <c r="N88" s="54" t="n">
        <f aca="false">E88*I88*J88</f>
        <v>-0</v>
      </c>
      <c r="O88" s="53" t="n">
        <f aca="false">G88*J88</f>
        <v>1</v>
      </c>
      <c r="P88" s="53" t="n">
        <f aca="false">F88*J88</f>
        <v>0</v>
      </c>
    </row>
    <row r="89" customFormat="false" ht="15" hidden="false" customHeight="false" outlineLevel="0" collapsed="false">
      <c r="A89" s="53" t="s">
        <v>93</v>
      </c>
      <c r="B89" s="53" t="s">
        <v>118</v>
      </c>
      <c r="C89" s="53" t="s">
        <v>317</v>
      </c>
      <c r="D89" s="53" t="s">
        <v>46</v>
      </c>
      <c r="E89" s="54" t="n">
        <v>0</v>
      </c>
      <c r="F89" s="53" t="n">
        <v>0</v>
      </c>
      <c r="G89" s="53" t="n">
        <v>31</v>
      </c>
      <c r="H89" s="54" t="n">
        <v>3745.05</v>
      </c>
      <c r="I89" s="53" t="n">
        <f aca="false">IF(B89&gt;=Settings!$B$13,1,0)</f>
        <v>0</v>
      </c>
      <c r="J89" s="53" t="n">
        <v>1</v>
      </c>
      <c r="K89" s="53" t="n">
        <f aca="false">G89*I89*J89</f>
        <v>0</v>
      </c>
      <c r="L89" s="53" t="n">
        <f aca="false">F89*I89*J89</f>
        <v>0</v>
      </c>
      <c r="M89" s="54" t="n">
        <f aca="false">H89*I89*J89</f>
        <v>0</v>
      </c>
      <c r="N89" s="54" t="n">
        <f aca="false">E89*I89*J89</f>
        <v>-0</v>
      </c>
      <c r="O89" s="53" t="n">
        <f aca="false">G89*J89</f>
        <v>31</v>
      </c>
      <c r="P89" s="53" t="n">
        <f aca="false">F89*J89</f>
        <v>0</v>
      </c>
    </row>
    <row r="90" customFormat="false" ht="15" hidden="false" customHeight="false" outlineLevel="0" collapsed="false">
      <c r="A90" s="53" t="s">
        <v>89</v>
      </c>
      <c r="B90" s="53" t="s">
        <v>118</v>
      </c>
      <c r="C90" s="53" t="s">
        <v>159</v>
      </c>
      <c r="D90" s="53" t="s">
        <v>50</v>
      </c>
      <c r="E90" s="54" t="n">
        <v>0</v>
      </c>
      <c r="F90" s="53" t="n">
        <v>0</v>
      </c>
      <c r="G90" s="53" t="n">
        <v>5</v>
      </c>
      <c r="H90" s="54" t="n">
        <v>586.533</v>
      </c>
      <c r="I90" s="53" t="n">
        <f aca="false">IF(B90&gt;=Settings!$B$13,1,0)</f>
        <v>0</v>
      </c>
      <c r="J90" s="53" t="n">
        <v>1</v>
      </c>
      <c r="K90" s="53" t="n">
        <f aca="false">G90*I90*J90</f>
        <v>0</v>
      </c>
      <c r="L90" s="53" t="n">
        <f aca="false">F90*I90*J90</f>
        <v>0</v>
      </c>
      <c r="M90" s="54" t="n">
        <f aca="false">H90*I90*J90</f>
        <v>0</v>
      </c>
      <c r="N90" s="54" t="n">
        <f aca="false">E90*I90*J90</f>
        <v>-0</v>
      </c>
      <c r="O90" s="53" t="n">
        <f aca="false">G90*J90</f>
        <v>5</v>
      </c>
      <c r="P90" s="53" t="n">
        <f aca="false">F90*J90</f>
        <v>0</v>
      </c>
    </row>
    <row r="91" customFormat="false" ht="15" hidden="false" customHeight="false" outlineLevel="0" collapsed="false">
      <c r="A91" s="53" t="s">
        <v>93</v>
      </c>
      <c r="B91" s="53" t="s">
        <v>118</v>
      </c>
      <c r="C91" s="53" t="s">
        <v>158</v>
      </c>
      <c r="D91" s="53" t="s">
        <v>42</v>
      </c>
      <c r="E91" s="54" t="n">
        <v>104.95</v>
      </c>
      <c r="F91" s="53" t="n">
        <v>1</v>
      </c>
      <c r="G91" s="53" t="n">
        <v>16</v>
      </c>
      <c r="H91" s="54" t="n">
        <v>1952.8</v>
      </c>
      <c r="I91" s="53" t="n">
        <f aca="false">IF(B91&gt;=Settings!$B$13,1,0)</f>
        <v>0</v>
      </c>
      <c r="J91" s="53" t="n">
        <v>1</v>
      </c>
      <c r="K91" s="53" t="n">
        <f aca="false">G91*I91*J91</f>
        <v>0</v>
      </c>
      <c r="L91" s="53" t="n">
        <f aca="false">F91*I91*J91</f>
        <v>0</v>
      </c>
      <c r="M91" s="54" t="n">
        <f aca="false">H91*I91*J91</f>
        <v>0</v>
      </c>
      <c r="N91" s="54" t="n">
        <f aca="false">E91*I91*J91</f>
        <v>0</v>
      </c>
      <c r="O91" s="53" t="n">
        <f aca="false">G91*J91</f>
        <v>16</v>
      </c>
      <c r="P91" s="53" t="n">
        <f aca="false">F91*J91</f>
        <v>1</v>
      </c>
    </row>
    <row r="92" customFormat="false" ht="15" hidden="false" customHeight="false" outlineLevel="0" collapsed="false">
      <c r="A92" s="53" t="s">
        <v>93</v>
      </c>
      <c r="B92" s="53" t="s">
        <v>118</v>
      </c>
      <c r="C92" s="53" t="s">
        <v>347</v>
      </c>
      <c r="D92" s="53" t="s">
        <v>62</v>
      </c>
      <c r="E92" s="54" t="n">
        <v>0</v>
      </c>
      <c r="F92" s="53" t="n">
        <v>0</v>
      </c>
      <c r="G92" s="53" t="n">
        <v>2</v>
      </c>
      <c r="H92" s="54" t="n">
        <v>159.9</v>
      </c>
      <c r="I92" s="53" t="n">
        <f aca="false">IF(B92&gt;=Settings!$B$13,1,0)</f>
        <v>0</v>
      </c>
      <c r="J92" s="53" t="n">
        <v>1</v>
      </c>
      <c r="K92" s="53" t="n">
        <f aca="false">G92*I92*J92</f>
        <v>0</v>
      </c>
      <c r="L92" s="53" t="n">
        <f aca="false">F92*I92*J92</f>
        <v>0</v>
      </c>
      <c r="M92" s="54" t="n">
        <f aca="false">H92*I92*J92</f>
        <v>0</v>
      </c>
      <c r="N92" s="54" t="n">
        <f aca="false">E92*I92*J92</f>
        <v>-0</v>
      </c>
      <c r="O92" s="53" t="n">
        <f aca="false">G92*J92</f>
        <v>2</v>
      </c>
      <c r="P92" s="53" t="n">
        <f aca="false">F92*J92</f>
        <v>0</v>
      </c>
    </row>
    <row r="93" customFormat="false" ht="15" hidden="false" customHeight="false" outlineLevel="0" collapsed="false">
      <c r="A93" s="53" t="s">
        <v>97</v>
      </c>
      <c r="B93" s="53" t="s">
        <v>118</v>
      </c>
      <c r="C93" s="53" t="s">
        <v>362</v>
      </c>
      <c r="D93" s="53" t="s">
        <v>54</v>
      </c>
      <c r="E93" s="54" t="n">
        <v>0</v>
      </c>
      <c r="F93" s="53" t="n">
        <v>0</v>
      </c>
      <c r="G93" s="53" t="n">
        <v>3</v>
      </c>
      <c r="H93" s="54" t="n">
        <v>254.85</v>
      </c>
      <c r="I93" s="53" t="n">
        <f aca="false">IF(B93&gt;=Settings!$B$13,1,0)</f>
        <v>0</v>
      </c>
      <c r="J93" s="53" t="n">
        <v>1</v>
      </c>
      <c r="K93" s="53" t="n">
        <f aca="false">G93*I93*J93</f>
        <v>0</v>
      </c>
      <c r="L93" s="53" t="n">
        <f aca="false">F93*I93*J93</f>
        <v>0</v>
      </c>
      <c r="M93" s="54" t="n">
        <f aca="false">H93*I93*J93</f>
        <v>0</v>
      </c>
      <c r="N93" s="54" t="n">
        <f aca="false">E93*I93*J93</f>
        <v>-0</v>
      </c>
      <c r="O93" s="53" t="n">
        <f aca="false">G93*J93</f>
        <v>3</v>
      </c>
      <c r="P93" s="53" t="n">
        <f aca="false">F93*J93</f>
        <v>0</v>
      </c>
    </row>
    <row r="94" customFormat="false" ht="15" hidden="false" customHeight="false" outlineLevel="0" collapsed="false">
      <c r="A94" s="53" t="s">
        <v>93</v>
      </c>
      <c r="B94" s="53" t="s">
        <v>118</v>
      </c>
      <c r="C94" s="53" t="s">
        <v>165</v>
      </c>
      <c r="D94" s="53" t="s">
        <v>42</v>
      </c>
      <c r="E94" s="54" t="n">
        <v>0</v>
      </c>
      <c r="F94" s="53" t="n">
        <v>0</v>
      </c>
      <c r="G94" s="53" t="n">
        <v>13</v>
      </c>
      <c r="H94" s="54" t="n">
        <v>2507.1</v>
      </c>
      <c r="I94" s="53" t="n">
        <f aca="false">IF(B94&gt;=Settings!$B$13,1,0)</f>
        <v>0</v>
      </c>
      <c r="J94" s="53" t="n">
        <v>1</v>
      </c>
      <c r="K94" s="53" t="n">
        <f aca="false">G94*I94*J94</f>
        <v>0</v>
      </c>
      <c r="L94" s="53" t="n">
        <f aca="false">F94*I94*J94</f>
        <v>0</v>
      </c>
      <c r="M94" s="54" t="n">
        <f aca="false">H94*I94*J94</f>
        <v>0</v>
      </c>
      <c r="N94" s="54" t="n">
        <f aca="false">E94*I94*J94</f>
        <v>-0</v>
      </c>
      <c r="O94" s="53" t="n">
        <f aca="false">G94*J94</f>
        <v>13</v>
      </c>
      <c r="P94" s="53" t="n">
        <f aca="false">F94*J94</f>
        <v>0</v>
      </c>
    </row>
    <row r="95" customFormat="false" ht="15" hidden="false" customHeight="false" outlineLevel="0" collapsed="false">
      <c r="A95" s="53" t="s">
        <v>89</v>
      </c>
      <c r="B95" s="53" t="s">
        <v>118</v>
      </c>
      <c r="C95" s="53" t="s">
        <v>145</v>
      </c>
      <c r="D95" s="53" t="s">
        <v>62</v>
      </c>
      <c r="E95" s="54" t="n">
        <v>0</v>
      </c>
      <c r="F95" s="53" t="n">
        <v>0</v>
      </c>
      <c r="G95" s="53" t="n">
        <v>4</v>
      </c>
      <c r="H95" s="54" t="n">
        <v>617.8</v>
      </c>
      <c r="I95" s="53" t="n">
        <f aca="false">IF(B95&gt;=Settings!$B$13,1,0)</f>
        <v>0</v>
      </c>
      <c r="J95" s="53" t="n">
        <v>1</v>
      </c>
      <c r="K95" s="53" t="n">
        <f aca="false">G95*I95*J95</f>
        <v>0</v>
      </c>
      <c r="L95" s="53" t="n">
        <f aca="false">F95*I95*J95</f>
        <v>0</v>
      </c>
      <c r="M95" s="54" t="n">
        <f aca="false">H95*I95*J95</f>
        <v>0</v>
      </c>
      <c r="N95" s="54" t="n">
        <f aca="false">E95*I95*J95</f>
        <v>-0</v>
      </c>
      <c r="O95" s="53" t="n">
        <f aca="false">G95*J95</f>
        <v>4</v>
      </c>
      <c r="P95" s="53" t="n">
        <f aca="false">F95*J95</f>
        <v>0</v>
      </c>
    </row>
    <row r="96" customFormat="false" ht="15" hidden="false" customHeight="false" outlineLevel="0" collapsed="false">
      <c r="A96" s="53" t="s">
        <v>97</v>
      </c>
      <c r="B96" s="53" t="s">
        <v>118</v>
      </c>
      <c r="C96" s="53" t="s">
        <v>325</v>
      </c>
      <c r="D96" s="53" t="s">
        <v>58</v>
      </c>
      <c r="E96" s="54" t="n">
        <v>0</v>
      </c>
      <c r="F96" s="53" t="n">
        <v>0</v>
      </c>
      <c r="G96" s="53" t="n">
        <v>1</v>
      </c>
      <c r="H96" s="54" t="n">
        <v>124.95</v>
      </c>
      <c r="I96" s="53" t="n">
        <f aca="false">IF(B96&gt;=Settings!$B$13,1,0)</f>
        <v>0</v>
      </c>
      <c r="J96" s="53" t="n">
        <v>1</v>
      </c>
      <c r="K96" s="53" t="n">
        <f aca="false">G96*I96*J96</f>
        <v>0</v>
      </c>
      <c r="L96" s="53" t="n">
        <f aca="false">F96*I96*J96</f>
        <v>0</v>
      </c>
      <c r="M96" s="54" t="n">
        <f aca="false">H96*I96*J96</f>
        <v>0</v>
      </c>
      <c r="N96" s="54" t="n">
        <f aca="false">E96*I96*J96</f>
        <v>-0</v>
      </c>
      <c r="O96" s="53" t="n">
        <f aca="false">G96*J96</f>
        <v>1</v>
      </c>
      <c r="P96" s="53" t="n">
        <f aca="false">F96*J96</f>
        <v>0</v>
      </c>
    </row>
    <row r="97" customFormat="false" ht="15" hidden="false" customHeight="false" outlineLevel="0" collapsed="false">
      <c r="A97" s="53" t="s">
        <v>97</v>
      </c>
      <c r="B97" s="53" t="s">
        <v>118</v>
      </c>
      <c r="C97" s="53" t="s">
        <v>363</v>
      </c>
      <c r="D97" s="53" t="s">
        <v>54</v>
      </c>
      <c r="E97" s="54" t="n">
        <v>0</v>
      </c>
      <c r="F97" s="53" t="n">
        <v>0</v>
      </c>
      <c r="G97" s="53" t="n">
        <v>2</v>
      </c>
      <c r="H97" s="54" t="n">
        <v>229.9</v>
      </c>
      <c r="I97" s="53" t="n">
        <f aca="false">IF(B97&gt;=Settings!$B$13,1,0)</f>
        <v>0</v>
      </c>
      <c r="J97" s="53" t="n">
        <v>1</v>
      </c>
      <c r="K97" s="53" t="n">
        <f aca="false">G97*I97*J97</f>
        <v>0</v>
      </c>
      <c r="L97" s="53" t="n">
        <f aca="false">F97*I97*J97</f>
        <v>0</v>
      </c>
      <c r="M97" s="54" t="n">
        <f aca="false">H97*I97*J97</f>
        <v>0</v>
      </c>
      <c r="N97" s="54" t="n">
        <f aca="false">E97*I97*J97</f>
        <v>-0</v>
      </c>
      <c r="O97" s="53" t="n">
        <f aca="false">G97*J97</f>
        <v>2</v>
      </c>
      <c r="P97" s="53" t="n">
        <f aca="false">F97*J97</f>
        <v>0</v>
      </c>
    </row>
    <row r="98" customFormat="false" ht="15" hidden="false" customHeight="false" outlineLevel="0" collapsed="false">
      <c r="A98" s="53" t="s">
        <v>93</v>
      </c>
      <c r="B98" s="53" t="s">
        <v>118</v>
      </c>
      <c r="C98" s="53" t="s">
        <v>156</v>
      </c>
      <c r="D98" s="53" t="s">
        <v>58</v>
      </c>
      <c r="E98" s="54" t="n">
        <v>0</v>
      </c>
      <c r="F98" s="53" t="n">
        <v>0</v>
      </c>
      <c r="G98" s="53" t="n">
        <v>6</v>
      </c>
      <c r="H98" s="54" t="n">
        <v>543.6</v>
      </c>
      <c r="I98" s="53" t="n">
        <f aca="false">IF(B98&gt;=Settings!$B$13,1,0)</f>
        <v>0</v>
      </c>
      <c r="J98" s="53" t="n">
        <v>1</v>
      </c>
      <c r="K98" s="53" t="n">
        <f aca="false">G98*I98*J98</f>
        <v>0</v>
      </c>
      <c r="L98" s="53" t="n">
        <f aca="false">F98*I98*J98</f>
        <v>0</v>
      </c>
      <c r="M98" s="54" t="n">
        <f aca="false">H98*I98*J98</f>
        <v>0</v>
      </c>
      <c r="N98" s="54" t="n">
        <f aca="false">E98*I98*J98</f>
        <v>-0</v>
      </c>
      <c r="O98" s="53" t="n">
        <f aca="false">G98*J98</f>
        <v>6</v>
      </c>
      <c r="P98" s="53" t="n">
        <f aca="false">F98*J98</f>
        <v>0</v>
      </c>
    </row>
    <row r="99" customFormat="false" ht="15" hidden="false" customHeight="false" outlineLevel="0" collapsed="false">
      <c r="A99" s="53" t="s">
        <v>97</v>
      </c>
      <c r="B99" s="53" t="s">
        <v>118</v>
      </c>
      <c r="C99" s="53" t="s">
        <v>364</v>
      </c>
      <c r="D99" s="53" t="s">
        <v>50</v>
      </c>
      <c r="E99" s="54" t="n">
        <v>0</v>
      </c>
      <c r="F99" s="53" t="n">
        <v>0</v>
      </c>
      <c r="G99" s="53" t="n">
        <v>1</v>
      </c>
      <c r="H99" s="54" t="n">
        <v>154.95</v>
      </c>
      <c r="I99" s="53" t="n">
        <f aca="false">IF(B99&gt;=Settings!$B$13,1,0)</f>
        <v>0</v>
      </c>
      <c r="J99" s="53" t="n">
        <v>1</v>
      </c>
      <c r="K99" s="53" t="n">
        <f aca="false">G99*I99*J99</f>
        <v>0</v>
      </c>
      <c r="L99" s="53" t="n">
        <f aca="false">F99*I99*J99</f>
        <v>0</v>
      </c>
      <c r="M99" s="54" t="n">
        <f aca="false">H99*I99*J99</f>
        <v>0</v>
      </c>
      <c r="N99" s="54" t="n">
        <f aca="false">E99*I99*J99</f>
        <v>-0</v>
      </c>
      <c r="O99" s="53" t="n">
        <f aca="false">G99*J99</f>
        <v>1</v>
      </c>
      <c r="P99" s="53" t="n">
        <f aca="false">F99*J99</f>
        <v>0</v>
      </c>
    </row>
    <row r="100" customFormat="false" ht="15" hidden="false" customHeight="false" outlineLevel="0" collapsed="false">
      <c r="A100" s="53" t="s">
        <v>89</v>
      </c>
      <c r="B100" s="53" t="s">
        <v>118</v>
      </c>
      <c r="C100" s="53" t="s">
        <v>163</v>
      </c>
      <c r="D100" s="53" t="s">
        <v>50</v>
      </c>
      <c r="E100" s="54" t="n">
        <v>0</v>
      </c>
      <c r="F100" s="53" t="n">
        <v>0</v>
      </c>
      <c r="G100" s="53" t="n">
        <v>1</v>
      </c>
      <c r="H100" s="54" t="n">
        <v>154.95</v>
      </c>
      <c r="I100" s="53" t="n">
        <f aca="false">IF(B100&gt;=Settings!$B$13,1,0)</f>
        <v>0</v>
      </c>
      <c r="J100" s="53" t="n">
        <v>1</v>
      </c>
      <c r="K100" s="53" t="n">
        <f aca="false">G100*I100*J100</f>
        <v>0</v>
      </c>
      <c r="L100" s="53" t="n">
        <f aca="false">F100*I100*J100</f>
        <v>0</v>
      </c>
      <c r="M100" s="54" t="n">
        <f aca="false">H100*I100*J100</f>
        <v>0</v>
      </c>
      <c r="N100" s="54" t="n">
        <f aca="false">E100*I100*J100</f>
        <v>-0</v>
      </c>
      <c r="O100" s="53" t="n">
        <f aca="false">G100*J100</f>
        <v>1</v>
      </c>
      <c r="P100" s="53" t="n">
        <f aca="false">F100*J100</f>
        <v>0</v>
      </c>
    </row>
    <row r="101" customFormat="false" ht="15" hidden="false" customHeight="false" outlineLevel="0" collapsed="false">
      <c r="A101" s="53" t="s">
        <v>97</v>
      </c>
      <c r="B101" s="53" t="s">
        <v>118</v>
      </c>
      <c r="C101" s="53" t="s">
        <v>356</v>
      </c>
      <c r="D101" s="53" t="s">
        <v>42</v>
      </c>
      <c r="E101" s="54" t="n">
        <v>194.95</v>
      </c>
      <c r="F101" s="53" t="n">
        <v>1</v>
      </c>
      <c r="G101" s="53" t="n">
        <v>1</v>
      </c>
      <c r="H101" s="54" t="n">
        <v>194.95</v>
      </c>
      <c r="I101" s="53" t="n">
        <f aca="false">IF(B101&gt;=Settings!$B$13,1,0)</f>
        <v>0</v>
      </c>
      <c r="J101" s="53" t="n">
        <v>1</v>
      </c>
      <c r="K101" s="53" t="n">
        <f aca="false">G101*I101*J101</f>
        <v>0</v>
      </c>
      <c r="L101" s="53" t="n">
        <f aca="false">F101*I101*J101</f>
        <v>0</v>
      </c>
      <c r="M101" s="54" t="n">
        <f aca="false">H101*I101*J101</f>
        <v>0</v>
      </c>
      <c r="N101" s="54" t="n">
        <f aca="false">E101*I101*J101</f>
        <v>0</v>
      </c>
      <c r="O101" s="53" t="n">
        <f aca="false">G101*J101</f>
        <v>1</v>
      </c>
      <c r="P101" s="53" t="n">
        <f aca="false">F101*J101</f>
        <v>1</v>
      </c>
    </row>
    <row r="102" customFormat="false" ht="15" hidden="false" customHeight="false" outlineLevel="0" collapsed="false">
      <c r="A102" s="53" t="s">
        <v>89</v>
      </c>
      <c r="B102" s="53" t="s">
        <v>118</v>
      </c>
      <c r="C102" s="53" t="s">
        <v>322</v>
      </c>
      <c r="D102" s="53" t="s">
        <v>54</v>
      </c>
      <c r="E102" s="54" t="n">
        <v>0</v>
      </c>
      <c r="F102" s="53" t="n">
        <v>0</v>
      </c>
      <c r="G102" s="53" t="n">
        <v>113</v>
      </c>
      <c r="H102" s="54" t="n">
        <v>6593.42</v>
      </c>
      <c r="I102" s="53" t="n">
        <f aca="false">IF(B102&gt;=Settings!$B$13,1,0)</f>
        <v>0</v>
      </c>
      <c r="J102" s="53" t="n">
        <v>1</v>
      </c>
      <c r="K102" s="53" t="n">
        <f aca="false">G102*I102*J102</f>
        <v>0</v>
      </c>
      <c r="L102" s="53" t="n">
        <f aca="false">F102*I102*J102</f>
        <v>0</v>
      </c>
      <c r="M102" s="54" t="n">
        <f aca="false">H102*I102*J102</f>
        <v>0</v>
      </c>
      <c r="N102" s="54" t="n">
        <f aca="false">E102*I102*J102</f>
        <v>-0</v>
      </c>
      <c r="O102" s="53" t="n">
        <f aca="false">G102*J102</f>
        <v>113</v>
      </c>
      <c r="P102" s="53" t="n">
        <f aca="false">F102*J102</f>
        <v>0</v>
      </c>
    </row>
    <row r="103" customFormat="false" ht="15" hidden="false" customHeight="false" outlineLevel="0" collapsed="false">
      <c r="A103" s="53" t="s">
        <v>97</v>
      </c>
      <c r="B103" s="53" t="s">
        <v>118</v>
      </c>
      <c r="C103" s="53" t="s">
        <v>329</v>
      </c>
      <c r="D103" s="53" t="s">
        <v>66</v>
      </c>
      <c r="E103" s="54" t="n">
        <v>0</v>
      </c>
      <c r="F103" s="53" t="n">
        <v>0</v>
      </c>
      <c r="G103" s="53" t="n">
        <v>1</v>
      </c>
      <c r="H103" s="54" t="n">
        <v>69.95</v>
      </c>
      <c r="I103" s="53" t="n">
        <f aca="false">IF(B103&gt;=Settings!$B$13,1,0)</f>
        <v>0</v>
      </c>
      <c r="J103" s="53" t="n">
        <v>1</v>
      </c>
      <c r="K103" s="53" t="n">
        <f aca="false">G103*I103*J103</f>
        <v>0</v>
      </c>
      <c r="L103" s="53" t="n">
        <f aca="false">F103*I103*J103</f>
        <v>0</v>
      </c>
      <c r="M103" s="54" t="n">
        <f aca="false">H103*I103*J103</f>
        <v>0</v>
      </c>
      <c r="N103" s="54" t="n">
        <f aca="false">E103*I103*J103</f>
        <v>-0</v>
      </c>
      <c r="O103" s="53" t="n">
        <f aca="false">G103*J103</f>
        <v>1</v>
      </c>
      <c r="P103" s="53" t="n">
        <f aca="false">F103*J103</f>
        <v>0</v>
      </c>
    </row>
    <row r="104" customFormat="false" ht="15" hidden="false" customHeight="false" outlineLevel="0" collapsed="false">
      <c r="A104" s="53" t="s">
        <v>89</v>
      </c>
      <c r="B104" s="53" t="s">
        <v>118</v>
      </c>
      <c r="C104" s="53" t="s">
        <v>318</v>
      </c>
      <c r="D104" s="53" t="s">
        <v>58</v>
      </c>
      <c r="E104" s="54" t="n">
        <v>0</v>
      </c>
      <c r="F104" s="53" t="n">
        <v>0</v>
      </c>
      <c r="G104" s="53" t="n">
        <v>2</v>
      </c>
      <c r="H104" s="54" t="n">
        <v>393.69</v>
      </c>
      <c r="I104" s="53" t="n">
        <f aca="false">IF(B104&gt;=Settings!$B$13,1,0)</f>
        <v>0</v>
      </c>
      <c r="J104" s="53" t="n">
        <v>1</v>
      </c>
      <c r="K104" s="53" t="n">
        <f aca="false">G104*I104*J104</f>
        <v>0</v>
      </c>
      <c r="L104" s="53" t="n">
        <f aca="false">F104*I104*J104</f>
        <v>0</v>
      </c>
      <c r="M104" s="54" t="n">
        <f aca="false">H104*I104*J104</f>
        <v>0</v>
      </c>
      <c r="N104" s="54" t="n">
        <f aca="false">E104*I104*J104</f>
        <v>-0</v>
      </c>
      <c r="O104" s="53" t="n">
        <f aca="false">G104*J104</f>
        <v>2</v>
      </c>
      <c r="P104" s="53" t="n">
        <f aca="false">F104*J104</f>
        <v>0</v>
      </c>
    </row>
    <row r="105" customFormat="false" ht="15" hidden="false" customHeight="false" outlineLevel="0" collapsed="false">
      <c r="A105" s="53" t="s">
        <v>97</v>
      </c>
      <c r="B105" s="53" t="s">
        <v>118</v>
      </c>
      <c r="C105" s="53" t="s">
        <v>361</v>
      </c>
      <c r="D105" s="53" t="s">
        <v>50</v>
      </c>
      <c r="E105" s="54" t="n">
        <v>0</v>
      </c>
      <c r="F105" s="53" t="n">
        <v>0</v>
      </c>
      <c r="G105" s="53" t="n">
        <v>1</v>
      </c>
      <c r="H105" s="54" t="n">
        <v>84.95</v>
      </c>
      <c r="I105" s="53" t="n">
        <f aca="false">IF(B105&gt;=Settings!$B$13,1,0)</f>
        <v>0</v>
      </c>
      <c r="J105" s="53" t="n">
        <v>1</v>
      </c>
      <c r="K105" s="53" t="n">
        <f aca="false">G105*I105*J105</f>
        <v>0</v>
      </c>
      <c r="L105" s="53" t="n">
        <f aca="false">F105*I105*J105</f>
        <v>0</v>
      </c>
      <c r="M105" s="54" t="n">
        <f aca="false">H105*I105*J105</f>
        <v>0</v>
      </c>
      <c r="N105" s="54" t="n">
        <f aca="false">E105*I105*J105</f>
        <v>-0</v>
      </c>
      <c r="O105" s="53" t="n">
        <f aca="false">G105*J105</f>
        <v>1</v>
      </c>
      <c r="P105" s="53" t="n">
        <f aca="false">F105*J105</f>
        <v>0</v>
      </c>
    </row>
    <row r="106" customFormat="false" ht="15" hidden="false" customHeight="false" outlineLevel="0" collapsed="false">
      <c r="A106" s="53" t="s">
        <v>93</v>
      </c>
      <c r="B106" s="53" t="s">
        <v>118</v>
      </c>
      <c r="C106" s="53" t="s">
        <v>323</v>
      </c>
      <c r="D106" s="53" t="s">
        <v>62</v>
      </c>
      <c r="E106" s="54" t="n">
        <v>0</v>
      </c>
      <c r="F106" s="53" t="n">
        <v>0</v>
      </c>
      <c r="G106" s="53" t="n">
        <v>2</v>
      </c>
      <c r="H106" s="54" t="n">
        <v>319.9</v>
      </c>
      <c r="I106" s="53" t="n">
        <f aca="false">IF(B106&gt;=Settings!$B$13,1,0)</f>
        <v>0</v>
      </c>
      <c r="J106" s="53" t="n">
        <v>1</v>
      </c>
      <c r="K106" s="53" t="n">
        <f aca="false">G106*I106*J106</f>
        <v>0</v>
      </c>
      <c r="L106" s="53" t="n">
        <f aca="false">F106*I106*J106</f>
        <v>0</v>
      </c>
      <c r="M106" s="54" t="n">
        <f aca="false">H106*I106*J106</f>
        <v>0</v>
      </c>
      <c r="N106" s="54" t="n">
        <f aca="false">E106*I106*J106</f>
        <v>-0</v>
      </c>
      <c r="O106" s="53" t="n">
        <f aca="false">G106*J106</f>
        <v>2</v>
      </c>
      <c r="P106" s="53" t="n">
        <f aca="false">F106*J106</f>
        <v>0</v>
      </c>
    </row>
    <row r="107" customFormat="false" ht="15" hidden="false" customHeight="false" outlineLevel="0" collapsed="false">
      <c r="A107" s="53" t="s">
        <v>97</v>
      </c>
      <c r="B107" s="53" t="s">
        <v>118</v>
      </c>
      <c r="C107" s="53" t="s">
        <v>326</v>
      </c>
      <c r="D107" s="53" t="s">
        <v>54</v>
      </c>
      <c r="E107" s="54" t="n">
        <v>0</v>
      </c>
      <c r="F107" s="53" t="n">
        <v>0</v>
      </c>
      <c r="G107" s="53" t="n">
        <v>2</v>
      </c>
      <c r="H107" s="54" t="n">
        <v>229.9</v>
      </c>
      <c r="I107" s="53" t="n">
        <f aca="false">IF(B107&gt;=Settings!$B$13,1,0)</f>
        <v>0</v>
      </c>
      <c r="J107" s="53" t="n">
        <v>1</v>
      </c>
      <c r="K107" s="53" t="n">
        <f aca="false">G107*I107*J107</f>
        <v>0</v>
      </c>
      <c r="L107" s="53" t="n">
        <f aca="false">F107*I107*J107</f>
        <v>0</v>
      </c>
      <c r="M107" s="54" t="n">
        <f aca="false">H107*I107*J107</f>
        <v>0</v>
      </c>
      <c r="N107" s="54" t="n">
        <f aca="false">E107*I107*J107</f>
        <v>-0</v>
      </c>
      <c r="O107" s="53" t="n">
        <f aca="false">G107*J107</f>
        <v>2</v>
      </c>
      <c r="P107" s="53" t="n">
        <f aca="false">F107*J107</f>
        <v>0</v>
      </c>
    </row>
    <row r="108" customFormat="false" ht="15" hidden="false" customHeight="false" outlineLevel="0" collapsed="false">
      <c r="A108" s="53" t="s">
        <v>93</v>
      </c>
      <c r="B108" s="53" t="s">
        <v>118</v>
      </c>
      <c r="C108" s="53" t="s">
        <v>316</v>
      </c>
      <c r="D108" s="53" t="s">
        <v>62</v>
      </c>
      <c r="E108" s="54" t="n">
        <v>0</v>
      </c>
      <c r="F108" s="53" t="n">
        <v>0</v>
      </c>
      <c r="G108" s="53" t="n">
        <v>1</v>
      </c>
      <c r="H108" s="54" t="n">
        <v>131.25</v>
      </c>
      <c r="I108" s="53" t="n">
        <f aca="false">IF(B108&gt;=Settings!$B$13,1,0)</f>
        <v>0</v>
      </c>
      <c r="J108" s="53" t="n">
        <v>1</v>
      </c>
      <c r="K108" s="53" t="n">
        <f aca="false">G108*I108*J108</f>
        <v>0</v>
      </c>
      <c r="L108" s="53" t="n">
        <f aca="false">F108*I108*J108</f>
        <v>0</v>
      </c>
      <c r="M108" s="54" t="n">
        <f aca="false">H108*I108*J108</f>
        <v>0</v>
      </c>
      <c r="N108" s="54" t="n">
        <f aca="false">E108*I108*J108</f>
        <v>-0</v>
      </c>
      <c r="O108" s="53" t="n">
        <f aca="false">G108*J108</f>
        <v>1</v>
      </c>
      <c r="P108" s="53" t="n">
        <f aca="false">F108*J108</f>
        <v>0</v>
      </c>
    </row>
    <row r="109" customFormat="false" ht="15" hidden="false" customHeight="false" outlineLevel="0" collapsed="false">
      <c r="A109" s="53" t="s">
        <v>93</v>
      </c>
      <c r="B109" s="53" t="s">
        <v>118</v>
      </c>
      <c r="C109" s="53" t="s">
        <v>154</v>
      </c>
      <c r="D109" s="53" t="s">
        <v>42</v>
      </c>
      <c r="E109" s="54" t="n">
        <v>0</v>
      </c>
      <c r="F109" s="53" t="n">
        <v>0</v>
      </c>
      <c r="G109" s="53" t="n">
        <v>25</v>
      </c>
      <c r="H109" s="54" t="n">
        <v>2211.7</v>
      </c>
      <c r="I109" s="53" t="n">
        <f aca="false">IF(B109&gt;=Settings!$B$13,1,0)</f>
        <v>0</v>
      </c>
      <c r="J109" s="53" t="n">
        <v>1</v>
      </c>
      <c r="K109" s="53" t="n">
        <f aca="false">G109*I109*J109</f>
        <v>0</v>
      </c>
      <c r="L109" s="53" t="n">
        <f aca="false">F109*I109*J109</f>
        <v>0</v>
      </c>
      <c r="M109" s="54" t="n">
        <f aca="false">H109*I109*J109</f>
        <v>0</v>
      </c>
      <c r="N109" s="54" t="n">
        <f aca="false">E109*I109*J109</f>
        <v>-0</v>
      </c>
      <c r="O109" s="53" t="n">
        <f aca="false">G109*J109</f>
        <v>25</v>
      </c>
      <c r="P109" s="53" t="n">
        <f aca="false">F109*J109</f>
        <v>0</v>
      </c>
    </row>
    <row r="110" customFormat="false" ht="15" hidden="false" customHeight="false" outlineLevel="0" collapsed="false">
      <c r="A110" s="53" t="s">
        <v>97</v>
      </c>
      <c r="B110" s="53" t="s">
        <v>118</v>
      </c>
      <c r="C110" s="53" t="s">
        <v>344</v>
      </c>
      <c r="D110" s="53" t="s">
        <v>50</v>
      </c>
      <c r="E110" s="54" t="n">
        <v>0</v>
      </c>
      <c r="F110" s="53" t="n">
        <v>0</v>
      </c>
      <c r="G110" s="53" t="n">
        <v>5</v>
      </c>
      <c r="H110" s="54" t="n">
        <v>704.75</v>
      </c>
      <c r="I110" s="53" t="n">
        <f aca="false">IF(B110&gt;=Settings!$B$13,1,0)</f>
        <v>0</v>
      </c>
      <c r="J110" s="53" t="n">
        <v>1</v>
      </c>
      <c r="K110" s="53" t="n">
        <f aca="false">G110*I110*J110</f>
        <v>0</v>
      </c>
      <c r="L110" s="53" t="n">
        <f aca="false">F110*I110*J110</f>
        <v>0</v>
      </c>
      <c r="M110" s="54" t="n">
        <f aca="false">H110*I110*J110</f>
        <v>0</v>
      </c>
      <c r="N110" s="54" t="n">
        <f aca="false">E110*I110*J110</f>
        <v>-0</v>
      </c>
      <c r="O110" s="53" t="n">
        <f aca="false">G110*J110</f>
        <v>5</v>
      </c>
      <c r="P110" s="53" t="n">
        <f aca="false">F110*J110</f>
        <v>0</v>
      </c>
    </row>
    <row r="111" customFormat="false" ht="15" hidden="false" customHeight="false" outlineLevel="0" collapsed="false">
      <c r="A111" s="53" t="s">
        <v>97</v>
      </c>
      <c r="B111" s="53" t="s">
        <v>118</v>
      </c>
      <c r="C111" s="53" t="s">
        <v>365</v>
      </c>
      <c r="D111" s="53" t="s">
        <v>46</v>
      </c>
      <c r="E111" s="54" t="n">
        <v>0</v>
      </c>
      <c r="F111" s="53" t="n">
        <v>0</v>
      </c>
      <c r="G111" s="53" t="n">
        <v>1</v>
      </c>
      <c r="H111" s="54" t="n">
        <v>99.95</v>
      </c>
      <c r="I111" s="53" t="n">
        <f aca="false">IF(B111&gt;=Settings!$B$13,1,0)</f>
        <v>0</v>
      </c>
      <c r="J111" s="53" t="n">
        <v>1</v>
      </c>
      <c r="K111" s="53" t="n">
        <f aca="false">G111*I111*J111</f>
        <v>0</v>
      </c>
      <c r="L111" s="53" t="n">
        <f aca="false">F111*I111*J111</f>
        <v>0</v>
      </c>
      <c r="M111" s="54" t="n">
        <f aca="false">H111*I111*J111</f>
        <v>0</v>
      </c>
      <c r="N111" s="54" t="n">
        <f aca="false">E111*I111*J111</f>
        <v>-0</v>
      </c>
      <c r="O111" s="53" t="n">
        <f aca="false">G111*J111</f>
        <v>1</v>
      </c>
      <c r="P111" s="53" t="n">
        <f aca="false">F111*J111</f>
        <v>0</v>
      </c>
    </row>
    <row r="112" customFormat="false" ht="15" hidden="false" customHeight="false" outlineLevel="0" collapsed="false">
      <c r="A112" s="53" t="s">
        <v>97</v>
      </c>
      <c r="B112" s="53" t="s">
        <v>118</v>
      </c>
      <c r="C112" s="53" t="s">
        <v>366</v>
      </c>
      <c r="D112" s="53" t="s">
        <v>50</v>
      </c>
      <c r="E112" s="54" t="n">
        <v>0</v>
      </c>
      <c r="F112" s="53" t="n">
        <v>0</v>
      </c>
      <c r="G112" s="53" t="n">
        <v>1</v>
      </c>
      <c r="H112" s="54" t="n">
        <v>119.95</v>
      </c>
      <c r="I112" s="53" t="n">
        <f aca="false">IF(B112&gt;=Settings!$B$13,1,0)</f>
        <v>0</v>
      </c>
      <c r="J112" s="53" t="n">
        <v>1</v>
      </c>
      <c r="K112" s="53" t="n">
        <f aca="false">G112*I112*J112</f>
        <v>0</v>
      </c>
      <c r="L112" s="53" t="n">
        <f aca="false">F112*I112*J112</f>
        <v>0</v>
      </c>
      <c r="M112" s="54" t="n">
        <f aca="false">H112*I112*J112</f>
        <v>0</v>
      </c>
      <c r="N112" s="54" t="n">
        <f aca="false">E112*I112*J112</f>
        <v>-0</v>
      </c>
      <c r="O112" s="53" t="n">
        <f aca="false">G112*J112</f>
        <v>1</v>
      </c>
      <c r="P112" s="53" t="n">
        <f aca="false">F112*J112</f>
        <v>0</v>
      </c>
    </row>
    <row r="113" customFormat="false" ht="15" hidden="false" customHeight="false" outlineLevel="0" collapsed="false">
      <c r="A113" s="53" t="s">
        <v>89</v>
      </c>
      <c r="B113" s="53" t="s">
        <v>118</v>
      </c>
      <c r="C113" s="53" t="s">
        <v>332</v>
      </c>
      <c r="D113" s="53" t="s">
        <v>46</v>
      </c>
      <c r="E113" s="54" t="n">
        <v>0</v>
      </c>
      <c r="F113" s="53" t="n">
        <v>0</v>
      </c>
      <c r="G113" s="53" t="n">
        <v>49</v>
      </c>
      <c r="H113" s="54" t="n">
        <v>4204.455</v>
      </c>
      <c r="I113" s="53" t="n">
        <f aca="false">IF(B113&gt;=Settings!$B$13,1,0)</f>
        <v>0</v>
      </c>
      <c r="J113" s="53" t="n">
        <v>1</v>
      </c>
      <c r="K113" s="53" t="n">
        <f aca="false">G113*I113*J113</f>
        <v>0</v>
      </c>
      <c r="L113" s="53" t="n">
        <f aca="false">F113*I113*J113</f>
        <v>0</v>
      </c>
      <c r="M113" s="54" t="n">
        <f aca="false">H113*I113*J113</f>
        <v>0</v>
      </c>
      <c r="N113" s="54" t="n">
        <f aca="false">E113*I113*J113</f>
        <v>-0</v>
      </c>
      <c r="O113" s="53" t="n">
        <f aca="false">G113*J113</f>
        <v>49</v>
      </c>
      <c r="P113" s="53" t="n">
        <f aca="false">F113*J113</f>
        <v>0</v>
      </c>
    </row>
    <row r="114" customFormat="false" ht="15" hidden="false" customHeight="false" outlineLevel="0" collapsed="false">
      <c r="A114" s="53" t="s">
        <v>97</v>
      </c>
      <c r="B114" s="53" t="s">
        <v>118</v>
      </c>
      <c r="C114" s="53" t="s">
        <v>358</v>
      </c>
      <c r="D114" s="53" t="s">
        <v>54</v>
      </c>
      <c r="E114" s="54" t="n">
        <v>0</v>
      </c>
      <c r="F114" s="53" t="n">
        <v>0</v>
      </c>
      <c r="G114" s="53" t="n">
        <v>3</v>
      </c>
      <c r="H114" s="54" t="n">
        <v>239.97</v>
      </c>
      <c r="I114" s="53" t="n">
        <f aca="false">IF(B114&gt;=Settings!$B$13,1,0)</f>
        <v>0</v>
      </c>
      <c r="J114" s="53" t="n">
        <v>1</v>
      </c>
      <c r="K114" s="53" t="n">
        <f aca="false">G114*I114*J114</f>
        <v>0</v>
      </c>
      <c r="L114" s="53" t="n">
        <f aca="false">F114*I114*J114</f>
        <v>0</v>
      </c>
      <c r="M114" s="54" t="n">
        <f aca="false">H114*I114*J114</f>
        <v>0</v>
      </c>
      <c r="N114" s="54" t="n">
        <f aca="false">E114*I114*J114</f>
        <v>-0</v>
      </c>
      <c r="O114" s="53" t="n">
        <f aca="false">G114*J114</f>
        <v>3</v>
      </c>
      <c r="P114" s="53" t="n">
        <f aca="false">F114*J114</f>
        <v>0</v>
      </c>
    </row>
    <row r="115" customFormat="false" ht="15" hidden="false" customHeight="false" outlineLevel="0" collapsed="false">
      <c r="A115" s="53" t="s">
        <v>89</v>
      </c>
      <c r="B115" s="53" t="s">
        <v>118</v>
      </c>
      <c r="C115" s="53" t="s">
        <v>357</v>
      </c>
      <c r="D115" s="53" t="s">
        <v>54</v>
      </c>
      <c r="E115" s="54" t="n">
        <v>0</v>
      </c>
      <c r="F115" s="53" t="n">
        <v>0</v>
      </c>
      <c r="G115" s="53" t="n">
        <v>7</v>
      </c>
      <c r="H115" s="54" t="n">
        <v>642.51</v>
      </c>
      <c r="I115" s="53" t="n">
        <f aca="false">IF(B115&gt;=Settings!$B$13,1,0)</f>
        <v>0</v>
      </c>
      <c r="J115" s="53" t="n">
        <v>1</v>
      </c>
      <c r="K115" s="53" t="n">
        <f aca="false">G115*I115*J115</f>
        <v>0</v>
      </c>
      <c r="L115" s="53" t="n">
        <f aca="false">F115*I115*J115</f>
        <v>0</v>
      </c>
      <c r="M115" s="54" t="n">
        <f aca="false">H115*I115*J115</f>
        <v>0</v>
      </c>
      <c r="N115" s="54" t="n">
        <f aca="false">E115*I115*J115</f>
        <v>-0</v>
      </c>
      <c r="O115" s="53" t="n">
        <f aca="false">G115*J115</f>
        <v>7</v>
      </c>
      <c r="P115" s="53" t="n">
        <f aca="false">F115*J115</f>
        <v>0</v>
      </c>
    </row>
    <row r="116" customFormat="false" ht="15" hidden="false" customHeight="false" outlineLevel="0" collapsed="false">
      <c r="A116" s="53" t="s">
        <v>89</v>
      </c>
      <c r="B116" s="53" t="s">
        <v>118</v>
      </c>
      <c r="C116" s="53" t="s">
        <v>165</v>
      </c>
      <c r="D116" s="53" t="s">
        <v>42</v>
      </c>
      <c r="E116" s="54" t="n">
        <v>0</v>
      </c>
      <c r="F116" s="53" t="n">
        <v>0</v>
      </c>
      <c r="G116" s="53" t="n">
        <v>18</v>
      </c>
      <c r="H116" s="54" t="n">
        <v>3261.82</v>
      </c>
      <c r="I116" s="53" t="n">
        <f aca="false">IF(B116&gt;=Settings!$B$13,1,0)</f>
        <v>0</v>
      </c>
      <c r="J116" s="53" t="n">
        <v>1</v>
      </c>
      <c r="K116" s="53" t="n">
        <f aca="false">G116*I116*J116</f>
        <v>0</v>
      </c>
      <c r="L116" s="53" t="n">
        <f aca="false">F116*I116*J116</f>
        <v>0</v>
      </c>
      <c r="M116" s="54" t="n">
        <f aca="false">H116*I116*J116</f>
        <v>0</v>
      </c>
      <c r="N116" s="54" t="n">
        <f aca="false">E116*I116*J116</f>
        <v>-0</v>
      </c>
      <c r="O116" s="53" t="n">
        <f aca="false">G116*J116</f>
        <v>18</v>
      </c>
      <c r="P116" s="53" t="n">
        <f aca="false">F116*J116</f>
        <v>0</v>
      </c>
    </row>
    <row r="117" customFormat="false" ht="15" hidden="false" customHeight="false" outlineLevel="0" collapsed="false">
      <c r="A117" s="53" t="s">
        <v>97</v>
      </c>
      <c r="B117" s="53" t="s">
        <v>118</v>
      </c>
      <c r="C117" s="53" t="s">
        <v>367</v>
      </c>
      <c r="D117" s="53" t="s">
        <v>50</v>
      </c>
      <c r="E117" s="54" t="n">
        <v>0</v>
      </c>
      <c r="F117" s="53" t="n">
        <v>0</v>
      </c>
      <c r="G117" s="53" t="n">
        <v>1</v>
      </c>
      <c r="H117" s="54" t="n">
        <v>139.95</v>
      </c>
      <c r="I117" s="53" t="n">
        <f aca="false">IF(B117&gt;=Settings!$B$13,1,0)</f>
        <v>0</v>
      </c>
      <c r="J117" s="53" t="n">
        <v>1</v>
      </c>
      <c r="K117" s="53" t="n">
        <f aca="false">G117*I117*J117</f>
        <v>0</v>
      </c>
      <c r="L117" s="53" t="n">
        <f aca="false">F117*I117*J117</f>
        <v>0</v>
      </c>
      <c r="M117" s="54" t="n">
        <f aca="false">H117*I117*J117</f>
        <v>0</v>
      </c>
      <c r="N117" s="54" t="n">
        <f aca="false">E117*I117*J117</f>
        <v>-0</v>
      </c>
      <c r="O117" s="53" t="n">
        <f aca="false">G117*J117</f>
        <v>1</v>
      </c>
      <c r="P117" s="53" t="n">
        <f aca="false">F117*J117</f>
        <v>0</v>
      </c>
    </row>
    <row r="118" customFormat="false" ht="15" hidden="false" customHeight="false" outlineLevel="0" collapsed="false">
      <c r="A118" s="53" t="s">
        <v>97</v>
      </c>
      <c r="B118" s="53" t="s">
        <v>118</v>
      </c>
      <c r="C118" s="53" t="s">
        <v>334</v>
      </c>
      <c r="D118" s="53" t="s">
        <v>54</v>
      </c>
      <c r="E118" s="54" t="n">
        <v>0</v>
      </c>
      <c r="F118" s="53" t="n">
        <v>0</v>
      </c>
      <c r="G118" s="53" t="n">
        <v>1</v>
      </c>
      <c r="H118" s="54" t="n">
        <v>124.95</v>
      </c>
      <c r="I118" s="53" t="n">
        <f aca="false">IF(B118&gt;=Settings!$B$13,1,0)</f>
        <v>0</v>
      </c>
      <c r="J118" s="53" t="n">
        <v>1</v>
      </c>
      <c r="K118" s="53" t="n">
        <f aca="false">G118*I118*J118</f>
        <v>0</v>
      </c>
      <c r="L118" s="53" t="n">
        <f aca="false">F118*I118*J118</f>
        <v>0</v>
      </c>
      <c r="M118" s="54" t="n">
        <f aca="false">H118*I118*J118</f>
        <v>0</v>
      </c>
      <c r="N118" s="54" t="n">
        <f aca="false">E118*I118*J118</f>
        <v>-0</v>
      </c>
      <c r="O118" s="53" t="n">
        <f aca="false">G118*J118</f>
        <v>1</v>
      </c>
      <c r="P118" s="53" t="n">
        <f aca="false">F118*J118</f>
        <v>0</v>
      </c>
    </row>
    <row r="119" customFormat="false" ht="15" hidden="false" customHeight="false" outlineLevel="0" collapsed="false">
      <c r="A119" s="53" t="s">
        <v>97</v>
      </c>
      <c r="B119" s="53" t="s">
        <v>118</v>
      </c>
      <c r="C119" s="53" t="s">
        <v>340</v>
      </c>
      <c r="D119" s="53" t="s">
        <v>50</v>
      </c>
      <c r="E119" s="54" t="n">
        <v>0</v>
      </c>
      <c r="F119" s="53" t="n">
        <v>0</v>
      </c>
      <c r="G119" s="53" t="n">
        <v>1</v>
      </c>
      <c r="H119" s="54" t="n">
        <v>84.95</v>
      </c>
      <c r="I119" s="53" t="n">
        <f aca="false">IF(B119&gt;=Settings!$B$13,1,0)</f>
        <v>0</v>
      </c>
      <c r="J119" s="53" t="n">
        <v>1</v>
      </c>
      <c r="K119" s="53" t="n">
        <f aca="false">G119*I119*J119</f>
        <v>0</v>
      </c>
      <c r="L119" s="53" t="n">
        <f aca="false">F119*I119*J119</f>
        <v>0</v>
      </c>
      <c r="M119" s="54" t="n">
        <f aca="false">H119*I119*J119</f>
        <v>0</v>
      </c>
      <c r="N119" s="54" t="n">
        <f aca="false">E119*I119*J119</f>
        <v>-0</v>
      </c>
      <c r="O119" s="53" t="n">
        <f aca="false">G119*J119</f>
        <v>1</v>
      </c>
      <c r="P119" s="53" t="n">
        <f aca="false">F119*J119</f>
        <v>0</v>
      </c>
    </row>
    <row r="120" customFormat="false" ht="15" hidden="false" customHeight="false" outlineLevel="0" collapsed="false">
      <c r="A120" s="53" t="s">
        <v>89</v>
      </c>
      <c r="B120" s="53" t="s">
        <v>118</v>
      </c>
      <c r="C120" s="53" t="s">
        <v>162</v>
      </c>
      <c r="D120" s="53" t="s">
        <v>42</v>
      </c>
      <c r="E120" s="54" t="n">
        <v>0</v>
      </c>
      <c r="F120" s="53" t="n">
        <v>0</v>
      </c>
      <c r="G120" s="53" t="n">
        <v>30</v>
      </c>
      <c r="H120" s="54" t="n">
        <v>4547.091</v>
      </c>
      <c r="I120" s="53" t="n">
        <f aca="false">IF(B120&gt;=Settings!$B$13,1,0)</f>
        <v>0</v>
      </c>
      <c r="J120" s="53" t="n">
        <v>1</v>
      </c>
      <c r="K120" s="53" t="n">
        <f aca="false">G120*I120*J120</f>
        <v>0</v>
      </c>
      <c r="L120" s="53" t="n">
        <f aca="false">F120*I120*J120</f>
        <v>0</v>
      </c>
      <c r="M120" s="54" t="n">
        <f aca="false">H120*I120*J120</f>
        <v>0</v>
      </c>
      <c r="N120" s="54" t="n">
        <f aca="false">E120*I120*J120</f>
        <v>-0</v>
      </c>
      <c r="O120" s="53" t="n">
        <f aca="false">G120*J120</f>
        <v>30</v>
      </c>
      <c r="P120" s="53" t="n">
        <f aca="false">F120*J120</f>
        <v>0</v>
      </c>
    </row>
    <row r="121" customFormat="false" ht="15" hidden="false" customHeight="false" outlineLevel="0" collapsed="false">
      <c r="A121" s="53" t="s">
        <v>97</v>
      </c>
      <c r="B121" s="53" t="s">
        <v>118</v>
      </c>
      <c r="C121" s="53" t="s">
        <v>353</v>
      </c>
      <c r="D121" s="53" t="s">
        <v>58</v>
      </c>
      <c r="E121" s="54" t="n">
        <v>0</v>
      </c>
      <c r="F121" s="53" t="n">
        <v>0</v>
      </c>
      <c r="G121" s="53" t="n">
        <v>2</v>
      </c>
      <c r="H121" s="54" t="n">
        <v>199.9</v>
      </c>
      <c r="I121" s="53" t="n">
        <f aca="false">IF(B121&gt;=Settings!$B$13,1,0)</f>
        <v>0</v>
      </c>
      <c r="J121" s="53" t="n">
        <v>1</v>
      </c>
      <c r="K121" s="53" t="n">
        <f aca="false">G121*I121*J121</f>
        <v>0</v>
      </c>
      <c r="L121" s="53" t="n">
        <f aca="false">F121*I121*J121</f>
        <v>0</v>
      </c>
      <c r="M121" s="54" t="n">
        <f aca="false">H121*I121*J121</f>
        <v>0</v>
      </c>
      <c r="N121" s="54" t="n">
        <f aca="false">E121*I121*J121</f>
        <v>-0</v>
      </c>
      <c r="O121" s="53" t="n">
        <f aca="false">G121*J121</f>
        <v>2</v>
      </c>
      <c r="P121" s="53" t="n">
        <f aca="false">F121*J121</f>
        <v>0</v>
      </c>
    </row>
    <row r="122" customFormat="false" ht="15" hidden="false" customHeight="false" outlineLevel="0" collapsed="false">
      <c r="A122" s="53" t="s">
        <v>89</v>
      </c>
      <c r="B122" s="53" t="s">
        <v>118</v>
      </c>
      <c r="C122" s="53" t="s">
        <v>316</v>
      </c>
      <c r="D122" s="53" t="s">
        <v>62</v>
      </c>
      <c r="E122" s="54" t="n">
        <v>0</v>
      </c>
      <c r="F122" s="53" t="n">
        <v>0</v>
      </c>
      <c r="G122" s="53" t="n">
        <v>1</v>
      </c>
      <c r="H122" s="54" t="n">
        <v>109.95</v>
      </c>
      <c r="I122" s="53" t="n">
        <f aca="false">IF(B122&gt;=Settings!$B$13,1,0)</f>
        <v>0</v>
      </c>
      <c r="J122" s="53" t="n">
        <v>1</v>
      </c>
      <c r="K122" s="53" t="n">
        <f aca="false">G122*I122*J122</f>
        <v>0</v>
      </c>
      <c r="L122" s="53" t="n">
        <f aca="false">F122*I122*J122</f>
        <v>0</v>
      </c>
      <c r="M122" s="54" t="n">
        <f aca="false">H122*I122*J122</f>
        <v>0</v>
      </c>
      <c r="N122" s="54" t="n">
        <f aca="false">E122*I122*J122</f>
        <v>-0</v>
      </c>
      <c r="O122" s="53" t="n">
        <f aca="false">G122*J122</f>
        <v>1</v>
      </c>
      <c r="P122" s="53" t="n">
        <f aca="false">F122*J122</f>
        <v>0</v>
      </c>
    </row>
    <row r="123" customFormat="false" ht="15" hidden="false" customHeight="false" outlineLevel="0" collapsed="false">
      <c r="A123" s="53" t="s">
        <v>97</v>
      </c>
      <c r="B123" s="53" t="s">
        <v>118</v>
      </c>
      <c r="C123" s="53" t="s">
        <v>368</v>
      </c>
      <c r="D123" s="53" t="s">
        <v>50</v>
      </c>
      <c r="E123" s="54" t="n">
        <v>0</v>
      </c>
      <c r="F123" s="53" t="n">
        <v>0</v>
      </c>
      <c r="G123" s="53" t="n">
        <v>1</v>
      </c>
      <c r="H123" s="54" t="n">
        <v>164.95</v>
      </c>
      <c r="I123" s="53" t="n">
        <f aca="false">IF(B123&gt;=Settings!$B$13,1,0)</f>
        <v>0</v>
      </c>
      <c r="J123" s="53" t="n">
        <v>1</v>
      </c>
      <c r="K123" s="53" t="n">
        <f aca="false">G123*I123*J123</f>
        <v>0</v>
      </c>
      <c r="L123" s="53" t="n">
        <f aca="false">F123*I123*J123</f>
        <v>0</v>
      </c>
      <c r="M123" s="54" t="n">
        <f aca="false">H123*I123*J123</f>
        <v>0</v>
      </c>
      <c r="N123" s="54" t="n">
        <f aca="false">E123*I123*J123</f>
        <v>-0</v>
      </c>
      <c r="O123" s="53" t="n">
        <f aca="false">G123*J123</f>
        <v>1</v>
      </c>
      <c r="P123" s="53" t="n">
        <f aca="false">F123*J123</f>
        <v>0</v>
      </c>
    </row>
    <row r="124" customFormat="false" ht="15" hidden="false" customHeight="false" outlineLevel="0" collapsed="false">
      <c r="A124" s="53" t="s">
        <v>89</v>
      </c>
      <c r="B124" s="53" t="s">
        <v>118</v>
      </c>
      <c r="C124" s="53" t="s">
        <v>156</v>
      </c>
      <c r="D124" s="53" t="s">
        <v>58</v>
      </c>
      <c r="E124" s="54" t="n">
        <v>0</v>
      </c>
      <c r="F124" s="53" t="n">
        <v>0</v>
      </c>
      <c r="G124" s="53" t="n">
        <v>119</v>
      </c>
      <c r="H124" s="54" t="n">
        <v>10523.128</v>
      </c>
      <c r="I124" s="53" t="n">
        <f aca="false">IF(B124&gt;=Settings!$B$13,1,0)</f>
        <v>0</v>
      </c>
      <c r="J124" s="53" t="n">
        <v>1</v>
      </c>
      <c r="K124" s="53" t="n">
        <f aca="false">G124*I124*J124</f>
        <v>0</v>
      </c>
      <c r="L124" s="53" t="n">
        <f aca="false">F124*I124*J124</f>
        <v>0</v>
      </c>
      <c r="M124" s="54" t="n">
        <f aca="false">H124*I124*J124</f>
        <v>0</v>
      </c>
      <c r="N124" s="54" t="n">
        <f aca="false">E124*I124*J124</f>
        <v>-0</v>
      </c>
      <c r="O124" s="53" t="n">
        <f aca="false">G124*J124</f>
        <v>119</v>
      </c>
      <c r="P124" s="53" t="n">
        <f aca="false">F124*J124</f>
        <v>0</v>
      </c>
    </row>
    <row r="125" customFormat="false" ht="15" hidden="false" customHeight="false" outlineLevel="0" collapsed="false">
      <c r="A125" s="53" t="s">
        <v>93</v>
      </c>
      <c r="B125" s="53" t="s">
        <v>118</v>
      </c>
      <c r="C125" s="53" t="s">
        <v>162</v>
      </c>
      <c r="D125" s="53" t="s">
        <v>42</v>
      </c>
      <c r="E125" s="54" t="n">
        <v>0</v>
      </c>
      <c r="F125" s="53" t="n">
        <v>0</v>
      </c>
      <c r="G125" s="53" t="n">
        <v>12</v>
      </c>
      <c r="H125" s="54" t="n">
        <v>1848.55</v>
      </c>
      <c r="I125" s="53" t="n">
        <f aca="false">IF(B125&gt;=Settings!$B$13,1,0)</f>
        <v>0</v>
      </c>
      <c r="J125" s="53" t="n">
        <v>1</v>
      </c>
      <c r="K125" s="53" t="n">
        <f aca="false">G125*I125*J125</f>
        <v>0</v>
      </c>
      <c r="L125" s="53" t="n">
        <f aca="false">F125*I125*J125</f>
        <v>0</v>
      </c>
      <c r="M125" s="54" t="n">
        <f aca="false">H125*I125*J125</f>
        <v>0</v>
      </c>
      <c r="N125" s="54" t="n">
        <f aca="false">E125*I125*J125</f>
        <v>-0</v>
      </c>
      <c r="O125" s="53" t="n">
        <f aca="false">G125*J125</f>
        <v>12</v>
      </c>
      <c r="P125" s="53" t="n">
        <f aca="false">F125*J125</f>
        <v>0</v>
      </c>
    </row>
    <row r="126" customFormat="false" ht="15" hidden="false" customHeight="false" outlineLevel="0" collapsed="false">
      <c r="A126" s="53" t="s">
        <v>89</v>
      </c>
      <c r="B126" s="53" t="s">
        <v>118</v>
      </c>
      <c r="C126" s="53" t="s">
        <v>317</v>
      </c>
      <c r="D126" s="53" t="s">
        <v>46</v>
      </c>
      <c r="E126" s="54" t="n">
        <v>0</v>
      </c>
      <c r="F126" s="53" t="n">
        <v>0</v>
      </c>
      <c r="G126" s="53" t="n">
        <v>20</v>
      </c>
      <c r="H126" s="54" t="n">
        <v>2322.43</v>
      </c>
      <c r="I126" s="53" t="n">
        <f aca="false">IF(B126&gt;=Settings!$B$13,1,0)</f>
        <v>0</v>
      </c>
      <c r="J126" s="53" t="n">
        <v>1</v>
      </c>
      <c r="K126" s="53" t="n">
        <f aca="false">G126*I126*J126</f>
        <v>0</v>
      </c>
      <c r="L126" s="53" t="n">
        <f aca="false">F126*I126*J126</f>
        <v>0</v>
      </c>
      <c r="M126" s="54" t="n">
        <f aca="false">H126*I126*J126</f>
        <v>0</v>
      </c>
      <c r="N126" s="54" t="n">
        <f aca="false">E126*I126*J126</f>
        <v>-0</v>
      </c>
      <c r="O126" s="53" t="n">
        <f aca="false">G126*J126</f>
        <v>20</v>
      </c>
      <c r="P126" s="53" t="n">
        <f aca="false">F126*J126</f>
        <v>0</v>
      </c>
    </row>
    <row r="127" customFormat="false" ht="15" hidden="false" customHeight="false" outlineLevel="0" collapsed="false">
      <c r="A127" s="53" t="s">
        <v>93</v>
      </c>
      <c r="B127" s="53" t="s">
        <v>118</v>
      </c>
      <c r="C127" s="53" t="s">
        <v>333</v>
      </c>
      <c r="D127" s="53" t="s">
        <v>54</v>
      </c>
      <c r="E127" s="54" t="n">
        <v>74.95</v>
      </c>
      <c r="F127" s="53" t="n">
        <v>1</v>
      </c>
      <c r="G127" s="53" t="n">
        <v>32</v>
      </c>
      <c r="H127" s="54" t="n">
        <v>2389.4</v>
      </c>
      <c r="I127" s="53" t="n">
        <f aca="false">IF(B127&gt;=Settings!$B$13,1,0)</f>
        <v>0</v>
      </c>
      <c r="J127" s="53" t="n">
        <v>1</v>
      </c>
      <c r="K127" s="53" t="n">
        <f aca="false">G127*I127*J127</f>
        <v>0</v>
      </c>
      <c r="L127" s="53" t="n">
        <f aca="false">F127*I127*J127</f>
        <v>0</v>
      </c>
      <c r="M127" s="54" t="n">
        <f aca="false">H127*I127*J127</f>
        <v>0</v>
      </c>
      <c r="N127" s="54" t="n">
        <f aca="false">E127*I127*J127</f>
        <v>0</v>
      </c>
      <c r="O127" s="53" t="n">
        <f aca="false">G127*J127</f>
        <v>32</v>
      </c>
      <c r="P127" s="53" t="n">
        <f aca="false">F127*J127</f>
        <v>1</v>
      </c>
    </row>
    <row r="128" customFormat="false" ht="15" hidden="false" customHeight="false" outlineLevel="0" collapsed="false">
      <c r="A128" s="53" t="s">
        <v>93</v>
      </c>
      <c r="B128" s="53" t="s">
        <v>118</v>
      </c>
      <c r="C128" s="53" t="s">
        <v>360</v>
      </c>
      <c r="D128" s="53" t="s">
        <v>54</v>
      </c>
      <c r="E128" s="54" t="n">
        <v>0</v>
      </c>
      <c r="F128" s="53" t="n">
        <v>0</v>
      </c>
      <c r="G128" s="53" t="n">
        <v>10</v>
      </c>
      <c r="H128" s="54" t="n">
        <v>979.5</v>
      </c>
      <c r="I128" s="53" t="n">
        <f aca="false">IF(B128&gt;=Settings!$B$13,1,0)</f>
        <v>0</v>
      </c>
      <c r="J128" s="53" t="n">
        <v>1</v>
      </c>
      <c r="K128" s="53" t="n">
        <f aca="false">G128*I128*J128</f>
        <v>0</v>
      </c>
      <c r="L128" s="53" t="n">
        <f aca="false">F128*I128*J128</f>
        <v>0</v>
      </c>
      <c r="M128" s="54" t="n">
        <f aca="false">H128*I128*J128</f>
        <v>0</v>
      </c>
      <c r="N128" s="54" t="n">
        <f aca="false">E128*I128*J128</f>
        <v>-0</v>
      </c>
      <c r="O128" s="53" t="n">
        <f aca="false">G128*J128</f>
        <v>10</v>
      </c>
      <c r="P128" s="53" t="n">
        <f aca="false">F128*J128</f>
        <v>0</v>
      </c>
    </row>
    <row r="129" customFormat="false" ht="15" hidden="false" customHeight="false" outlineLevel="0" collapsed="false">
      <c r="A129" s="53" t="s">
        <v>97</v>
      </c>
      <c r="B129" s="53" t="s">
        <v>118</v>
      </c>
      <c r="C129" s="53" t="s">
        <v>348</v>
      </c>
      <c r="D129" s="53" t="s">
        <v>62</v>
      </c>
      <c r="E129" s="54" t="n">
        <v>0</v>
      </c>
      <c r="F129" s="53" t="n">
        <v>0</v>
      </c>
      <c r="G129" s="53" t="n">
        <v>1</v>
      </c>
      <c r="H129" s="54" t="n">
        <v>124.95</v>
      </c>
      <c r="I129" s="53" t="n">
        <f aca="false">IF(B129&gt;=Settings!$B$13,1,0)</f>
        <v>0</v>
      </c>
      <c r="J129" s="53" t="n">
        <v>1</v>
      </c>
      <c r="K129" s="53" t="n">
        <f aca="false">G129*I129*J129</f>
        <v>0</v>
      </c>
      <c r="L129" s="53" t="n">
        <f aca="false">F129*I129*J129</f>
        <v>0</v>
      </c>
      <c r="M129" s="54" t="n">
        <f aca="false">H129*I129*J129</f>
        <v>0</v>
      </c>
      <c r="N129" s="54" t="n">
        <f aca="false">E129*I129*J129</f>
        <v>-0</v>
      </c>
      <c r="O129" s="53" t="n">
        <f aca="false">G129*J129</f>
        <v>1</v>
      </c>
      <c r="P129" s="53" t="n">
        <f aca="false">F129*J129</f>
        <v>0</v>
      </c>
    </row>
    <row r="130" customFormat="false" ht="15" hidden="false" customHeight="false" outlineLevel="0" collapsed="false">
      <c r="A130" s="53" t="s">
        <v>89</v>
      </c>
      <c r="B130" s="53" t="s">
        <v>118</v>
      </c>
      <c r="C130" s="53" t="s">
        <v>360</v>
      </c>
      <c r="D130" s="53" t="s">
        <v>54</v>
      </c>
      <c r="E130" s="54" t="n">
        <v>0</v>
      </c>
      <c r="F130" s="53" t="n">
        <v>0</v>
      </c>
      <c r="G130" s="53" t="n">
        <v>11</v>
      </c>
      <c r="H130" s="54" t="n">
        <v>1118.01</v>
      </c>
      <c r="I130" s="53" t="n">
        <f aca="false">IF(B130&gt;=Settings!$B$13,1,0)</f>
        <v>0</v>
      </c>
      <c r="J130" s="53" t="n">
        <v>1</v>
      </c>
      <c r="K130" s="53" t="n">
        <f aca="false">G130*I130*J130</f>
        <v>0</v>
      </c>
      <c r="L130" s="53" t="n">
        <f aca="false">F130*I130*J130</f>
        <v>0</v>
      </c>
      <c r="M130" s="54" t="n">
        <f aca="false">H130*I130*J130</f>
        <v>0</v>
      </c>
      <c r="N130" s="54" t="n">
        <f aca="false">E130*I130*J130</f>
        <v>-0</v>
      </c>
      <c r="O130" s="53" t="n">
        <f aca="false">G130*J130</f>
        <v>11</v>
      </c>
      <c r="P130" s="53" t="n">
        <f aca="false">F130*J130</f>
        <v>0</v>
      </c>
    </row>
    <row r="131" customFormat="false" ht="15" hidden="false" customHeight="false" outlineLevel="0" collapsed="false">
      <c r="A131" s="53" t="s">
        <v>97</v>
      </c>
      <c r="B131" s="53" t="s">
        <v>118</v>
      </c>
      <c r="C131" s="53" t="s">
        <v>350</v>
      </c>
      <c r="D131" s="53" t="s">
        <v>46</v>
      </c>
      <c r="E131" s="54" t="n">
        <v>0</v>
      </c>
      <c r="F131" s="53" t="n">
        <v>0</v>
      </c>
      <c r="G131" s="53" t="n">
        <v>4</v>
      </c>
      <c r="H131" s="54" t="n">
        <v>499.8</v>
      </c>
      <c r="I131" s="53" t="n">
        <f aca="false">IF(B131&gt;=Settings!$B$13,1,0)</f>
        <v>0</v>
      </c>
      <c r="J131" s="53" t="n">
        <v>1</v>
      </c>
      <c r="K131" s="53" t="n">
        <f aca="false">G131*I131*J131</f>
        <v>0</v>
      </c>
      <c r="L131" s="53" t="n">
        <f aca="false">F131*I131*J131</f>
        <v>0</v>
      </c>
      <c r="M131" s="54" t="n">
        <f aca="false">H131*I131*J131</f>
        <v>0</v>
      </c>
      <c r="N131" s="54" t="n">
        <f aca="false">E131*I131*J131</f>
        <v>-0</v>
      </c>
      <c r="O131" s="53" t="n">
        <f aca="false">G131*J131</f>
        <v>4</v>
      </c>
      <c r="P131" s="53" t="n">
        <f aca="false">F131*J131</f>
        <v>0</v>
      </c>
    </row>
    <row r="132" customFormat="false" ht="15" hidden="false" customHeight="false" outlineLevel="0" collapsed="false">
      <c r="A132" s="53" t="s">
        <v>97</v>
      </c>
      <c r="B132" s="53" t="s">
        <v>118</v>
      </c>
      <c r="C132" s="53" t="s">
        <v>349</v>
      </c>
      <c r="D132" s="53" t="s">
        <v>46</v>
      </c>
      <c r="E132" s="54" t="n">
        <v>0</v>
      </c>
      <c r="F132" s="53" t="n">
        <v>0</v>
      </c>
      <c r="G132" s="53" t="n">
        <v>9</v>
      </c>
      <c r="H132" s="54" t="n">
        <v>989.55</v>
      </c>
      <c r="I132" s="53" t="n">
        <f aca="false">IF(B132&gt;=Settings!$B$13,1,0)</f>
        <v>0</v>
      </c>
      <c r="J132" s="53" t="n">
        <v>1</v>
      </c>
      <c r="K132" s="53" t="n">
        <f aca="false">G132*I132*J132</f>
        <v>0</v>
      </c>
      <c r="L132" s="53" t="n">
        <f aca="false">F132*I132*J132</f>
        <v>0</v>
      </c>
      <c r="M132" s="54" t="n">
        <f aca="false">H132*I132*J132</f>
        <v>0</v>
      </c>
      <c r="N132" s="54" t="n">
        <f aca="false">E132*I132*J132</f>
        <v>-0</v>
      </c>
      <c r="O132" s="53" t="n">
        <f aca="false">G132*J132</f>
        <v>9</v>
      </c>
      <c r="P132" s="53" t="n">
        <f aca="false">F132*J132</f>
        <v>0</v>
      </c>
    </row>
    <row r="133" customFormat="false" ht="15" hidden="false" customHeight="false" outlineLevel="0" collapsed="false">
      <c r="A133" s="53" t="s">
        <v>97</v>
      </c>
      <c r="B133" s="53" t="s">
        <v>118</v>
      </c>
      <c r="C133" s="53" t="s">
        <v>321</v>
      </c>
      <c r="D133" s="53" t="s">
        <v>46</v>
      </c>
      <c r="E133" s="54" t="n">
        <v>0</v>
      </c>
      <c r="F133" s="53" t="n">
        <v>0</v>
      </c>
      <c r="G133" s="53" t="n">
        <v>2</v>
      </c>
      <c r="H133" s="54" t="n">
        <v>279.9</v>
      </c>
      <c r="I133" s="53" t="n">
        <f aca="false">IF(B133&gt;=Settings!$B$13,1,0)</f>
        <v>0</v>
      </c>
      <c r="J133" s="53" t="n">
        <v>1</v>
      </c>
      <c r="K133" s="53" t="n">
        <f aca="false">G133*I133*J133</f>
        <v>0</v>
      </c>
      <c r="L133" s="53" t="n">
        <f aca="false">F133*I133*J133</f>
        <v>0</v>
      </c>
      <c r="M133" s="54" t="n">
        <f aca="false">H133*I133*J133</f>
        <v>0</v>
      </c>
      <c r="N133" s="54" t="n">
        <f aca="false">E133*I133*J133</f>
        <v>-0</v>
      </c>
      <c r="O133" s="53" t="n">
        <f aca="false">G133*J133</f>
        <v>2</v>
      </c>
      <c r="P133" s="53" t="n">
        <f aca="false">F133*J133</f>
        <v>0</v>
      </c>
    </row>
    <row r="134" customFormat="false" ht="15" hidden="false" customHeight="false" outlineLevel="0" collapsed="false">
      <c r="A134" s="53" t="s">
        <v>97</v>
      </c>
      <c r="B134" s="53" t="s">
        <v>118</v>
      </c>
      <c r="C134" s="53" t="s">
        <v>320</v>
      </c>
      <c r="D134" s="53" t="s">
        <v>54</v>
      </c>
      <c r="E134" s="54" t="n">
        <v>0</v>
      </c>
      <c r="F134" s="53" t="n">
        <v>0</v>
      </c>
      <c r="G134" s="53" t="n">
        <v>1</v>
      </c>
      <c r="H134" s="54" t="n">
        <v>99.95</v>
      </c>
      <c r="I134" s="53" t="n">
        <f aca="false">IF(B134&gt;=Settings!$B$13,1,0)</f>
        <v>0</v>
      </c>
      <c r="J134" s="53" t="n">
        <v>1</v>
      </c>
      <c r="K134" s="53" t="n">
        <f aca="false">G134*I134*J134</f>
        <v>0</v>
      </c>
      <c r="L134" s="53" t="n">
        <f aca="false">F134*I134*J134</f>
        <v>0</v>
      </c>
      <c r="M134" s="54" t="n">
        <f aca="false">H134*I134*J134</f>
        <v>0</v>
      </c>
      <c r="N134" s="54" t="n">
        <f aca="false">E134*I134*J134</f>
        <v>-0</v>
      </c>
      <c r="O134" s="53" t="n">
        <f aca="false">G134*J134</f>
        <v>1</v>
      </c>
      <c r="P134" s="53" t="n">
        <f aca="false">F134*J134</f>
        <v>0</v>
      </c>
    </row>
    <row r="135" customFormat="false" ht="15" hidden="false" customHeight="false" outlineLevel="0" collapsed="false">
      <c r="A135" s="53" t="s">
        <v>89</v>
      </c>
      <c r="B135" s="53" t="s">
        <v>118</v>
      </c>
      <c r="C135" s="53" t="s">
        <v>328</v>
      </c>
      <c r="D135" s="53" t="s">
        <v>50</v>
      </c>
      <c r="E135" s="54" t="n">
        <v>0</v>
      </c>
      <c r="F135" s="53" t="n">
        <v>0</v>
      </c>
      <c r="G135" s="53" t="n">
        <v>10</v>
      </c>
      <c r="H135" s="54" t="n">
        <v>940.5</v>
      </c>
      <c r="I135" s="53" t="n">
        <f aca="false">IF(B135&gt;=Settings!$B$13,1,0)</f>
        <v>0</v>
      </c>
      <c r="J135" s="53" t="n">
        <v>1</v>
      </c>
      <c r="K135" s="53" t="n">
        <f aca="false">G135*I135*J135</f>
        <v>0</v>
      </c>
      <c r="L135" s="53" t="n">
        <f aca="false">F135*I135*J135</f>
        <v>0</v>
      </c>
      <c r="M135" s="54" t="n">
        <f aca="false">H135*I135*J135</f>
        <v>0</v>
      </c>
      <c r="N135" s="54" t="n">
        <f aca="false">E135*I135*J135</f>
        <v>-0</v>
      </c>
      <c r="O135" s="53" t="n">
        <f aca="false">G135*J135</f>
        <v>10</v>
      </c>
      <c r="P135" s="53" t="n">
        <f aca="false">F135*J135</f>
        <v>0</v>
      </c>
    </row>
    <row r="136" customFormat="false" ht="15" hidden="false" customHeight="false" outlineLevel="0" collapsed="false">
      <c r="A136" s="53" t="s">
        <v>89</v>
      </c>
      <c r="B136" s="53" t="s">
        <v>118</v>
      </c>
      <c r="C136" s="53" t="s">
        <v>369</v>
      </c>
      <c r="D136" s="53" t="s">
        <v>54</v>
      </c>
      <c r="E136" s="54" t="n">
        <v>0</v>
      </c>
      <c r="F136" s="53" t="n">
        <v>0</v>
      </c>
      <c r="G136" s="53" t="n">
        <v>1</v>
      </c>
      <c r="H136" s="54" t="n">
        <v>54.95</v>
      </c>
      <c r="I136" s="53" t="n">
        <f aca="false">IF(B136&gt;=Settings!$B$13,1,0)</f>
        <v>0</v>
      </c>
      <c r="J136" s="53" t="n">
        <v>1</v>
      </c>
      <c r="K136" s="53" t="n">
        <f aca="false">G136*I136*J136</f>
        <v>0</v>
      </c>
      <c r="L136" s="53" t="n">
        <f aca="false">F136*I136*J136</f>
        <v>0</v>
      </c>
      <c r="M136" s="54" t="n">
        <f aca="false">H136*I136*J136</f>
        <v>0</v>
      </c>
      <c r="N136" s="54" t="n">
        <f aca="false">E136*I136*J136</f>
        <v>-0</v>
      </c>
      <c r="O136" s="53" t="n">
        <f aca="false">G136*J136</f>
        <v>1</v>
      </c>
      <c r="P136" s="53" t="n">
        <f aca="false">F136*J136</f>
        <v>0</v>
      </c>
    </row>
    <row r="137" customFormat="false" ht="15" hidden="false" customHeight="false" outlineLevel="0" collapsed="false">
      <c r="A137" s="53" t="s">
        <v>97</v>
      </c>
      <c r="B137" s="53" t="s">
        <v>118</v>
      </c>
      <c r="C137" s="53" t="s">
        <v>370</v>
      </c>
      <c r="D137" s="53" t="s">
        <v>66</v>
      </c>
      <c r="E137" s="54" t="n">
        <v>0</v>
      </c>
      <c r="F137" s="53" t="n">
        <v>0</v>
      </c>
      <c r="G137" s="53" t="n">
        <v>1</v>
      </c>
      <c r="H137" s="54" t="n">
        <v>109.95</v>
      </c>
      <c r="I137" s="53" t="n">
        <f aca="false">IF(B137&gt;=Settings!$B$13,1,0)</f>
        <v>0</v>
      </c>
      <c r="J137" s="53" t="n">
        <v>1</v>
      </c>
      <c r="K137" s="53" t="n">
        <f aca="false">G137*I137*J137</f>
        <v>0</v>
      </c>
      <c r="L137" s="53" t="n">
        <f aca="false">F137*I137*J137</f>
        <v>0</v>
      </c>
      <c r="M137" s="54" t="n">
        <f aca="false">H137*I137*J137</f>
        <v>0</v>
      </c>
      <c r="N137" s="54" t="n">
        <f aca="false">E137*I137*J137</f>
        <v>-0</v>
      </c>
      <c r="O137" s="53" t="n">
        <f aca="false">G137*J137</f>
        <v>1</v>
      </c>
      <c r="P137" s="53" t="n">
        <f aca="false">F137*J137</f>
        <v>0</v>
      </c>
    </row>
    <row r="138" customFormat="false" ht="15" hidden="false" customHeight="false" outlineLevel="0" collapsed="false">
      <c r="A138" s="53" t="s">
        <v>89</v>
      </c>
      <c r="B138" s="53" t="s">
        <v>118</v>
      </c>
      <c r="C138" s="53" t="s">
        <v>166</v>
      </c>
      <c r="D138" s="53" t="s">
        <v>50</v>
      </c>
      <c r="E138" s="54" t="n">
        <v>0</v>
      </c>
      <c r="F138" s="53" t="n">
        <v>0</v>
      </c>
      <c r="G138" s="53" t="n">
        <v>3</v>
      </c>
      <c r="H138" s="54" t="n">
        <v>558.51</v>
      </c>
      <c r="I138" s="53" t="n">
        <f aca="false">IF(B138&gt;=Settings!$B$13,1,0)</f>
        <v>0</v>
      </c>
      <c r="J138" s="53" t="n">
        <v>1</v>
      </c>
      <c r="K138" s="53" t="n">
        <f aca="false">G138*I138*J138</f>
        <v>0</v>
      </c>
      <c r="L138" s="53" t="n">
        <f aca="false">F138*I138*J138</f>
        <v>0</v>
      </c>
      <c r="M138" s="54" t="n">
        <f aca="false">H138*I138*J138</f>
        <v>0</v>
      </c>
      <c r="N138" s="54" t="n">
        <f aca="false">E138*I138*J138</f>
        <v>-0</v>
      </c>
      <c r="O138" s="53" t="n">
        <f aca="false">G138*J138</f>
        <v>3</v>
      </c>
      <c r="P138" s="53" t="n">
        <f aca="false">F138*J138</f>
        <v>0</v>
      </c>
    </row>
    <row r="139" customFormat="false" ht="15" hidden="false" customHeight="false" outlineLevel="0" collapsed="false">
      <c r="A139" s="53" t="s">
        <v>93</v>
      </c>
      <c r="B139" s="53" t="s">
        <v>118</v>
      </c>
      <c r="C139" s="53" t="s">
        <v>357</v>
      </c>
      <c r="D139" s="53" t="s">
        <v>54</v>
      </c>
      <c r="E139" s="54" t="n">
        <v>84.95</v>
      </c>
      <c r="F139" s="53" t="n">
        <v>1</v>
      </c>
      <c r="G139" s="53" t="n">
        <v>29</v>
      </c>
      <c r="H139" s="54" t="n">
        <v>2588.95</v>
      </c>
      <c r="I139" s="53" t="n">
        <f aca="false">IF(B139&gt;=Settings!$B$13,1,0)</f>
        <v>0</v>
      </c>
      <c r="J139" s="53" t="n">
        <v>1</v>
      </c>
      <c r="K139" s="53" t="n">
        <f aca="false">G139*I139*J139</f>
        <v>0</v>
      </c>
      <c r="L139" s="53" t="n">
        <f aca="false">F139*I139*J139</f>
        <v>0</v>
      </c>
      <c r="M139" s="54" t="n">
        <f aca="false">H139*I139*J139</f>
        <v>0</v>
      </c>
      <c r="N139" s="54" t="n">
        <f aca="false">E139*I139*J139</f>
        <v>0</v>
      </c>
      <c r="O139" s="53" t="n">
        <f aca="false">G139*J139</f>
        <v>29</v>
      </c>
      <c r="P139" s="53" t="n">
        <f aca="false">F139*J139</f>
        <v>1</v>
      </c>
    </row>
    <row r="140" customFormat="false" ht="15" hidden="false" customHeight="false" outlineLevel="0" collapsed="false">
      <c r="A140" s="53" t="s">
        <v>97</v>
      </c>
      <c r="B140" s="53" t="s">
        <v>118</v>
      </c>
      <c r="C140" s="53" t="s">
        <v>352</v>
      </c>
      <c r="D140" s="53" t="s">
        <v>46</v>
      </c>
      <c r="E140" s="54" t="n">
        <v>84.95</v>
      </c>
      <c r="F140" s="53" t="n">
        <v>1</v>
      </c>
      <c r="G140" s="53" t="n">
        <v>3</v>
      </c>
      <c r="H140" s="54" t="n">
        <v>254.85</v>
      </c>
      <c r="I140" s="53" t="n">
        <f aca="false">IF(B140&gt;=Settings!$B$13,1,0)</f>
        <v>0</v>
      </c>
      <c r="J140" s="53" t="n">
        <v>1</v>
      </c>
      <c r="K140" s="53" t="n">
        <f aca="false">G140*I140*J140</f>
        <v>0</v>
      </c>
      <c r="L140" s="53" t="n">
        <f aca="false">F140*I140*J140</f>
        <v>0</v>
      </c>
      <c r="M140" s="54" t="n">
        <f aca="false">H140*I140*J140</f>
        <v>0</v>
      </c>
      <c r="N140" s="54" t="n">
        <f aca="false">E140*I140*J140</f>
        <v>0</v>
      </c>
      <c r="O140" s="53" t="n">
        <f aca="false">G140*J140</f>
        <v>3</v>
      </c>
      <c r="P140" s="53" t="n">
        <f aca="false">F140*J140</f>
        <v>1</v>
      </c>
    </row>
    <row r="141" customFormat="false" ht="15" hidden="false" customHeight="false" outlineLevel="0" collapsed="false">
      <c r="A141" s="53" t="s">
        <v>93</v>
      </c>
      <c r="B141" s="53" t="s">
        <v>118</v>
      </c>
      <c r="C141" s="53" t="s">
        <v>145</v>
      </c>
      <c r="D141" s="53" t="s">
        <v>62</v>
      </c>
      <c r="E141" s="54" t="n">
        <v>0</v>
      </c>
      <c r="F141" s="53" t="n">
        <v>0</v>
      </c>
      <c r="G141" s="53" t="n">
        <v>1</v>
      </c>
      <c r="H141" s="54" t="n">
        <v>149.95</v>
      </c>
      <c r="I141" s="53" t="n">
        <f aca="false">IF(B141&gt;=Settings!$B$13,1,0)</f>
        <v>0</v>
      </c>
      <c r="J141" s="53" t="n">
        <v>1</v>
      </c>
      <c r="K141" s="53" t="n">
        <f aca="false">G141*I141*J141</f>
        <v>0</v>
      </c>
      <c r="L141" s="53" t="n">
        <f aca="false">F141*I141*J141</f>
        <v>0</v>
      </c>
      <c r="M141" s="54" t="n">
        <f aca="false">H141*I141*J141</f>
        <v>0</v>
      </c>
      <c r="N141" s="54" t="n">
        <f aca="false">E141*I141*J141</f>
        <v>-0</v>
      </c>
      <c r="O141" s="53" t="n">
        <f aca="false">G141*J141</f>
        <v>1</v>
      </c>
      <c r="P141" s="53" t="n">
        <f aca="false">F141*J141</f>
        <v>0</v>
      </c>
    </row>
    <row r="142" customFormat="false" ht="15" hidden="false" customHeight="false" outlineLevel="0" collapsed="false">
      <c r="A142" s="53" t="s">
        <v>97</v>
      </c>
      <c r="B142" s="53" t="s">
        <v>118</v>
      </c>
      <c r="C142" s="53" t="s">
        <v>359</v>
      </c>
      <c r="D142" s="53" t="s">
        <v>66</v>
      </c>
      <c r="E142" s="54" t="n">
        <v>109.95</v>
      </c>
      <c r="F142" s="53" t="n">
        <v>1</v>
      </c>
      <c r="G142" s="53" t="n">
        <v>1</v>
      </c>
      <c r="H142" s="54" t="n">
        <v>109.95</v>
      </c>
      <c r="I142" s="53" t="n">
        <f aca="false">IF(B142&gt;=Settings!$B$13,1,0)</f>
        <v>0</v>
      </c>
      <c r="J142" s="53" t="n">
        <v>1</v>
      </c>
      <c r="K142" s="53" t="n">
        <f aca="false">G142*I142*J142</f>
        <v>0</v>
      </c>
      <c r="L142" s="53" t="n">
        <f aca="false">F142*I142*J142</f>
        <v>0</v>
      </c>
      <c r="M142" s="54" t="n">
        <f aca="false">H142*I142*J142</f>
        <v>0</v>
      </c>
      <c r="N142" s="54" t="n">
        <f aca="false">E142*I142*J142</f>
        <v>0</v>
      </c>
      <c r="O142" s="53" t="n">
        <f aca="false">G142*J142</f>
        <v>1</v>
      </c>
      <c r="P142" s="53" t="n">
        <f aca="false">F142*J142</f>
        <v>1</v>
      </c>
    </row>
    <row r="143" customFormat="false" ht="15" hidden="false" customHeight="false" outlineLevel="0" collapsed="false">
      <c r="A143" s="53" t="s">
        <v>93</v>
      </c>
      <c r="B143" s="53" t="s">
        <v>118</v>
      </c>
      <c r="C143" s="53" t="s">
        <v>322</v>
      </c>
      <c r="D143" s="53" t="s">
        <v>54</v>
      </c>
      <c r="E143" s="54" t="n">
        <v>0</v>
      </c>
      <c r="F143" s="53" t="n">
        <v>0</v>
      </c>
      <c r="G143" s="53" t="n">
        <v>32</v>
      </c>
      <c r="H143" s="54" t="n">
        <v>1918.4</v>
      </c>
      <c r="I143" s="53" t="n">
        <f aca="false">IF(B143&gt;=Settings!$B$13,1,0)</f>
        <v>0</v>
      </c>
      <c r="J143" s="53" t="n">
        <v>1</v>
      </c>
      <c r="K143" s="53" t="n">
        <f aca="false">G143*I143*J143</f>
        <v>0</v>
      </c>
      <c r="L143" s="53" t="n">
        <f aca="false">F143*I143*J143</f>
        <v>0</v>
      </c>
      <c r="M143" s="54" t="n">
        <f aca="false">H143*I143*J143</f>
        <v>0</v>
      </c>
      <c r="N143" s="54" t="n">
        <f aca="false">E143*I143*J143</f>
        <v>-0</v>
      </c>
      <c r="O143" s="53" t="n">
        <f aca="false">G143*J143</f>
        <v>32</v>
      </c>
      <c r="P143" s="53" t="n">
        <f aca="false">F143*J143</f>
        <v>0</v>
      </c>
    </row>
    <row r="144" customFormat="false" ht="15" hidden="false" customHeight="false" outlineLevel="0" collapsed="false">
      <c r="A144" s="53" t="s">
        <v>89</v>
      </c>
      <c r="B144" s="53" t="s">
        <v>118</v>
      </c>
      <c r="C144" s="53" t="s">
        <v>371</v>
      </c>
      <c r="D144" s="53" t="s">
        <v>58</v>
      </c>
      <c r="E144" s="54" t="n">
        <v>0</v>
      </c>
      <c r="F144" s="53" t="n">
        <v>0</v>
      </c>
      <c r="G144" s="53" t="n">
        <v>1</v>
      </c>
      <c r="H144" s="54" t="n">
        <v>136.31</v>
      </c>
      <c r="I144" s="53" t="n">
        <f aca="false">IF(B144&gt;=Settings!$B$13,1,0)</f>
        <v>0</v>
      </c>
      <c r="J144" s="53" t="n">
        <v>1</v>
      </c>
      <c r="K144" s="53" t="n">
        <f aca="false">G144*I144*J144</f>
        <v>0</v>
      </c>
      <c r="L144" s="53" t="n">
        <f aca="false">F144*I144*J144</f>
        <v>0</v>
      </c>
      <c r="M144" s="54" t="n">
        <f aca="false">H144*I144*J144</f>
        <v>0</v>
      </c>
      <c r="N144" s="54" t="n">
        <f aca="false">E144*I144*J144</f>
        <v>-0</v>
      </c>
      <c r="O144" s="53" t="n">
        <f aca="false">G144*J144</f>
        <v>1</v>
      </c>
      <c r="P144" s="53" t="n">
        <f aca="false">F144*J144</f>
        <v>0</v>
      </c>
    </row>
    <row r="145" customFormat="false" ht="15" hidden="false" customHeight="false" outlineLevel="0" collapsed="false">
      <c r="A145" s="53" t="s">
        <v>93</v>
      </c>
      <c r="B145" s="53" t="s">
        <v>118</v>
      </c>
      <c r="C145" s="53" t="s">
        <v>330</v>
      </c>
      <c r="D145" s="53" t="s">
        <v>46</v>
      </c>
      <c r="E145" s="54" t="n">
        <v>0</v>
      </c>
      <c r="F145" s="53" t="n">
        <v>0</v>
      </c>
      <c r="G145" s="53" t="n">
        <v>34</v>
      </c>
      <c r="H145" s="54" t="n">
        <v>4811</v>
      </c>
      <c r="I145" s="53" t="n">
        <f aca="false">IF(B145&gt;=Settings!$B$13,1,0)</f>
        <v>0</v>
      </c>
      <c r="J145" s="53" t="n">
        <v>1</v>
      </c>
      <c r="K145" s="53" t="n">
        <f aca="false">G145*I145*J145</f>
        <v>0</v>
      </c>
      <c r="L145" s="53" t="n">
        <f aca="false">F145*I145*J145</f>
        <v>0</v>
      </c>
      <c r="M145" s="54" t="n">
        <f aca="false">H145*I145*J145</f>
        <v>0</v>
      </c>
      <c r="N145" s="54" t="n">
        <f aca="false">E145*I145*J145</f>
        <v>-0</v>
      </c>
      <c r="O145" s="53" t="n">
        <f aca="false">G145*J145</f>
        <v>34</v>
      </c>
      <c r="P145" s="53" t="n">
        <f aca="false">F145*J145</f>
        <v>0</v>
      </c>
    </row>
    <row r="146" customFormat="false" ht="15" hidden="false" customHeight="false" outlineLevel="0" collapsed="false">
      <c r="A146" s="53" t="s">
        <v>93</v>
      </c>
      <c r="B146" s="53" t="s">
        <v>118</v>
      </c>
      <c r="C146" s="53" t="s">
        <v>160</v>
      </c>
      <c r="D146" s="53" t="s">
        <v>58</v>
      </c>
      <c r="E146" s="54" t="n">
        <v>0</v>
      </c>
      <c r="F146" s="53" t="n">
        <v>0</v>
      </c>
      <c r="G146" s="53" t="n">
        <v>5</v>
      </c>
      <c r="H146" s="54" t="n">
        <v>634.75</v>
      </c>
      <c r="I146" s="53" t="n">
        <f aca="false">IF(B146&gt;=Settings!$B$13,1,0)</f>
        <v>0</v>
      </c>
      <c r="J146" s="53" t="n">
        <v>1</v>
      </c>
      <c r="K146" s="53" t="n">
        <f aca="false">G146*I146*J146</f>
        <v>0</v>
      </c>
      <c r="L146" s="53" t="n">
        <f aca="false">F146*I146*J146</f>
        <v>0</v>
      </c>
      <c r="M146" s="54" t="n">
        <f aca="false">H146*I146*J146</f>
        <v>0</v>
      </c>
      <c r="N146" s="54" t="n">
        <f aca="false">E146*I146*J146</f>
        <v>-0</v>
      </c>
      <c r="O146" s="53" t="n">
        <f aca="false">G146*J146</f>
        <v>5</v>
      </c>
      <c r="P146" s="53" t="n">
        <f aca="false">F146*J146</f>
        <v>0</v>
      </c>
    </row>
    <row r="147" customFormat="false" ht="15" hidden="false" customHeight="false" outlineLevel="0" collapsed="false">
      <c r="A147" s="53" t="s">
        <v>89</v>
      </c>
      <c r="B147" s="53" t="s">
        <v>118</v>
      </c>
      <c r="C147" s="53" t="s">
        <v>347</v>
      </c>
      <c r="D147" s="53" t="s">
        <v>62</v>
      </c>
      <c r="E147" s="54" t="n">
        <v>0</v>
      </c>
      <c r="F147" s="53" t="n">
        <v>0</v>
      </c>
      <c r="G147" s="53" t="n">
        <v>50</v>
      </c>
      <c r="H147" s="54" t="n">
        <v>4571.327</v>
      </c>
      <c r="I147" s="53" t="n">
        <f aca="false">IF(B147&gt;=Settings!$B$13,1,0)</f>
        <v>0</v>
      </c>
      <c r="J147" s="53" t="n">
        <v>1</v>
      </c>
      <c r="K147" s="53" t="n">
        <f aca="false">G147*I147*J147</f>
        <v>0</v>
      </c>
      <c r="L147" s="53" t="n">
        <f aca="false">F147*I147*J147</f>
        <v>0</v>
      </c>
      <c r="M147" s="54" t="n">
        <f aca="false">H147*I147*J147</f>
        <v>0</v>
      </c>
      <c r="N147" s="54" t="n">
        <f aca="false">E147*I147*J147</f>
        <v>-0</v>
      </c>
      <c r="O147" s="53" t="n">
        <f aca="false">G147*J147</f>
        <v>50</v>
      </c>
      <c r="P147" s="53" t="n">
        <f aca="false">F147*J147</f>
        <v>0</v>
      </c>
    </row>
    <row r="148" customFormat="false" ht="15" hidden="false" customHeight="false" outlineLevel="0" collapsed="false">
      <c r="A148" s="53" t="s">
        <v>89</v>
      </c>
      <c r="B148" s="53" t="s">
        <v>118</v>
      </c>
      <c r="C148" s="53" t="s">
        <v>158</v>
      </c>
      <c r="D148" s="53" t="s">
        <v>42</v>
      </c>
      <c r="E148" s="54" t="n">
        <v>0</v>
      </c>
      <c r="F148" s="53" t="n">
        <v>0</v>
      </c>
      <c r="G148" s="53" t="n">
        <v>52</v>
      </c>
      <c r="H148" s="54" t="n">
        <v>6446.789</v>
      </c>
      <c r="I148" s="53" t="n">
        <f aca="false">IF(B148&gt;=Settings!$B$13,1,0)</f>
        <v>0</v>
      </c>
      <c r="J148" s="53" t="n">
        <v>1</v>
      </c>
      <c r="K148" s="53" t="n">
        <f aca="false">G148*I148*J148</f>
        <v>0</v>
      </c>
      <c r="L148" s="53" t="n">
        <f aca="false">F148*I148*J148</f>
        <v>0</v>
      </c>
      <c r="M148" s="54" t="n">
        <f aca="false">H148*I148*J148</f>
        <v>0</v>
      </c>
      <c r="N148" s="54" t="n">
        <f aca="false">E148*I148*J148</f>
        <v>-0</v>
      </c>
      <c r="O148" s="53" t="n">
        <f aca="false">G148*J148</f>
        <v>52</v>
      </c>
      <c r="P148" s="53" t="n">
        <f aca="false">F148*J148</f>
        <v>0</v>
      </c>
    </row>
    <row r="149" customFormat="false" ht="15" hidden="false" customHeight="false" outlineLevel="0" collapsed="false">
      <c r="A149" s="53" t="s">
        <v>89</v>
      </c>
      <c r="B149" s="53" t="s">
        <v>118</v>
      </c>
      <c r="C149" s="53" t="s">
        <v>155</v>
      </c>
      <c r="D149" s="53" t="s">
        <v>50</v>
      </c>
      <c r="E149" s="54" t="n">
        <v>0</v>
      </c>
      <c r="F149" s="53" t="n">
        <v>0</v>
      </c>
      <c r="G149" s="53" t="n">
        <v>27</v>
      </c>
      <c r="H149" s="54" t="n">
        <v>2531.728</v>
      </c>
      <c r="I149" s="53" t="n">
        <f aca="false">IF(B149&gt;=Settings!$B$13,1,0)</f>
        <v>0</v>
      </c>
      <c r="J149" s="53" t="n">
        <v>1</v>
      </c>
      <c r="K149" s="53" t="n">
        <f aca="false">G149*I149*J149</f>
        <v>0</v>
      </c>
      <c r="L149" s="53" t="n">
        <f aca="false">F149*I149*J149</f>
        <v>0</v>
      </c>
      <c r="M149" s="54" t="n">
        <f aca="false">H149*I149*J149</f>
        <v>0</v>
      </c>
      <c r="N149" s="54" t="n">
        <f aca="false">E149*I149*J149</f>
        <v>-0</v>
      </c>
      <c r="O149" s="53" t="n">
        <f aca="false">G149*J149</f>
        <v>27</v>
      </c>
      <c r="P149" s="53" t="n">
        <f aca="false">F149*J149</f>
        <v>0</v>
      </c>
    </row>
    <row r="150" customFormat="false" ht="15" hidden="false" customHeight="false" outlineLevel="0" collapsed="false">
      <c r="A150" s="53" t="s">
        <v>89</v>
      </c>
      <c r="B150" s="53" t="s">
        <v>118</v>
      </c>
      <c r="C150" s="53" t="s">
        <v>330</v>
      </c>
      <c r="D150" s="53" t="s">
        <v>46</v>
      </c>
      <c r="E150" s="54" t="n">
        <v>0</v>
      </c>
      <c r="F150" s="53" t="n">
        <v>0</v>
      </c>
      <c r="G150" s="53" t="n">
        <v>31</v>
      </c>
      <c r="H150" s="54" t="n">
        <v>4383.75</v>
      </c>
      <c r="I150" s="53" t="n">
        <f aca="false">IF(B150&gt;=Settings!$B$13,1,0)</f>
        <v>0</v>
      </c>
      <c r="J150" s="53" t="n">
        <v>1</v>
      </c>
      <c r="K150" s="53" t="n">
        <f aca="false">G150*I150*J150</f>
        <v>0</v>
      </c>
      <c r="L150" s="53" t="n">
        <f aca="false">F150*I150*J150</f>
        <v>0</v>
      </c>
      <c r="M150" s="54" t="n">
        <f aca="false">H150*I150*J150</f>
        <v>0</v>
      </c>
      <c r="N150" s="54" t="n">
        <f aca="false">E150*I150*J150</f>
        <v>-0</v>
      </c>
      <c r="O150" s="53" t="n">
        <f aca="false">G150*J150</f>
        <v>31</v>
      </c>
      <c r="P150" s="53" t="n">
        <f aca="false">F150*J150</f>
        <v>0</v>
      </c>
    </row>
    <row r="151" customFormat="false" ht="15" hidden="false" customHeight="false" outlineLevel="0" collapsed="false">
      <c r="A151" s="53" t="s">
        <v>93</v>
      </c>
      <c r="B151" s="53" t="s">
        <v>119</v>
      </c>
      <c r="C151" s="53" t="s">
        <v>357</v>
      </c>
      <c r="D151" s="53" t="s">
        <v>54</v>
      </c>
      <c r="E151" s="54" t="n">
        <v>0</v>
      </c>
      <c r="F151" s="53" t="n">
        <v>0</v>
      </c>
      <c r="G151" s="53" t="n">
        <v>12</v>
      </c>
      <c r="H151" s="54" t="n">
        <v>1064.4</v>
      </c>
      <c r="I151" s="53" t="n">
        <f aca="false">IF(B151&gt;=Settings!$B$13,1,0)</f>
        <v>0</v>
      </c>
      <c r="J151" s="53" t="n">
        <v>1</v>
      </c>
      <c r="K151" s="53" t="n">
        <f aca="false">G151*I151*J151</f>
        <v>0</v>
      </c>
      <c r="L151" s="53" t="n">
        <f aca="false">F151*I151*J151</f>
        <v>0</v>
      </c>
      <c r="M151" s="54" t="n">
        <f aca="false">H151*I151*J151</f>
        <v>0</v>
      </c>
      <c r="N151" s="54" t="n">
        <f aca="false">E151*I151*J151</f>
        <v>-0</v>
      </c>
      <c r="O151" s="53" t="n">
        <f aca="false">G151*J151</f>
        <v>12</v>
      </c>
      <c r="P151" s="53" t="n">
        <f aca="false">F151*J151</f>
        <v>0</v>
      </c>
    </row>
    <row r="152" customFormat="false" ht="15" hidden="false" customHeight="false" outlineLevel="0" collapsed="false">
      <c r="A152" s="53" t="s">
        <v>89</v>
      </c>
      <c r="B152" s="53" t="s">
        <v>119</v>
      </c>
      <c r="C152" s="53" t="s">
        <v>360</v>
      </c>
      <c r="D152" s="53" t="s">
        <v>54</v>
      </c>
      <c r="E152" s="54" t="n">
        <v>0</v>
      </c>
      <c r="F152" s="53" t="n">
        <v>0</v>
      </c>
      <c r="G152" s="53" t="n">
        <v>8</v>
      </c>
      <c r="H152" s="54" t="n">
        <v>827.06</v>
      </c>
      <c r="I152" s="53" t="n">
        <f aca="false">IF(B152&gt;=Settings!$B$13,1,0)</f>
        <v>0</v>
      </c>
      <c r="J152" s="53" t="n">
        <v>1</v>
      </c>
      <c r="K152" s="53" t="n">
        <f aca="false">G152*I152*J152</f>
        <v>0</v>
      </c>
      <c r="L152" s="53" t="n">
        <f aca="false">F152*I152*J152</f>
        <v>0</v>
      </c>
      <c r="M152" s="54" t="n">
        <f aca="false">H152*I152*J152</f>
        <v>0</v>
      </c>
      <c r="N152" s="54" t="n">
        <f aca="false">E152*I152*J152</f>
        <v>-0</v>
      </c>
      <c r="O152" s="53" t="n">
        <f aca="false">G152*J152</f>
        <v>8</v>
      </c>
      <c r="P152" s="53" t="n">
        <f aca="false">F152*J152</f>
        <v>0</v>
      </c>
    </row>
    <row r="153" customFormat="false" ht="15" hidden="false" customHeight="false" outlineLevel="0" collapsed="false">
      <c r="A153" s="53" t="s">
        <v>89</v>
      </c>
      <c r="B153" s="53" t="s">
        <v>119</v>
      </c>
      <c r="C153" s="53" t="s">
        <v>317</v>
      </c>
      <c r="D153" s="53" t="s">
        <v>46</v>
      </c>
      <c r="E153" s="54" t="n">
        <v>0</v>
      </c>
      <c r="F153" s="53" t="n">
        <v>0</v>
      </c>
      <c r="G153" s="53" t="n">
        <v>23</v>
      </c>
      <c r="H153" s="54" t="n">
        <v>2692.812</v>
      </c>
      <c r="I153" s="53" t="n">
        <f aca="false">IF(B153&gt;=Settings!$B$13,1,0)</f>
        <v>0</v>
      </c>
      <c r="J153" s="53" t="n">
        <v>1</v>
      </c>
      <c r="K153" s="53" t="n">
        <f aca="false">G153*I153*J153</f>
        <v>0</v>
      </c>
      <c r="L153" s="53" t="n">
        <f aca="false">F153*I153*J153</f>
        <v>0</v>
      </c>
      <c r="M153" s="54" t="n">
        <f aca="false">H153*I153*J153</f>
        <v>0</v>
      </c>
      <c r="N153" s="54" t="n">
        <f aca="false">E153*I153*J153</f>
        <v>-0</v>
      </c>
      <c r="O153" s="53" t="n">
        <f aca="false">G153*J153</f>
        <v>23</v>
      </c>
      <c r="P153" s="53" t="n">
        <f aca="false">F153*J153</f>
        <v>0</v>
      </c>
    </row>
    <row r="154" customFormat="false" ht="15" hidden="false" customHeight="false" outlineLevel="0" collapsed="false">
      <c r="A154" s="53" t="s">
        <v>89</v>
      </c>
      <c r="B154" s="53" t="s">
        <v>119</v>
      </c>
      <c r="C154" s="53" t="s">
        <v>154</v>
      </c>
      <c r="D154" s="53" t="s">
        <v>42</v>
      </c>
      <c r="E154" s="54" t="n">
        <v>0</v>
      </c>
      <c r="F154" s="53" t="n">
        <v>0</v>
      </c>
      <c r="G154" s="53" t="n">
        <v>96</v>
      </c>
      <c r="H154" s="54" t="n">
        <v>8934.079</v>
      </c>
      <c r="I154" s="53" t="n">
        <f aca="false">IF(B154&gt;=Settings!$B$13,1,0)</f>
        <v>0</v>
      </c>
      <c r="J154" s="53" t="n">
        <v>1</v>
      </c>
      <c r="K154" s="53" t="n">
        <f aca="false">G154*I154*J154</f>
        <v>0</v>
      </c>
      <c r="L154" s="53" t="n">
        <f aca="false">F154*I154*J154</f>
        <v>0</v>
      </c>
      <c r="M154" s="54" t="n">
        <f aca="false">H154*I154*J154</f>
        <v>0</v>
      </c>
      <c r="N154" s="54" t="n">
        <f aca="false">E154*I154*J154</f>
        <v>-0</v>
      </c>
      <c r="O154" s="53" t="n">
        <f aca="false">G154*J154</f>
        <v>96</v>
      </c>
      <c r="P154" s="53" t="n">
        <f aca="false">F154*J154</f>
        <v>0</v>
      </c>
    </row>
    <row r="155" customFormat="false" ht="15" hidden="false" customHeight="false" outlineLevel="0" collapsed="false">
      <c r="A155" s="53" t="s">
        <v>89</v>
      </c>
      <c r="B155" s="53" t="s">
        <v>119</v>
      </c>
      <c r="C155" s="53" t="s">
        <v>165</v>
      </c>
      <c r="D155" s="53" t="s">
        <v>42</v>
      </c>
      <c r="E155" s="54" t="n">
        <v>0</v>
      </c>
      <c r="F155" s="53" t="n">
        <v>0</v>
      </c>
      <c r="G155" s="53" t="n">
        <v>18</v>
      </c>
      <c r="H155" s="54" t="n">
        <v>3126.7</v>
      </c>
      <c r="I155" s="53" t="n">
        <f aca="false">IF(B155&gt;=Settings!$B$13,1,0)</f>
        <v>0</v>
      </c>
      <c r="J155" s="53" t="n">
        <v>1</v>
      </c>
      <c r="K155" s="53" t="n">
        <f aca="false">G155*I155*J155</f>
        <v>0</v>
      </c>
      <c r="L155" s="53" t="n">
        <f aca="false">F155*I155*J155</f>
        <v>0</v>
      </c>
      <c r="M155" s="54" t="n">
        <f aca="false">H155*I155*J155</f>
        <v>0</v>
      </c>
      <c r="N155" s="54" t="n">
        <f aca="false">E155*I155*J155</f>
        <v>-0</v>
      </c>
      <c r="O155" s="53" t="n">
        <f aca="false">G155*J155</f>
        <v>18</v>
      </c>
      <c r="P155" s="53" t="n">
        <f aca="false">F155*J155</f>
        <v>0</v>
      </c>
    </row>
    <row r="156" customFormat="false" ht="15" hidden="false" customHeight="false" outlineLevel="0" collapsed="false">
      <c r="A156" s="53" t="s">
        <v>89</v>
      </c>
      <c r="B156" s="53" t="s">
        <v>119</v>
      </c>
      <c r="C156" s="53" t="s">
        <v>156</v>
      </c>
      <c r="D156" s="53" t="s">
        <v>58</v>
      </c>
      <c r="E156" s="54" t="n">
        <v>0</v>
      </c>
      <c r="F156" s="53" t="n">
        <v>0</v>
      </c>
      <c r="G156" s="53" t="n">
        <v>110</v>
      </c>
      <c r="H156" s="54" t="n">
        <v>10083.499</v>
      </c>
      <c r="I156" s="53" t="n">
        <f aca="false">IF(B156&gt;=Settings!$B$13,1,0)</f>
        <v>0</v>
      </c>
      <c r="J156" s="53" t="n">
        <v>1</v>
      </c>
      <c r="K156" s="53" t="n">
        <f aca="false">G156*I156*J156</f>
        <v>0</v>
      </c>
      <c r="L156" s="53" t="n">
        <f aca="false">F156*I156*J156</f>
        <v>0</v>
      </c>
      <c r="M156" s="54" t="n">
        <f aca="false">H156*I156*J156</f>
        <v>0</v>
      </c>
      <c r="N156" s="54" t="n">
        <f aca="false">E156*I156*J156</f>
        <v>-0</v>
      </c>
      <c r="O156" s="53" t="n">
        <f aca="false">G156*J156</f>
        <v>110</v>
      </c>
      <c r="P156" s="53" t="n">
        <f aca="false">F156*J156</f>
        <v>0</v>
      </c>
    </row>
    <row r="157" customFormat="false" ht="15" hidden="false" customHeight="false" outlineLevel="0" collapsed="false">
      <c r="A157" s="53" t="s">
        <v>89</v>
      </c>
      <c r="B157" s="53" t="s">
        <v>119</v>
      </c>
      <c r="C157" s="53" t="s">
        <v>372</v>
      </c>
      <c r="D157" s="53" t="s">
        <v>42</v>
      </c>
      <c r="E157" s="54" t="n">
        <v>0</v>
      </c>
      <c r="F157" s="53" t="n">
        <v>0</v>
      </c>
      <c r="G157" s="53" t="n">
        <v>1</v>
      </c>
      <c r="H157" s="54" t="n">
        <v>136.77</v>
      </c>
      <c r="I157" s="53" t="n">
        <f aca="false">IF(B157&gt;=Settings!$B$13,1,0)</f>
        <v>0</v>
      </c>
      <c r="J157" s="53" t="n">
        <v>1</v>
      </c>
      <c r="K157" s="53" t="n">
        <f aca="false">G157*I157*J157</f>
        <v>0</v>
      </c>
      <c r="L157" s="53" t="n">
        <f aca="false">F157*I157*J157</f>
        <v>0</v>
      </c>
      <c r="M157" s="54" t="n">
        <f aca="false">H157*I157*J157</f>
        <v>0</v>
      </c>
      <c r="N157" s="54" t="n">
        <f aca="false">E157*I157*J157</f>
        <v>-0</v>
      </c>
      <c r="O157" s="53" t="n">
        <f aca="false">G157*J157</f>
        <v>1</v>
      </c>
      <c r="P157" s="53" t="n">
        <f aca="false">F157*J157</f>
        <v>0</v>
      </c>
    </row>
    <row r="158" customFormat="false" ht="15" hidden="false" customHeight="false" outlineLevel="0" collapsed="false">
      <c r="A158" s="53" t="s">
        <v>89</v>
      </c>
      <c r="B158" s="53" t="s">
        <v>119</v>
      </c>
      <c r="C158" s="53" t="s">
        <v>373</v>
      </c>
      <c r="D158" s="53" t="s">
        <v>42</v>
      </c>
      <c r="E158" s="54" t="n">
        <v>0</v>
      </c>
      <c r="F158" s="53" t="n">
        <v>0</v>
      </c>
      <c r="G158" s="53" t="n">
        <v>1</v>
      </c>
      <c r="H158" s="54" t="n">
        <v>169.8</v>
      </c>
      <c r="I158" s="53" t="n">
        <f aca="false">IF(B158&gt;=Settings!$B$13,1,0)</f>
        <v>0</v>
      </c>
      <c r="J158" s="53" t="n">
        <v>1</v>
      </c>
      <c r="K158" s="53" t="n">
        <f aca="false">G158*I158*J158</f>
        <v>0</v>
      </c>
      <c r="L158" s="53" t="n">
        <f aca="false">F158*I158*J158</f>
        <v>0</v>
      </c>
      <c r="M158" s="54" t="n">
        <f aca="false">H158*I158*J158</f>
        <v>0</v>
      </c>
      <c r="N158" s="54" t="n">
        <f aca="false">E158*I158*J158</f>
        <v>-0</v>
      </c>
      <c r="O158" s="53" t="n">
        <f aca="false">G158*J158</f>
        <v>1</v>
      </c>
      <c r="P158" s="53" t="n">
        <f aca="false">F158*J158</f>
        <v>0</v>
      </c>
    </row>
    <row r="159" customFormat="false" ht="15" hidden="false" customHeight="false" outlineLevel="0" collapsed="false">
      <c r="A159" s="53" t="s">
        <v>89</v>
      </c>
      <c r="B159" s="53" t="s">
        <v>119</v>
      </c>
      <c r="C159" s="53" t="s">
        <v>316</v>
      </c>
      <c r="D159" s="53" t="s">
        <v>62</v>
      </c>
      <c r="E159" s="54" t="n">
        <v>0</v>
      </c>
      <c r="F159" s="53" t="n">
        <v>0</v>
      </c>
      <c r="G159" s="53" t="n">
        <v>6</v>
      </c>
      <c r="H159" s="54" t="n">
        <v>681.6</v>
      </c>
      <c r="I159" s="53" t="n">
        <f aca="false">IF(B159&gt;=Settings!$B$13,1,0)</f>
        <v>0</v>
      </c>
      <c r="J159" s="53" t="n">
        <v>1</v>
      </c>
      <c r="K159" s="53" t="n">
        <f aca="false">G159*I159*J159</f>
        <v>0</v>
      </c>
      <c r="L159" s="53" t="n">
        <f aca="false">F159*I159*J159</f>
        <v>0</v>
      </c>
      <c r="M159" s="54" t="n">
        <f aca="false">H159*I159*J159</f>
        <v>0</v>
      </c>
      <c r="N159" s="54" t="n">
        <f aca="false">E159*I159*J159</f>
        <v>-0</v>
      </c>
      <c r="O159" s="53" t="n">
        <f aca="false">G159*J159</f>
        <v>6</v>
      </c>
      <c r="P159" s="53" t="n">
        <f aca="false">F159*J159</f>
        <v>0</v>
      </c>
    </row>
    <row r="160" customFormat="false" ht="15" hidden="false" customHeight="false" outlineLevel="0" collapsed="false">
      <c r="A160" s="53" t="s">
        <v>89</v>
      </c>
      <c r="B160" s="53" t="s">
        <v>119</v>
      </c>
      <c r="C160" s="53" t="s">
        <v>318</v>
      </c>
      <c r="D160" s="53" t="s">
        <v>58</v>
      </c>
      <c r="E160" s="54" t="n">
        <v>0</v>
      </c>
      <c r="F160" s="53" t="n">
        <v>0</v>
      </c>
      <c r="G160" s="53" t="n">
        <v>3</v>
      </c>
      <c r="H160" s="54" t="n">
        <v>578.64</v>
      </c>
      <c r="I160" s="53" t="n">
        <f aca="false">IF(B160&gt;=Settings!$B$13,1,0)</f>
        <v>0</v>
      </c>
      <c r="J160" s="53" t="n">
        <v>1</v>
      </c>
      <c r="K160" s="53" t="n">
        <f aca="false">G160*I160*J160</f>
        <v>0</v>
      </c>
      <c r="L160" s="53" t="n">
        <f aca="false">F160*I160*J160</f>
        <v>0</v>
      </c>
      <c r="M160" s="54" t="n">
        <f aca="false">H160*I160*J160</f>
        <v>0</v>
      </c>
      <c r="N160" s="54" t="n">
        <f aca="false">E160*I160*J160</f>
        <v>-0</v>
      </c>
      <c r="O160" s="53" t="n">
        <f aca="false">G160*J160</f>
        <v>3</v>
      </c>
      <c r="P160" s="53" t="n">
        <f aca="false">F160*J160</f>
        <v>0</v>
      </c>
    </row>
    <row r="161" customFormat="false" ht="15" hidden="false" customHeight="false" outlineLevel="0" collapsed="false">
      <c r="A161" s="53" t="s">
        <v>89</v>
      </c>
      <c r="B161" s="53" t="s">
        <v>119</v>
      </c>
      <c r="C161" s="53" t="s">
        <v>159</v>
      </c>
      <c r="D161" s="53" t="s">
        <v>50</v>
      </c>
      <c r="E161" s="54" t="n">
        <v>0</v>
      </c>
      <c r="F161" s="53" t="n">
        <v>0</v>
      </c>
      <c r="G161" s="53" t="n">
        <v>6</v>
      </c>
      <c r="H161" s="54" t="n">
        <v>703.27</v>
      </c>
      <c r="I161" s="53" t="n">
        <f aca="false">IF(B161&gt;=Settings!$B$13,1,0)</f>
        <v>0</v>
      </c>
      <c r="J161" s="53" t="n">
        <v>1</v>
      </c>
      <c r="K161" s="53" t="n">
        <f aca="false">G161*I161*J161</f>
        <v>0</v>
      </c>
      <c r="L161" s="53" t="n">
        <f aca="false">F161*I161*J161</f>
        <v>0</v>
      </c>
      <c r="M161" s="54" t="n">
        <f aca="false">H161*I161*J161</f>
        <v>0</v>
      </c>
      <c r="N161" s="54" t="n">
        <f aca="false">E161*I161*J161</f>
        <v>-0</v>
      </c>
      <c r="O161" s="53" t="n">
        <f aca="false">G161*J161</f>
        <v>6</v>
      </c>
      <c r="P161" s="53" t="n">
        <f aca="false">F161*J161</f>
        <v>0</v>
      </c>
    </row>
    <row r="162" customFormat="false" ht="15" hidden="false" customHeight="false" outlineLevel="0" collapsed="false">
      <c r="A162" s="53" t="s">
        <v>89</v>
      </c>
      <c r="B162" s="53" t="s">
        <v>119</v>
      </c>
      <c r="C162" s="53" t="s">
        <v>338</v>
      </c>
      <c r="D162" s="53" t="s">
        <v>50</v>
      </c>
      <c r="E162" s="54" t="n">
        <v>0</v>
      </c>
      <c r="F162" s="53" t="n">
        <v>0</v>
      </c>
      <c r="G162" s="53" t="n">
        <v>1</v>
      </c>
      <c r="H162" s="54" t="n">
        <v>79.95</v>
      </c>
      <c r="I162" s="53" t="n">
        <f aca="false">IF(B162&gt;=Settings!$B$13,1,0)</f>
        <v>0</v>
      </c>
      <c r="J162" s="53" t="n">
        <v>1</v>
      </c>
      <c r="K162" s="53" t="n">
        <f aca="false">G162*I162*J162</f>
        <v>0</v>
      </c>
      <c r="L162" s="53" t="n">
        <f aca="false">F162*I162*J162</f>
        <v>0</v>
      </c>
      <c r="M162" s="54" t="n">
        <f aca="false">H162*I162*J162</f>
        <v>0</v>
      </c>
      <c r="N162" s="54" t="n">
        <f aca="false">E162*I162*J162</f>
        <v>-0</v>
      </c>
      <c r="O162" s="53" t="n">
        <f aca="false">G162*J162</f>
        <v>1</v>
      </c>
      <c r="P162" s="53" t="n">
        <f aca="false">F162*J162</f>
        <v>0</v>
      </c>
    </row>
    <row r="163" customFormat="false" ht="15" hidden="false" customHeight="false" outlineLevel="0" collapsed="false">
      <c r="A163" s="53" t="s">
        <v>89</v>
      </c>
      <c r="B163" s="53" t="s">
        <v>119</v>
      </c>
      <c r="C163" s="53" t="s">
        <v>322</v>
      </c>
      <c r="D163" s="53" t="s">
        <v>54</v>
      </c>
      <c r="E163" s="54" t="n">
        <v>0</v>
      </c>
      <c r="F163" s="53" t="n">
        <v>0</v>
      </c>
      <c r="G163" s="53" t="n">
        <v>116</v>
      </c>
      <c r="H163" s="54" t="n">
        <v>6943.378</v>
      </c>
      <c r="I163" s="53" t="n">
        <f aca="false">IF(B163&gt;=Settings!$B$13,1,0)</f>
        <v>0</v>
      </c>
      <c r="J163" s="53" t="n">
        <v>1</v>
      </c>
      <c r="K163" s="53" t="n">
        <f aca="false">G163*I163*J163</f>
        <v>0</v>
      </c>
      <c r="L163" s="53" t="n">
        <f aca="false">F163*I163*J163</f>
        <v>0</v>
      </c>
      <c r="M163" s="54" t="n">
        <f aca="false">H163*I163*J163</f>
        <v>0</v>
      </c>
      <c r="N163" s="54" t="n">
        <f aca="false">E163*I163*J163</f>
        <v>-0</v>
      </c>
      <c r="O163" s="53" t="n">
        <f aca="false">G163*J163</f>
        <v>116</v>
      </c>
      <c r="P163" s="53" t="n">
        <f aca="false">F163*J163</f>
        <v>0</v>
      </c>
    </row>
    <row r="164" customFormat="false" ht="15" hidden="false" customHeight="false" outlineLevel="0" collapsed="false">
      <c r="A164" s="53" t="s">
        <v>89</v>
      </c>
      <c r="B164" s="53" t="s">
        <v>119</v>
      </c>
      <c r="C164" s="53" t="s">
        <v>332</v>
      </c>
      <c r="D164" s="53" t="s">
        <v>46</v>
      </c>
      <c r="E164" s="54" t="n">
        <v>0</v>
      </c>
      <c r="F164" s="53" t="n">
        <v>0</v>
      </c>
      <c r="G164" s="53" t="n">
        <v>47</v>
      </c>
      <c r="H164" s="54" t="n">
        <v>4071.586</v>
      </c>
      <c r="I164" s="53" t="n">
        <f aca="false">IF(B164&gt;=Settings!$B$13,1,0)</f>
        <v>0</v>
      </c>
      <c r="J164" s="53" t="n">
        <v>1</v>
      </c>
      <c r="K164" s="53" t="n">
        <f aca="false">G164*I164*J164</f>
        <v>0</v>
      </c>
      <c r="L164" s="53" t="n">
        <f aca="false">F164*I164*J164</f>
        <v>0</v>
      </c>
      <c r="M164" s="54" t="n">
        <f aca="false">H164*I164*J164</f>
        <v>0</v>
      </c>
      <c r="N164" s="54" t="n">
        <f aca="false">E164*I164*J164</f>
        <v>-0</v>
      </c>
      <c r="O164" s="53" t="n">
        <f aca="false">G164*J164</f>
        <v>47</v>
      </c>
      <c r="P164" s="53" t="n">
        <f aca="false">F164*J164</f>
        <v>0</v>
      </c>
    </row>
    <row r="165" customFormat="false" ht="15" hidden="false" customHeight="false" outlineLevel="0" collapsed="false">
      <c r="A165" s="53" t="s">
        <v>89</v>
      </c>
      <c r="B165" s="53" t="s">
        <v>119</v>
      </c>
      <c r="C165" s="53" t="s">
        <v>330</v>
      </c>
      <c r="D165" s="53" t="s">
        <v>46</v>
      </c>
      <c r="E165" s="54" t="n">
        <v>0</v>
      </c>
      <c r="F165" s="53" t="n">
        <v>0</v>
      </c>
      <c r="G165" s="53" t="n">
        <v>20</v>
      </c>
      <c r="H165" s="54" t="n">
        <v>3044.28</v>
      </c>
      <c r="I165" s="53" t="n">
        <f aca="false">IF(B165&gt;=Settings!$B$13,1,0)</f>
        <v>0</v>
      </c>
      <c r="J165" s="53" t="n">
        <v>1</v>
      </c>
      <c r="K165" s="53" t="n">
        <f aca="false">G165*I165*J165</f>
        <v>0</v>
      </c>
      <c r="L165" s="53" t="n">
        <f aca="false">F165*I165*J165</f>
        <v>0</v>
      </c>
      <c r="M165" s="54" t="n">
        <f aca="false">H165*I165*J165</f>
        <v>0</v>
      </c>
      <c r="N165" s="54" t="n">
        <f aca="false">E165*I165*J165</f>
        <v>-0</v>
      </c>
      <c r="O165" s="53" t="n">
        <f aca="false">G165*J165</f>
        <v>20</v>
      </c>
      <c r="P165" s="53" t="n">
        <f aca="false">F165*J165</f>
        <v>0</v>
      </c>
    </row>
    <row r="166" customFormat="false" ht="15" hidden="false" customHeight="false" outlineLevel="0" collapsed="false">
      <c r="A166" s="53" t="s">
        <v>93</v>
      </c>
      <c r="B166" s="53" t="s">
        <v>119</v>
      </c>
      <c r="C166" s="53" t="s">
        <v>156</v>
      </c>
      <c r="D166" s="53" t="s">
        <v>58</v>
      </c>
      <c r="E166" s="54" t="n">
        <v>0</v>
      </c>
      <c r="F166" s="53" t="n">
        <v>0</v>
      </c>
      <c r="G166" s="53" t="n">
        <v>3</v>
      </c>
      <c r="H166" s="54" t="n">
        <v>239.85</v>
      </c>
      <c r="I166" s="53" t="n">
        <f aca="false">IF(B166&gt;=Settings!$B$13,1,0)</f>
        <v>0</v>
      </c>
      <c r="J166" s="53" t="n">
        <v>1</v>
      </c>
      <c r="K166" s="53" t="n">
        <f aca="false">G166*I166*J166</f>
        <v>0</v>
      </c>
      <c r="L166" s="53" t="n">
        <f aca="false">F166*I166*J166</f>
        <v>0</v>
      </c>
      <c r="M166" s="54" t="n">
        <f aca="false">H166*I166*J166</f>
        <v>0</v>
      </c>
      <c r="N166" s="54" t="n">
        <f aca="false">E166*I166*J166</f>
        <v>-0</v>
      </c>
      <c r="O166" s="53" t="n">
        <f aca="false">G166*J166</f>
        <v>3</v>
      </c>
      <c r="P166" s="53" t="n">
        <f aca="false">F166*J166</f>
        <v>0</v>
      </c>
    </row>
    <row r="167" customFormat="false" ht="15" hidden="false" customHeight="false" outlineLevel="0" collapsed="false">
      <c r="A167" s="53" t="s">
        <v>97</v>
      </c>
      <c r="B167" s="53" t="s">
        <v>119</v>
      </c>
      <c r="C167" s="53" t="s">
        <v>344</v>
      </c>
      <c r="D167" s="53" t="s">
        <v>50</v>
      </c>
      <c r="E167" s="54" t="n">
        <v>0</v>
      </c>
      <c r="F167" s="53" t="n">
        <v>0</v>
      </c>
      <c r="G167" s="53" t="n">
        <v>12</v>
      </c>
      <c r="H167" s="54" t="n">
        <v>1589.4</v>
      </c>
      <c r="I167" s="53" t="n">
        <f aca="false">IF(B167&gt;=Settings!$B$13,1,0)</f>
        <v>0</v>
      </c>
      <c r="J167" s="53" t="n">
        <v>1</v>
      </c>
      <c r="K167" s="53" t="n">
        <f aca="false">G167*I167*J167</f>
        <v>0</v>
      </c>
      <c r="L167" s="53" t="n">
        <f aca="false">F167*I167*J167</f>
        <v>0</v>
      </c>
      <c r="M167" s="54" t="n">
        <f aca="false">H167*I167*J167</f>
        <v>0</v>
      </c>
      <c r="N167" s="54" t="n">
        <f aca="false">E167*I167*J167</f>
        <v>-0</v>
      </c>
      <c r="O167" s="53" t="n">
        <f aca="false">G167*J167</f>
        <v>12</v>
      </c>
      <c r="P167" s="53" t="n">
        <f aca="false">F167*J167</f>
        <v>0</v>
      </c>
    </row>
    <row r="168" customFormat="false" ht="15" hidden="false" customHeight="false" outlineLevel="0" collapsed="false">
      <c r="A168" s="53" t="s">
        <v>89</v>
      </c>
      <c r="B168" s="53" t="s">
        <v>119</v>
      </c>
      <c r="C168" s="53" t="s">
        <v>328</v>
      </c>
      <c r="D168" s="53" t="s">
        <v>50</v>
      </c>
      <c r="E168" s="54" t="n">
        <v>0</v>
      </c>
      <c r="F168" s="53" t="n">
        <v>0</v>
      </c>
      <c r="G168" s="53" t="n">
        <v>18</v>
      </c>
      <c r="H168" s="54" t="n">
        <v>1912.229</v>
      </c>
      <c r="I168" s="53" t="n">
        <f aca="false">IF(B168&gt;=Settings!$B$13,1,0)</f>
        <v>0</v>
      </c>
      <c r="J168" s="53" t="n">
        <v>1</v>
      </c>
      <c r="K168" s="53" t="n">
        <f aca="false">G168*I168*J168</f>
        <v>0</v>
      </c>
      <c r="L168" s="53" t="n">
        <f aca="false">F168*I168*J168</f>
        <v>0</v>
      </c>
      <c r="M168" s="54" t="n">
        <f aca="false">H168*I168*J168</f>
        <v>0</v>
      </c>
      <c r="N168" s="54" t="n">
        <f aca="false">E168*I168*J168</f>
        <v>-0</v>
      </c>
      <c r="O168" s="53" t="n">
        <f aca="false">G168*J168</f>
        <v>18</v>
      </c>
      <c r="P168" s="53" t="n">
        <f aca="false">F168*J168</f>
        <v>0</v>
      </c>
    </row>
    <row r="169" customFormat="false" ht="15" hidden="false" customHeight="false" outlineLevel="0" collapsed="false">
      <c r="A169" s="53" t="s">
        <v>93</v>
      </c>
      <c r="B169" s="53" t="s">
        <v>119</v>
      </c>
      <c r="C169" s="53" t="s">
        <v>158</v>
      </c>
      <c r="D169" s="53" t="s">
        <v>42</v>
      </c>
      <c r="E169" s="54" t="n">
        <v>0</v>
      </c>
      <c r="F169" s="53" t="n">
        <v>0</v>
      </c>
      <c r="G169" s="53" t="n">
        <v>5</v>
      </c>
      <c r="H169" s="54" t="n">
        <v>574.75</v>
      </c>
      <c r="I169" s="53" t="n">
        <f aca="false">IF(B169&gt;=Settings!$B$13,1,0)</f>
        <v>0</v>
      </c>
      <c r="J169" s="53" t="n">
        <v>1</v>
      </c>
      <c r="K169" s="53" t="n">
        <f aca="false">G169*I169*J169</f>
        <v>0</v>
      </c>
      <c r="L169" s="53" t="n">
        <f aca="false">F169*I169*J169</f>
        <v>0</v>
      </c>
      <c r="M169" s="54" t="n">
        <f aca="false">H169*I169*J169</f>
        <v>0</v>
      </c>
      <c r="N169" s="54" t="n">
        <f aca="false">E169*I169*J169</f>
        <v>-0</v>
      </c>
      <c r="O169" s="53" t="n">
        <f aca="false">G169*J169</f>
        <v>5</v>
      </c>
      <c r="P169" s="53" t="n">
        <f aca="false">F169*J169</f>
        <v>0</v>
      </c>
    </row>
    <row r="170" customFormat="false" ht="15" hidden="false" customHeight="false" outlineLevel="0" collapsed="false">
      <c r="A170" s="53" t="s">
        <v>89</v>
      </c>
      <c r="B170" s="53" t="s">
        <v>119</v>
      </c>
      <c r="C170" s="53" t="s">
        <v>162</v>
      </c>
      <c r="D170" s="53" t="s">
        <v>42</v>
      </c>
      <c r="E170" s="54" t="n">
        <v>0</v>
      </c>
      <c r="F170" s="53" t="n">
        <v>0</v>
      </c>
      <c r="G170" s="53" t="n">
        <v>27</v>
      </c>
      <c r="H170" s="54" t="n">
        <v>4107.464</v>
      </c>
      <c r="I170" s="53" t="n">
        <f aca="false">IF(B170&gt;=Settings!$B$13,1,0)</f>
        <v>0</v>
      </c>
      <c r="J170" s="53" t="n">
        <v>1</v>
      </c>
      <c r="K170" s="53" t="n">
        <f aca="false">G170*I170*J170</f>
        <v>0</v>
      </c>
      <c r="L170" s="53" t="n">
        <f aca="false">F170*I170*J170</f>
        <v>0</v>
      </c>
      <c r="M170" s="54" t="n">
        <f aca="false">H170*I170*J170</f>
        <v>0</v>
      </c>
      <c r="N170" s="54" t="n">
        <f aca="false">E170*I170*J170</f>
        <v>-0</v>
      </c>
      <c r="O170" s="53" t="n">
        <f aca="false">G170*J170</f>
        <v>27</v>
      </c>
      <c r="P170" s="53" t="n">
        <f aca="false">F170*J170</f>
        <v>0</v>
      </c>
    </row>
    <row r="171" customFormat="false" ht="15" hidden="false" customHeight="false" outlineLevel="0" collapsed="false">
      <c r="A171" s="53" t="s">
        <v>89</v>
      </c>
      <c r="B171" s="53" t="s">
        <v>119</v>
      </c>
      <c r="C171" s="53" t="s">
        <v>145</v>
      </c>
      <c r="D171" s="53" t="s">
        <v>62</v>
      </c>
      <c r="E171" s="54" t="n">
        <v>0</v>
      </c>
      <c r="F171" s="53" t="n">
        <v>0</v>
      </c>
      <c r="G171" s="53" t="n">
        <v>2</v>
      </c>
      <c r="H171" s="54" t="n">
        <v>329.9</v>
      </c>
      <c r="I171" s="53" t="n">
        <f aca="false">IF(B171&gt;=Settings!$B$13,1,0)</f>
        <v>0</v>
      </c>
      <c r="J171" s="53" t="n">
        <v>1</v>
      </c>
      <c r="K171" s="53" t="n">
        <f aca="false">G171*I171*J171</f>
        <v>0</v>
      </c>
      <c r="L171" s="53" t="n">
        <f aca="false">F171*I171*J171</f>
        <v>0</v>
      </c>
      <c r="M171" s="54" t="n">
        <f aca="false">H171*I171*J171</f>
        <v>0</v>
      </c>
      <c r="N171" s="54" t="n">
        <f aca="false">E171*I171*J171</f>
        <v>-0</v>
      </c>
      <c r="O171" s="53" t="n">
        <f aca="false">G171*J171</f>
        <v>2</v>
      </c>
      <c r="P171" s="53" t="n">
        <f aca="false">F171*J171</f>
        <v>0</v>
      </c>
    </row>
    <row r="172" customFormat="false" ht="15" hidden="false" customHeight="false" outlineLevel="0" collapsed="false">
      <c r="A172" s="53" t="s">
        <v>89</v>
      </c>
      <c r="B172" s="53" t="s">
        <v>119</v>
      </c>
      <c r="C172" s="53" t="s">
        <v>163</v>
      </c>
      <c r="D172" s="53" t="s">
        <v>50</v>
      </c>
      <c r="E172" s="54" t="n">
        <v>0</v>
      </c>
      <c r="F172" s="53" t="n">
        <v>0</v>
      </c>
      <c r="G172" s="53" t="n">
        <v>2</v>
      </c>
      <c r="H172" s="54" t="n">
        <v>309.9</v>
      </c>
      <c r="I172" s="53" t="n">
        <f aca="false">IF(B172&gt;=Settings!$B$13,1,0)</f>
        <v>0</v>
      </c>
      <c r="J172" s="53" t="n">
        <v>1</v>
      </c>
      <c r="K172" s="53" t="n">
        <f aca="false">G172*I172*J172</f>
        <v>0</v>
      </c>
      <c r="L172" s="53" t="n">
        <f aca="false">F172*I172*J172</f>
        <v>0</v>
      </c>
      <c r="M172" s="54" t="n">
        <f aca="false">H172*I172*J172</f>
        <v>0</v>
      </c>
      <c r="N172" s="54" t="n">
        <f aca="false">E172*I172*J172</f>
        <v>-0</v>
      </c>
      <c r="O172" s="53" t="n">
        <f aca="false">G172*J172</f>
        <v>2</v>
      </c>
      <c r="P172" s="53" t="n">
        <f aca="false">F172*J172</f>
        <v>0</v>
      </c>
    </row>
    <row r="173" customFormat="false" ht="15" hidden="false" customHeight="false" outlineLevel="0" collapsed="false">
      <c r="A173" s="53" t="s">
        <v>93</v>
      </c>
      <c r="B173" s="53" t="s">
        <v>119</v>
      </c>
      <c r="C173" s="53" t="s">
        <v>162</v>
      </c>
      <c r="D173" s="53" t="s">
        <v>42</v>
      </c>
      <c r="E173" s="54" t="n">
        <v>139.95</v>
      </c>
      <c r="F173" s="53" t="n">
        <v>1</v>
      </c>
      <c r="G173" s="53" t="n">
        <v>10</v>
      </c>
      <c r="H173" s="54" t="n">
        <v>1503.05</v>
      </c>
      <c r="I173" s="53" t="n">
        <f aca="false">IF(B173&gt;=Settings!$B$13,1,0)</f>
        <v>0</v>
      </c>
      <c r="J173" s="53" t="n">
        <v>1</v>
      </c>
      <c r="K173" s="53" t="n">
        <f aca="false">G173*I173*J173</f>
        <v>0</v>
      </c>
      <c r="L173" s="53" t="n">
        <f aca="false">F173*I173*J173</f>
        <v>0</v>
      </c>
      <c r="M173" s="54" t="n">
        <f aca="false">H173*I173*J173</f>
        <v>0</v>
      </c>
      <c r="N173" s="54" t="n">
        <f aca="false">E173*I173*J173</f>
        <v>0</v>
      </c>
      <c r="O173" s="53" t="n">
        <f aca="false">G173*J173</f>
        <v>10</v>
      </c>
      <c r="P173" s="53" t="n">
        <f aca="false">F173*J173</f>
        <v>1</v>
      </c>
    </row>
    <row r="174" customFormat="false" ht="15" hidden="false" customHeight="false" outlineLevel="0" collapsed="false">
      <c r="A174" s="53" t="s">
        <v>93</v>
      </c>
      <c r="B174" s="53" t="s">
        <v>119</v>
      </c>
      <c r="C174" s="53" t="s">
        <v>154</v>
      </c>
      <c r="D174" s="53" t="s">
        <v>42</v>
      </c>
      <c r="E174" s="54" t="n">
        <v>0</v>
      </c>
      <c r="F174" s="53" t="n">
        <v>0</v>
      </c>
      <c r="G174" s="53" t="n">
        <v>22</v>
      </c>
      <c r="H174" s="54" t="n">
        <v>1844.1</v>
      </c>
      <c r="I174" s="53" t="n">
        <f aca="false">IF(B174&gt;=Settings!$B$13,1,0)</f>
        <v>0</v>
      </c>
      <c r="J174" s="53" t="n">
        <v>1</v>
      </c>
      <c r="K174" s="53" t="n">
        <f aca="false">G174*I174*J174</f>
        <v>0</v>
      </c>
      <c r="L174" s="53" t="n">
        <f aca="false">F174*I174*J174</f>
        <v>0</v>
      </c>
      <c r="M174" s="54" t="n">
        <f aca="false">H174*I174*J174</f>
        <v>0</v>
      </c>
      <c r="N174" s="54" t="n">
        <f aca="false">E174*I174*J174</f>
        <v>-0</v>
      </c>
      <c r="O174" s="53" t="n">
        <f aca="false">G174*J174</f>
        <v>22</v>
      </c>
      <c r="P174" s="53" t="n">
        <f aca="false">F174*J174</f>
        <v>0</v>
      </c>
    </row>
    <row r="175" customFormat="false" ht="15" hidden="false" customHeight="false" outlineLevel="0" collapsed="false">
      <c r="A175" s="53" t="s">
        <v>93</v>
      </c>
      <c r="B175" s="53" t="s">
        <v>119</v>
      </c>
      <c r="C175" s="53" t="s">
        <v>330</v>
      </c>
      <c r="D175" s="53" t="s">
        <v>46</v>
      </c>
      <c r="E175" s="54" t="n">
        <v>0</v>
      </c>
      <c r="F175" s="53" t="n">
        <v>0</v>
      </c>
      <c r="G175" s="53" t="n">
        <v>20</v>
      </c>
      <c r="H175" s="54" t="n">
        <v>3103.9</v>
      </c>
      <c r="I175" s="53" t="n">
        <f aca="false">IF(B175&gt;=Settings!$B$13,1,0)</f>
        <v>0</v>
      </c>
      <c r="J175" s="53" t="n">
        <v>1</v>
      </c>
      <c r="K175" s="53" t="n">
        <f aca="false">G175*I175*J175</f>
        <v>0</v>
      </c>
      <c r="L175" s="53" t="n">
        <f aca="false">F175*I175*J175</f>
        <v>0</v>
      </c>
      <c r="M175" s="54" t="n">
        <f aca="false">H175*I175*J175</f>
        <v>0</v>
      </c>
      <c r="N175" s="54" t="n">
        <f aca="false">E175*I175*J175</f>
        <v>-0</v>
      </c>
      <c r="O175" s="53" t="n">
        <f aca="false">G175*J175</f>
        <v>20</v>
      </c>
      <c r="P175" s="53" t="n">
        <f aca="false">F175*J175</f>
        <v>0</v>
      </c>
    </row>
    <row r="176" customFormat="false" ht="15" hidden="false" customHeight="false" outlineLevel="0" collapsed="false">
      <c r="A176" s="53" t="s">
        <v>89</v>
      </c>
      <c r="B176" s="53" t="s">
        <v>119</v>
      </c>
      <c r="C176" s="53" t="s">
        <v>142</v>
      </c>
      <c r="D176" s="53" t="s">
        <v>66</v>
      </c>
      <c r="E176" s="54" t="n">
        <v>0</v>
      </c>
      <c r="F176" s="53" t="n">
        <v>0</v>
      </c>
      <c r="G176" s="53" t="n">
        <v>1</v>
      </c>
      <c r="H176" s="54" t="n">
        <v>154.34</v>
      </c>
      <c r="I176" s="53" t="n">
        <f aca="false">IF(B176&gt;=Settings!$B$13,1,0)</f>
        <v>0</v>
      </c>
      <c r="J176" s="53" t="n">
        <v>1</v>
      </c>
      <c r="K176" s="53" t="n">
        <f aca="false">G176*I176*J176</f>
        <v>0</v>
      </c>
      <c r="L176" s="53" t="n">
        <f aca="false">F176*I176*J176</f>
        <v>0</v>
      </c>
      <c r="M176" s="54" t="n">
        <f aca="false">H176*I176*J176</f>
        <v>0</v>
      </c>
      <c r="N176" s="54" t="n">
        <f aca="false">E176*I176*J176</f>
        <v>-0</v>
      </c>
      <c r="O176" s="53" t="n">
        <f aca="false">G176*J176</f>
        <v>1</v>
      </c>
      <c r="P176" s="53" t="n">
        <f aca="false">F176*J176</f>
        <v>0</v>
      </c>
    </row>
    <row r="177" customFormat="false" ht="15" hidden="false" customHeight="false" outlineLevel="0" collapsed="false">
      <c r="A177" s="53" t="s">
        <v>89</v>
      </c>
      <c r="B177" s="53" t="s">
        <v>119</v>
      </c>
      <c r="C177" s="53" t="s">
        <v>344</v>
      </c>
      <c r="D177" s="53" t="s">
        <v>50</v>
      </c>
      <c r="E177" s="54" t="n">
        <v>0</v>
      </c>
      <c r="F177" s="53" t="n">
        <v>0</v>
      </c>
      <c r="G177" s="53" t="n">
        <v>4</v>
      </c>
      <c r="H177" s="54" t="n">
        <v>479.8</v>
      </c>
      <c r="I177" s="53" t="n">
        <f aca="false">IF(B177&gt;=Settings!$B$13,1,0)</f>
        <v>0</v>
      </c>
      <c r="J177" s="53" t="n">
        <v>1</v>
      </c>
      <c r="K177" s="53" t="n">
        <f aca="false">G177*I177*J177</f>
        <v>0</v>
      </c>
      <c r="L177" s="53" t="n">
        <f aca="false">F177*I177*J177</f>
        <v>0</v>
      </c>
      <c r="M177" s="54" t="n">
        <f aca="false">H177*I177*J177</f>
        <v>0</v>
      </c>
      <c r="N177" s="54" t="n">
        <f aca="false">E177*I177*J177</f>
        <v>-0</v>
      </c>
      <c r="O177" s="53" t="n">
        <f aca="false">G177*J177</f>
        <v>4</v>
      </c>
      <c r="P177" s="53" t="n">
        <f aca="false">F177*J177</f>
        <v>0</v>
      </c>
    </row>
    <row r="178" customFormat="false" ht="15" hidden="false" customHeight="false" outlineLevel="0" collapsed="false">
      <c r="A178" s="53" t="s">
        <v>93</v>
      </c>
      <c r="B178" s="53" t="s">
        <v>119</v>
      </c>
      <c r="C178" s="53" t="s">
        <v>317</v>
      </c>
      <c r="D178" s="53" t="s">
        <v>46</v>
      </c>
      <c r="E178" s="54" t="n">
        <v>0</v>
      </c>
      <c r="F178" s="53" t="n">
        <v>0</v>
      </c>
      <c r="G178" s="53" t="n">
        <v>9</v>
      </c>
      <c r="H178" s="54" t="n">
        <v>1073.7</v>
      </c>
      <c r="I178" s="53" t="n">
        <f aca="false">IF(B178&gt;=Settings!$B$13,1,0)</f>
        <v>0</v>
      </c>
      <c r="J178" s="53" t="n">
        <v>1</v>
      </c>
      <c r="K178" s="53" t="n">
        <f aca="false">G178*I178*J178</f>
        <v>0</v>
      </c>
      <c r="L178" s="53" t="n">
        <f aca="false">F178*I178*J178</f>
        <v>0</v>
      </c>
      <c r="M178" s="54" t="n">
        <f aca="false">H178*I178*J178</f>
        <v>0</v>
      </c>
      <c r="N178" s="54" t="n">
        <f aca="false">E178*I178*J178</f>
        <v>-0</v>
      </c>
      <c r="O178" s="53" t="n">
        <f aca="false">G178*J178</f>
        <v>9</v>
      </c>
      <c r="P178" s="53" t="n">
        <f aca="false">F178*J178</f>
        <v>0</v>
      </c>
    </row>
    <row r="179" customFormat="false" ht="15" hidden="false" customHeight="false" outlineLevel="0" collapsed="false">
      <c r="A179" s="53" t="s">
        <v>89</v>
      </c>
      <c r="B179" s="53" t="s">
        <v>119</v>
      </c>
      <c r="C179" s="53" t="s">
        <v>374</v>
      </c>
      <c r="D179" s="53" t="s">
        <v>66</v>
      </c>
      <c r="E179" s="54" t="n">
        <v>0</v>
      </c>
      <c r="F179" s="53" t="n">
        <v>0</v>
      </c>
      <c r="G179" s="53" t="n">
        <v>3</v>
      </c>
      <c r="H179" s="54" t="n">
        <v>347.85</v>
      </c>
      <c r="I179" s="53" t="n">
        <f aca="false">IF(B179&gt;=Settings!$B$13,1,0)</f>
        <v>0</v>
      </c>
      <c r="J179" s="53" t="n">
        <v>1</v>
      </c>
      <c r="K179" s="53" t="n">
        <f aca="false">G179*I179*J179</f>
        <v>0</v>
      </c>
      <c r="L179" s="53" t="n">
        <f aca="false">F179*I179*J179</f>
        <v>0</v>
      </c>
      <c r="M179" s="54" t="n">
        <f aca="false">H179*I179*J179</f>
        <v>0</v>
      </c>
      <c r="N179" s="54" t="n">
        <f aca="false">E179*I179*J179</f>
        <v>-0</v>
      </c>
      <c r="O179" s="53" t="n">
        <f aca="false">G179*J179</f>
        <v>3</v>
      </c>
      <c r="P179" s="53" t="n">
        <f aca="false">F179*J179</f>
        <v>0</v>
      </c>
    </row>
    <row r="180" customFormat="false" ht="15" hidden="false" customHeight="false" outlineLevel="0" collapsed="false">
      <c r="A180" s="53" t="s">
        <v>93</v>
      </c>
      <c r="B180" s="53" t="s">
        <v>119</v>
      </c>
      <c r="C180" s="53" t="s">
        <v>165</v>
      </c>
      <c r="D180" s="53" t="s">
        <v>42</v>
      </c>
      <c r="E180" s="54" t="n">
        <v>212.5</v>
      </c>
      <c r="F180" s="53" t="n">
        <v>1</v>
      </c>
      <c r="G180" s="53" t="n">
        <v>7</v>
      </c>
      <c r="H180" s="54" t="n">
        <v>1317.3</v>
      </c>
      <c r="I180" s="53" t="n">
        <f aca="false">IF(B180&gt;=Settings!$B$13,1,0)</f>
        <v>0</v>
      </c>
      <c r="J180" s="53" t="n">
        <v>1</v>
      </c>
      <c r="K180" s="53" t="n">
        <f aca="false">G180*I180*J180</f>
        <v>0</v>
      </c>
      <c r="L180" s="53" t="n">
        <f aca="false">F180*I180*J180</f>
        <v>0</v>
      </c>
      <c r="M180" s="54" t="n">
        <f aca="false">H180*I180*J180</f>
        <v>0</v>
      </c>
      <c r="N180" s="54" t="n">
        <f aca="false">E180*I180*J180</f>
        <v>0</v>
      </c>
      <c r="O180" s="53" t="n">
        <f aca="false">G180*J180</f>
        <v>7</v>
      </c>
      <c r="P180" s="53" t="n">
        <f aca="false">F180*J180</f>
        <v>1</v>
      </c>
    </row>
    <row r="181" customFormat="false" ht="15" hidden="false" customHeight="false" outlineLevel="0" collapsed="false">
      <c r="A181" s="53" t="s">
        <v>93</v>
      </c>
      <c r="B181" s="53" t="s">
        <v>119</v>
      </c>
      <c r="C181" s="53" t="s">
        <v>323</v>
      </c>
      <c r="D181" s="53" t="s">
        <v>62</v>
      </c>
      <c r="E181" s="54" t="n">
        <v>164.95</v>
      </c>
      <c r="F181" s="53" t="n">
        <v>1</v>
      </c>
      <c r="G181" s="53" t="n">
        <v>2</v>
      </c>
      <c r="H181" s="54" t="n">
        <v>304.9</v>
      </c>
      <c r="I181" s="53" t="n">
        <f aca="false">IF(B181&gt;=Settings!$B$13,1,0)</f>
        <v>0</v>
      </c>
      <c r="J181" s="53" t="n">
        <v>1</v>
      </c>
      <c r="K181" s="53" t="n">
        <f aca="false">G181*I181*J181</f>
        <v>0</v>
      </c>
      <c r="L181" s="53" t="n">
        <f aca="false">F181*I181*J181</f>
        <v>0</v>
      </c>
      <c r="M181" s="54" t="n">
        <f aca="false">H181*I181*J181</f>
        <v>0</v>
      </c>
      <c r="N181" s="54" t="n">
        <f aca="false">E181*I181*J181</f>
        <v>0</v>
      </c>
      <c r="O181" s="53" t="n">
        <f aca="false">G181*J181</f>
        <v>2</v>
      </c>
      <c r="P181" s="53" t="n">
        <f aca="false">F181*J181</f>
        <v>1</v>
      </c>
    </row>
    <row r="182" customFormat="false" ht="15" hidden="false" customHeight="false" outlineLevel="0" collapsed="false">
      <c r="A182" s="53" t="s">
        <v>93</v>
      </c>
      <c r="B182" s="53" t="s">
        <v>119</v>
      </c>
      <c r="C182" s="53" t="s">
        <v>160</v>
      </c>
      <c r="D182" s="53" t="s">
        <v>58</v>
      </c>
      <c r="E182" s="54" t="n">
        <v>118.96</v>
      </c>
      <c r="F182" s="53" t="n">
        <v>1</v>
      </c>
      <c r="G182" s="53" t="n">
        <v>3</v>
      </c>
      <c r="H182" s="54" t="n">
        <v>409.85</v>
      </c>
      <c r="I182" s="53" t="n">
        <f aca="false">IF(B182&gt;=Settings!$B$13,1,0)</f>
        <v>0</v>
      </c>
      <c r="J182" s="53" t="n">
        <v>1</v>
      </c>
      <c r="K182" s="53" t="n">
        <f aca="false">G182*I182*J182</f>
        <v>0</v>
      </c>
      <c r="L182" s="53" t="n">
        <f aca="false">F182*I182*J182</f>
        <v>0</v>
      </c>
      <c r="M182" s="54" t="n">
        <f aca="false">H182*I182*J182</f>
        <v>0</v>
      </c>
      <c r="N182" s="54" t="n">
        <f aca="false">E182*I182*J182</f>
        <v>0</v>
      </c>
      <c r="O182" s="53" t="n">
        <f aca="false">G182*J182</f>
        <v>3</v>
      </c>
      <c r="P182" s="53" t="n">
        <f aca="false">F182*J182</f>
        <v>1</v>
      </c>
    </row>
    <row r="183" customFormat="false" ht="15" hidden="false" customHeight="false" outlineLevel="0" collapsed="false">
      <c r="A183" s="53" t="s">
        <v>93</v>
      </c>
      <c r="B183" s="53" t="s">
        <v>119</v>
      </c>
      <c r="C183" s="53" t="s">
        <v>347</v>
      </c>
      <c r="D183" s="53" t="s">
        <v>62</v>
      </c>
      <c r="E183" s="54" t="n">
        <v>0</v>
      </c>
      <c r="F183" s="53" t="n">
        <v>0</v>
      </c>
      <c r="G183" s="53" t="n">
        <v>1</v>
      </c>
      <c r="H183" s="54" t="n">
        <v>79.95</v>
      </c>
      <c r="I183" s="53" t="n">
        <f aca="false">IF(B183&gt;=Settings!$B$13,1,0)</f>
        <v>0</v>
      </c>
      <c r="J183" s="53" t="n">
        <v>1</v>
      </c>
      <c r="K183" s="53" t="n">
        <f aca="false">G183*I183*J183</f>
        <v>0</v>
      </c>
      <c r="L183" s="53" t="n">
        <f aca="false">F183*I183*J183</f>
        <v>0</v>
      </c>
      <c r="M183" s="54" t="n">
        <f aca="false">H183*I183*J183</f>
        <v>0</v>
      </c>
      <c r="N183" s="54" t="n">
        <f aca="false">E183*I183*J183</f>
        <v>-0</v>
      </c>
      <c r="O183" s="53" t="n">
        <f aca="false">G183*J183</f>
        <v>1</v>
      </c>
      <c r="P183" s="53" t="n">
        <f aca="false">F183*J183</f>
        <v>0</v>
      </c>
    </row>
    <row r="184" customFormat="false" ht="15" hidden="false" customHeight="false" outlineLevel="0" collapsed="false">
      <c r="A184" s="53" t="s">
        <v>89</v>
      </c>
      <c r="B184" s="53" t="s">
        <v>119</v>
      </c>
      <c r="C184" s="53" t="s">
        <v>375</v>
      </c>
      <c r="D184" s="53" t="s">
        <v>42</v>
      </c>
      <c r="E184" s="54" t="n">
        <v>0</v>
      </c>
      <c r="F184" s="53" t="n">
        <v>0</v>
      </c>
      <c r="G184" s="53" t="n">
        <v>3</v>
      </c>
      <c r="H184" s="54" t="n">
        <v>308.647</v>
      </c>
      <c r="I184" s="53" t="n">
        <f aca="false">IF(B184&gt;=Settings!$B$13,1,0)</f>
        <v>0</v>
      </c>
      <c r="J184" s="53" t="n">
        <v>1</v>
      </c>
      <c r="K184" s="53" t="n">
        <f aca="false">G184*I184*J184</f>
        <v>0</v>
      </c>
      <c r="L184" s="53" t="n">
        <f aca="false">F184*I184*J184</f>
        <v>0</v>
      </c>
      <c r="M184" s="54" t="n">
        <f aca="false">H184*I184*J184</f>
        <v>0</v>
      </c>
      <c r="N184" s="54" t="n">
        <f aca="false">E184*I184*J184</f>
        <v>-0</v>
      </c>
      <c r="O184" s="53" t="n">
        <f aca="false">G184*J184</f>
        <v>3</v>
      </c>
      <c r="P184" s="53" t="n">
        <f aca="false">F184*J184</f>
        <v>0</v>
      </c>
    </row>
    <row r="185" customFormat="false" ht="15" hidden="false" customHeight="false" outlineLevel="0" collapsed="false">
      <c r="A185" s="53" t="s">
        <v>89</v>
      </c>
      <c r="B185" s="53" t="s">
        <v>119</v>
      </c>
      <c r="C185" s="53" t="s">
        <v>144</v>
      </c>
      <c r="D185" s="53" t="s">
        <v>58</v>
      </c>
      <c r="E185" s="54" t="n">
        <v>0</v>
      </c>
      <c r="F185" s="53" t="n">
        <v>0</v>
      </c>
      <c r="G185" s="53" t="n">
        <v>2</v>
      </c>
      <c r="H185" s="54" t="n">
        <v>291.9</v>
      </c>
      <c r="I185" s="53" t="n">
        <f aca="false">IF(B185&gt;=Settings!$B$13,1,0)</f>
        <v>0</v>
      </c>
      <c r="J185" s="53" t="n">
        <v>1</v>
      </c>
      <c r="K185" s="53" t="n">
        <f aca="false">G185*I185*J185</f>
        <v>0</v>
      </c>
      <c r="L185" s="53" t="n">
        <f aca="false">F185*I185*J185</f>
        <v>0</v>
      </c>
      <c r="M185" s="54" t="n">
        <f aca="false">H185*I185*J185</f>
        <v>0</v>
      </c>
      <c r="N185" s="54" t="n">
        <f aca="false">E185*I185*J185</f>
        <v>-0</v>
      </c>
      <c r="O185" s="53" t="n">
        <f aca="false">G185*J185</f>
        <v>2</v>
      </c>
      <c r="P185" s="53" t="n">
        <f aca="false">F185*J185</f>
        <v>0</v>
      </c>
    </row>
    <row r="186" customFormat="false" ht="15" hidden="false" customHeight="false" outlineLevel="0" collapsed="false">
      <c r="A186" s="53" t="s">
        <v>93</v>
      </c>
      <c r="B186" s="53" t="s">
        <v>119</v>
      </c>
      <c r="C186" s="53" t="s">
        <v>322</v>
      </c>
      <c r="D186" s="53" t="s">
        <v>54</v>
      </c>
      <c r="E186" s="54" t="n">
        <v>0</v>
      </c>
      <c r="F186" s="53" t="n">
        <v>0</v>
      </c>
      <c r="G186" s="53" t="n">
        <v>17</v>
      </c>
      <c r="H186" s="54" t="n">
        <v>1049.15</v>
      </c>
      <c r="I186" s="53" t="n">
        <f aca="false">IF(B186&gt;=Settings!$B$13,1,0)</f>
        <v>0</v>
      </c>
      <c r="J186" s="53" t="n">
        <v>1</v>
      </c>
      <c r="K186" s="53" t="n">
        <f aca="false">G186*I186*J186</f>
        <v>0</v>
      </c>
      <c r="L186" s="53" t="n">
        <f aca="false">F186*I186*J186</f>
        <v>0</v>
      </c>
      <c r="M186" s="54" t="n">
        <f aca="false">H186*I186*J186</f>
        <v>0</v>
      </c>
      <c r="N186" s="54" t="n">
        <f aca="false">E186*I186*J186</f>
        <v>-0</v>
      </c>
      <c r="O186" s="53" t="n">
        <f aca="false">G186*J186</f>
        <v>17</v>
      </c>
      <c r="P186" s="53" t="n">
        <f aca="false">F186*J186</f>
        <v>0</v>
      </c>
    </row>
    <row r="187" customFormat="false" ht="15" hidden="false" customHeight="false" outlineLevel="0" collapsed="false">
      <c r="A187" s="53" t="s">
        <v>89</v>
      </c>
      <c r="B187" s="53" t="s">
        <v>119</v>
      </c>
      <c r="C187" s="53" t="s">
        <v>333</v>
      </c>
      <c r="D187" s="53" t="s">
        <v>54</v>
      </c>
      <c r="E187" s="54" t="n">
        <v>0</v>
      </c>
      <c r="F187" s="53" t="n">
        <v>0</v>
      </c>
      <c r="G187" s="53" t="n">
        <v>27</v>
      </c>
      <c r="H187" s="54" t="n">
        <v>2195.327</v>
      </c>
      <c r="I187" s="53" t="n">
        <f aca="false">IF(B187&gt;=Settings!$B$13,1,0)</f>
        <v>0</v>
      </c>
      <c r="J187" s="53" t="n">
        <v>1</v>
      </c>
      <c r="K187" s="53" t="n">
        <f aca="false">G187*I187*J187</f>
        <v>0</v>
      </c>
      <c r="L187" s="53" t="n">
        <f aca="false">F187*I187*J187</f>
        <v>0</v>
      </c>
      <c r="M187" s="54" t="n">
        <f aca="false">H187*I187*J187</f>
        <v>0</v>
      </c>
      <c r="N187" s="54" t="n">
        <f aca="false">E187*I187*J187</f>
        <v>-0</v>
      </c>
      <c r="O187" s="53" t="n">
        <f aca="false">G187*J187</f>
        <v>27</v>
      </c>
      <c r="P187" s="53" t="n">
        <f aca="false">F187*J187</f>
        <v>0</v>
      </c>
    </row>
    <row r="188" customFormat="false" ht="15" hidden="false" customHeight="false" outlineLevel="0" collapsed="false">
      <c r="A188" s="53" t="s">
        <v>89</v>
      </c>
      <c r="B188" s="53" t="s">
        <v>119</v>
      </c>
      <c r="C188" s="53" t="s">
        <v>166</v>
      </c>
      <c r="D188" s="53" t="s">
        <v>50</v>
      </c>
      <c r="E188" s="54" t="n">
        <v>0</v>
      </c>
      <c r="F188" s="53" t="n">
        <v>0</v>
      </c>
      <c r="G188" s="53" t="n">
        <v>1</v>
      </c>
      <c r="H188" s="54" t="n">
        <v>164.95</v>
      </c>
      <c r="I188" s="53" t="n">
        <f aca="false">IF(B188&gt;=Settings!$B$13,1,0)</f>
        <v>0</v>
      </c>
      <c r="J188" s="53" t="n">
        <v>1</v>
      </c>
      <c r="K188" s="53" t="n">
        <f aca="false">G188*I188*J188</f>
        <v>0</v>
      </c>
      <c r="L188" s="53" t="n">
        <f aca="false">F188*I188*J188</f>
        <v>0</v>
      </c>
      <c r="M188" s="54" t="n">
        <f aca="false">H188*I188*J188</f>
        <v>0</v>
      </c>
      <c r="N188" s="54" t="n">
        <f aca="false">E188*I188*J188</f>
        <v>-0</v>
      </c>
      <c r="O188" s="53" t="n">
        <f aca="false">G188*J188</f>
        <v>1</v>
      </c>
      <c r="P188" s="53" t="n">
        <f aca="false">F188*J188</f>
        <v>0</v>
      </c>
    </row>
    <row r="189" customFormat="false" ht="15" hidden="false" customHeight="false" outlineLevel="0" collapsed="false">
      <c r="A189" s="53" t="s">
        <v>89</v>
      </c>
      <c r="B189" s="53" t="s">
        <v>119</v>
      </c>
      <c r="C189" s="53" t="s">
        <v>160</v>
      </c>
      <c r="D189" s="53" t="s">
        <v>58</v>
      </c>
      <c r="E189" s="54" t="n">
        <v>0</v>
      </c>
      <c r="F189" s="53" t="n">
        <v>0</v>
      </c>
      <c r="G189" s="53" t="n">
        <v>1</v>
      </c>
      <c r="H189" s="54" t="n">
        <v>114.95</v>
      </c>
      <c r="I189" s="53" t="n">
        <f aca="false">IF(B189&gt;=Settings!$B$13,1,0)</f>
        <v>0</v>
      </c>
      <c r="J189" s="53" t="n">
        <v>1</v>
      </c>
      <c r="K189" s="53" t="n">
        <f aca="false">G189*I189*J189</f>
        <v>0</v>
      </c>
      <c r="L189" s="53" t="n">
        <f aca="false">F189*I189*J189</f>
        <v>0</v>
      </c>
      <c r="M189" s="54" t="n">
        <f aca="false">H189*I189*J189</f>
        <v>0</v>
      </c>
      <c r="N189" s="54" t="n">
        <f aca="false">E189*I189*J189</f>
        <v>-0</v>
      </c>
      <c r="O189" s="53" t="n">
        <f aca="false">G189*J189</f>
        <v>1</v>
      </c>
      <c r="P189" s="53" t="n">
        <f aca="false">F189*J189</f>
        <v>0</v>
      </c>
    </row>
    <row r="190" customFormat="false" ht="15" hidden="false" customHeight="false" outlineLevel="0" collapsed="false">
      <c r="A190" s="53" t="s">
        <v>93</v>
      </c>
      <c r="B190" s="53" t="s">
        <v>119</v>
      </c>
      <c r="C190" s="53" t="s">
        <v>316</v>
      </c>
      <c r="D190" s="53" t="s">
        <v>62</v>
      </c>
      <c r="E190" s="54" t="n">
        <v>0</v>
      </c>
      <c r="F190" s="53" t="n">
        <v>0</v>
      </c>
      <c r="G190" s="53" t="n">
        <v>2</v>
      </c>
      <c r="H190" s="54" t="n">
        <v>241.2</v>
      </c>
      <c r="I190" s="53" t="n">
        <f aca="false">IF(B190&gt;=Settings!$B$13,1,0)</f>
        <v>0</v>
      </c>
      <c r="J190" s="53" t="n">
        <v>1</v>
      </c>
      <c r="K190" s="53" t="n">
        <f aca="false">G190*I190*J190</f>
        <v>0</v>
      </c>
      <c r="L190" s="53" t="n">
        <f aca="false">F190*I190*J190</f>
        <v>0</v>
      </c>
      <c r="M190" s="54" t="n">
        <f aca="false">H190*I190*J190</f>
        <v>0</v>
      </c>
      <c r="N190" s="54" t="n">
        <f aca="false">E190*I190*J190</f>
        <v>-0</v>
      </c>
      <c r="O190" s="53" t="n">
        <f aca="false">G190*J190</f>
        <v>2</v>
      </c>
      <c r="P190" s="53" t="n">
        <f aca="false">F190*J190</f>
        <v>0</v>
      </c>
    </row>
    <row r="191" customFormat="false" ht="15" hidden="false" customHeight="false" outlineLevel="0" collapsed="false">
      <c r="A191" s="53" t="s">
        <v>89</v>
      </c>
      <c r="B191" s="53" t="s">
        <v>119</v>
      </c>
      <c r="C191" s="53" t="s">
        <v>158</v>
      </c>
      <c r="D191" s="53" t="s">
        <v>42</v>
      </c>
      <c r="E191" s="54" t="n">
        <v>0</v>
      </c>
      <c r="F191" s="53" t="n">
        <v>0</v>
      </c>
      <c r="G191" s="53" t="n">
        <v>50</v>
      </c>
      <c r="H191" s="54" t="n">
        <v>6107.139</v>
      </c>
      <c r="I191" s="53" t="n">
        <f aca="false">IF(B191&gt;=Settings!$B$13,1,0)</f>
        <v>0</v>
      </c>
      <c r="J191" s="53" t="n">
        <v>1</v>
      </c>
      <c r="K191" s="53" t="n">
        <f aca="false">G191*I191*J191</f>
        <v>0</v>
      </c>
      <c r="L191" s="53" t="n">
        <f aca="false">F191*I191*J191</f>
        <v>0</v>
      </c>
      <c r="M191" s="54" t="n">
        <f aca="false">H191*I191*J191</f>
        <v>0</v>
      </c>
      <c r="N191" s="54" t="n">
        <f aca="false">E191*I191*J191</f>
        <v>-0</v>
      </c>
      <c r="O191" s="53" t="n">
        <f aca="false">G191*J191</f>
        <v>50</v>
      </c>
      <c r="P191" s="53" t="n">
        <f aca="false">F191*J191</f>
        <v>0</v>
      </c>
    </row>
    <row r="192" customFormat="false" ht="15" hidden="false" customHeight="false" outlineLevel="0" collapsed="false">
      <c r="A192" s="53" t="s">
        <v>89</v>
      </c>
      <c r="B192" s="53" t="s">
        <v>119</v>
      </c>
      <c r="C192" s="53" t="s">
        <v>347</v>
      </c>
      <c r="D192" s="53" t="s">
        <v>62</v>
      </c>
      <c r="E192" s="54" t="n">
        <v>0</v>
      </c>
      <c r="F192" s="53" t="n">
        <v>0</v>
      </c>
      <c r="G192" s="53" t="n">
        <v>49</v>
      </c>
      <c r="H192" s="54" t="n">
        <v>4416.126</v>
      </c>
      <c r="I192" s="53" t="n">
        <f aca="false">IF(B192&gt;=Settings!$B$13,1,0)</f>
        <v>0</v>
      </c>
      <c r="J192" s="53" t="n">
        <v>1</v>
      </c>
      <c r="K192" s="53" t="n">
        <f aca="false">G192*I192*J192</f>
        <v>0</v>
      </c>
      <c r="L192" s="53" t="n">
        <f aca="false">F192*I192*J192</f>
        <v>0</v>
      </c>
      <c r="M192" s="54" t="n">
        <f aca="false">H192*I192*J192</f>
        <v>0</v>
      </c>
      <c r="N192" s="54" t="n">
        <f aca="false">E192*I192*J192</f>
        <v>-0</v>
      </c>
      <c r="O192" s="53" t="n">
        <f aca="false">G192*J192</f>
        <v>49</v>
      </c>
      <c r="P192" s="53" t="n">
        <f aca="false">F192*J192</f>
        <v>0</v>
      </c>
    </row>
    <row r="193" customFormat="false" ht="15" hidden="false" customHeight="false" outlineLevel="0" collapsed="false">
      <c r="A193" s="53" t="s">
        <v>89</v>
      </c>
      <c r="B193" s="53" t="s">
        <v>119</v>
      </c>
      <c r="C193" s="53" t="s">
        <v>323</v>
      </c>
      <c r="D193" s="53" t="s">
        <v>62</v>
      </c>
      <c r="E193" s="54" t="n">
        <v>0</v>
      </c>
      <c r="F193" s="53" t="n">
        <v>0</v>
      </c>
      <c r="G193" s="53" t="n">
        <v>2</v>
      </c>
      <c r="H193" s="54" t="n">
        <v>296.57</v>
      </c>
      <c r="I193" s="53" t="n">
        <f aca="false">IF(B193&gt;=Settings!$B$13,1,0)</f>
        <v>0</v>
      </c>
      <c r="J193" s="53" t="n">
        <v>1</v>
      </c>
      <c r="K193" s="53" t="n">
        <f aca="false">G193*I193*J193</f>
        <v>0</v>
      </c>
      <c r="L193" s="53" t="n">
        <f aca="false">F193*I193*J193</f>
        <v>0</v>
      </c>
      <c r="M193" s="54" t="n">
        <f aca="false">H193*I193*J193</f>
        <v>0</v>
      </c>
      <c r="N193" s="54" t="n">
        <f aca="false">E193*I193*J193</f>
        <v>-0</v>
      </c>
      <c r="O193" s="53" t="n">
        <f aca="false">G193*J193</f>
        <v>2</v>
      </c>
      <c r="P193" s="53" t="n">
        <f aca="false">F193*J193</f>
        <v>0</v>
      </c>
    </row>
    <row r="194" customFormat="false" ht="15" hidden="false" customHeight="false" outlineLevel="0" collapsed="false">
      <c r="A194" s="53" t="s">
        <v>93</v>
      </c>
      <c r="B194" s="53" t="s">
        <v>119</v>
      </c>
      <c r="C194" s="53" t="s">
        <v>318</v>
      </c>
      <c r="D194" s="53" t="s">
        <v>58</v>
      </c>
      <c r="E194" s="54" t="n">
        <v>0</v>
      </c>
      <c r="F194" s="53" t="n">
        <v>0</v>
      </c>
      <c r="G194" s="53" t="n">
        <v>2</v>
      </c>
      <c r="H194" s="54" t="n">
        <v>417.9</v>
      </c>
      <c r="I194" s="53" t="n">
        <f aca="false">IF(B194&gt;=Settings!$B$13,1,0)</f>
        <v>0</v>
      </c>
      <c r="J194" s="53" t="n">
        <v>1</v>
      </c>
      <c r="K194" s="53" t="n">
        <f aca="false">G194*I194*J194</f>
        <v>0</v>
      </c>
      <c r="L194" s="53" t="n">
        <f aca="false">F194*I194*J194</f>
        <v>0</v>
      </c>
      <c r="M194" s="54" t="n">
        <f aca="false">H194*I194*J194</f>
        <v>0</v>
      </c>
      <c r="N194" s="54" t="n">
        <f aca="false">E194*I194*J194</f>
        <v>-0</v>
      </c>
      <c r="O194" s="53" t="n">
        <f aca="false">G194*J194</f>
        <v>2</v>
      </c>
      <c r="P194" s="53" t="n">
        <f aca="false">F194*J194</f>
        <v>0</v>
      </c>
    </row>
    <row r="195" customFormat="false" ht="15" hidden="false" customHeight="false" outlineLevel="0" collapsed="false">
      <c r="A195" s="53" t="s">
        <v>93</v>
      </c>
      <c r="B195" s="53" t="s">
        <v>119</v>
      </c>
      <c r="C195" s="53" t="s">
        <v>333</v>
      </c>
      <c r="D195" s="53" t="s">
        <v>54</v>
      </c>
      <c r="E195" s="54" t="n">
        <v>135.9</v>
      </c>
      <c r="F195" s="53" t="n">
        <v>2</v>
      </c>
      <c r="G195" s="53" t="n">
        <v>16</v>
      </c>
      <c r="H195" s="54" t="n">
        <v>1232.75</v>
      </c>
      <c r="I195" s="53" t="n">
        <f aca="false">IF(B195&gt;=Settings!$B$13,1,0)</f>
        <v>0</v>
      </c>
      <c r="J195" s="53" t="n">
        <v>1</v>
      </c>
      <c r="K195" s="53" t="n">
        <f aca="false">G195*I195*J195</f>
        <v>0</v>
      </c>
      <c r="L195" s="53" t="n">
        <f aca="false">F195*I195*J195</f>
        <v>0</v>
      </c>
      <c r="M195" s="54" t="n">
        <f aca="false">H195*I195*J195</f>
        <v>0</v>
      </c>
      <c r="N195" s="54" t="n">
        <f aca="false">E195*I195*J195</f>
        <v>0</v>
      </c>
      <c r="O195" s="53" t="n">
        <f aca="false">G195*J195</f>
        <v>16</v>
      </c>
      <c r="P195" s="53" t="n">
        <f aca="false">F195*J195</f>
        <v>2</v>
      </c>
    </row>
    <row r="196" customFormat="false" ht="15" hidden="false" customHeight="false" outlineLevel="0" collapsed="false">
      <c r="A196" s="53" t="s">
        <v>93</v>
      </c>
      <c r="B196" s="53" t="s">
        <v>119</v>
      </c>
      <c r="C196" s="53" t="s">
        <v>144</v>
      </c>
      <c r="D196" s="53" t="s">
        <v>58</v>
      </c>
      <c r="E196" s="54" t="n">
        <v>0</v>
      </c>
      <c r="F196" s="53" t="n">
        <v>0</v>
      </c>
      <c r="G196" s="53" t="n">
        <v>1</v>
      </c>
      <c r="H196" s="54" t="n">
        <v>140.95</v>
      </c>
      <c r="I196" s="53" t="n">
        <f aca="false">IF(B196&gt;=Settings!$B$13,1,0)</f>
        <v>0</v>
      </c>
      <c r="J196" s="53" t="n">
        <v>1</v>
      </c>
      <c r="K196" s="53" t="n">
        <f aca="false">G196*I196*J196</f>
        <v>0</v>
      </c>
      <c r="L196" s="53" t="n">
        <f aca="false">F196*I196*J196</f>
        <v>0</v>
      </c>
      <c r="M196" s="54" t="n">
        <f aca="false">H196*I196*J196</f>
        <v>0</v>
      </c>
      <c r="N196" s="54" t="n">
        <f aca="false">E196*I196*J196</f>
        <v>-0</v>
      </c>
      <c r="O196" s="53" t="n">
        <f aca="false">G196*J196</f>
        <v>1</v>
      </c>
      <c r="P196" s="53" t="n">
        <f aca="false">F196*J196</f>
        <v>0</v>
      </c>
    </row>
    <row r="197" customFormat="false" ht="15" hidden="false" customHeight="false" outlineLevel="0" collapsed="false">
      <c r="A197" s="53" t="s">
        <v>93</v>
      </c>
      <c r="B197" s="53" t="s">
        <v>119</v>
      </c>
      <c r="C197" s="53" t="s">
        <v>360</v>
      </c>
      <c r="D197" s="53" t="s">
        <v>54</v>
      </c>
      <c r="E197" s="54" t="n">
        <v>94.95</v>
      </c>
      <c r="F197" s="53" t="n">
        <v>1</v>
      </c>
      <c r="G197" s="53" t="n">
        <v>11</v>
      </c>
      <c r="H197" s="54" t="n">
        <v>1134.45</v>
      </c>
      <c r="I197" s="53" t="n">
        <f aca="false">IF(B197&gt;=Settings!$B$13,1,0)</f>
        <v>0</v>
      </c>
      <c r="J197" s="53" t="n">
        <v>1</v>
      </c>
      <c r="K197" s="53" t="n">
        <f aca="false">G197*I197*J197</f>
        <v>0</v>
      </c>
      <c r="L197" s="53" t="n">
        <f aca="false">F197*I197*J197</f>
        <v>0</v>
      </c>
      <c r="M197" s="54" t="n">
        <f aca="false">H197*I197*J197</f>
        <v>0</v>
      </c>
      <c r="N197" s="54" t="n">
        <f aca="false">E197*I197*J197</f>
        <v>0</v>
      </c>
      <c r="O197" s="53" t="n">
        <f aca="false">G197*J197</f>
        <v>11</v>
      </c>
      <c r="P197" s="53" t="n">
        <f aca="false">F197*J197</f>
        <v>1</v>
      </c>
    </row>
    <row r="198" customFormat="false" ht="15" hidden="false" customHeight="false" outlineLevel="0" collapsed="false">
      <c r="A198" s="53" t="s">
        <v>89</v>
      </c>
      <c r="B198" s="53" t="s">
        <v>119</v>
      </c>
      <c r="C198" s="53" t="s">
        <v>155</v>
      </c>
      <c r="D198" s="53" t="s">
        <v>50</v>
      </c>
      <c r="E198" s="54" t="n">
        <v>0</v>
      </c>
      <c r="F198" s="53" t="n">
        <v>0</v>
      </c>
      <c r="G198" s="53" t="n">
        <v>30</v>
      </c>
      <c r="H198" s="54" t="n">
        <v>2792.524</v>
      </c>
      <c r="I198" s="53" t="n">
        <f aca="false">IF(B198&gt;=Settings!$B$13,1,0)</f>
        <v>0</v>
      </c>
      <c r="J198" s="53" t="n">
        <v>1</v>
      </c>
      <c r="K198" s="53" t="n">
        <f aca="false">G198*I198*J198</f>
        <v>0</v>
      </c>
      <c r="L198" s="53" t="n">
        <f aca="false">F198*I198*J198</f>
        <v>0</v>
      </c>
      <c r="M198" s="54" t="n">
        <f aca="false">H198*I198*J198</f>
        <v>0</v>
      </c>
      <c r="N198" s="54" t="n">
        <f aca="false">E198*I198*J198</f>
        <v>-0</v>
      </c>
      <c r="O198" s="53" t="n">
        <f aca="false">G198*J198</f>
        <v>30</v>
      </c>
      <c r="P198" s="53" t="n">
        <f aca="false">F198*J198</f>
        <v>0</v>
      </c>
    </row>
    <row r="199" customFormat="false" ht="15" hidden="false" customHeight="false" outlineLevel="0" collapsed="false">
      <c r="A199" s="53" t="s">
        <v>93</v>
      </c>
      <c r="B199" s="53" t="s">
        <v>119</v>
      </c>
      <c r="C199" s="53" t="s">
        <v>332</v>
      </c>
      <c r="D199" s="53" t="s">
        <v>46</v>
      </c>
      <c r="E199" s="54" t="n">
        <v>63.71</v>
      </c>
      <c r="F199" s="53" t="n">
        <v>1</v>
      </c>
      <c r="G199" s="53" t="n">
        <v>17</v>
      </c>
      <c r="H199" s="54" t="n">
        <v>1367.65</v>
      </c>
      <c r="I199" s="53" t="n">
        <f aca="false">IF(B199&gt;=Settings!$B$13,1,0)</f>
        <v>0</v>
      </c>
      <c r="J199" s="53" t="n">
        <v>1</v>
      </c>
      <c r="K199" s="53" t="n">
        <f aca="false">G199*I199*J199</f>
        <v>0</v>
      </c>
      <c r="L199" s="53" t="n">
        <f aca="false">F199*I199*J199</f>
        <v>0</v>
      </c>
      <c r="M199" s="54" t="n">
        <f aca="false">H199*I199*J199</f>
        <v>0</v>
      </c>
      <c r="N199" s="54" t="n">
        <f aca="false">E199*I199*J199</f>
        <v>0</v>
      </c>
      <c r="O199" s="53" t="n">
        <f aca="false">G199*J199</f>
        <v>17</v>
      </c>
      <c r="P199" s="53" t="n">
        <f aca="false">F199*J199</f>
        <v>1</v>
      </c>
    </row>
    <row r="200" customFormat="false" ht="15" hidden="false" customHeight="false" outlineLevel="0" collapsed="false">
      <c r="A200" s="53" t="s">
        <v>89</v>
      </c>
      <c r="B200" s="53" t="s">
        <v>119</v>
      </c>
      <c r="C200" s="53" t="s">
        <v>357</v>
      </c>
      <c r="D200" s="53" t="s">
        <v>54</v>
      </c>
      <c r="E200" s="54" t="n">
        <v>0</v>
      </c>
      <c r="F200" s="53" t="n">
        <v>0</v>
      </c>
      <c r="G200" s="53" t="n">
        <v>12</v>
      </c>
      <c r="H200" s="54" t="n">
        <v>1052.52</v>
      </c>
      <c r="I200" s="53" t="n">
        <f aca="false">IF(B200&gt;=Settings!$B$13,1,0)</f>
        <v>0</v>
      </c>
      <c r="J200" s="53" t="n">
        <v>1</v>
      </c>
      <c r="K200" s="53" t="n">
        <f aca="false">G200*I200*J200</f>
        <v>0</v>
      </c>
      <c r="L200" s="53" t="n">
        <f aca="false">F200*I200*J200</f>
        <v>0</v>
      </c>
      <c r="M200" s="54" t="n">
        <f aca="false">H200*I200*J200</f>
        <v>0</v>
      </c>
      <c r="N200" s="54" t="n">
        <f aca="false">E200*I200*J200</f>
        <v>-0</v>
      </c>
      <c r="O200" s="53" t="n">
        <f aca="false">G200*J200</f>
        <v>12</v>
      </c>
      <c r="P200" s="53" t="n">
        <f aca="false">F200*J200</f>
        <v>0</v>
      </c>
    </row>
    <row r="201" customFormat="false" ht="15" hidden="false" customHeight="false" outlineLevel="0" collapsed="false">
      <c r="A201" s="53" t="s">
        <v>89</v>
      </c>
      <c r="B201" s="53" t="s">
        <v>120</v>
      </c>
      <c r="C201" s="53" t="s">
        <v>318</v>
      </c>
      <c r="D201" s="53" t="s">
        <v>58</v>
      </c>
      <c r="E201" s="54" t="n">
        <v>0</v>
      </c>
      <c r="F201" s="53" t="n">
        <v>0</v>
      </c>
      <c r="G201" s="53" t="n">
        <v>1</v>
      </c>
      <c r="H201" s="54" t="n">
        <v>224.6</v>
      </c>
      <c r="I201" s="53" t="n">
        <f aca="false">IF(B201&gt;=Settings!$B$13,1,0)</f>
        <v>0</v>
      </c>
      <c r="J201" s="53" t="n">
        <v>1</v>
      </c>
      <c r="K201" s="53" t="n">
        <f aca="false">G201*I201*J201</f>
        <v>0</v>
      </c>
      <c r="L201" s="53" t="n">
        <f aca="false">F201*I201*J201</f>
        <v>0</v>
      </c>
      <c r="M201" s="54" t="n">
        <f aca="false">H201*I201*J201</f>
        <v>0</v>
      </c>
      <c r="N201" s="54" t="n">
        <f aca="false">E201*I201*J201</f>
        <v>-0</v>
      </c>
      <c r="O201" s="53" t="n">
        <f aca="false">G201*J201</f>
        <v>1</v>
      </c>
      <c r="P201" s="53" t="n">
        <f aca="false">F201*J201</f>
        <v>0</v>
      </c>
    </row>
    <row r="202" customFormat="false" ht="15" hidden="false" customHeight="false" outlineLevel="0" collapsed="false">
      <c r="A202" s="53" t="s">
        <v>89</v>
      </c>
      <c r="B202" s="53" t="s">
        <v>120</v>
      </c>
      <c r="C202" s="53" t="s">
        <v>316</v>
      </c>
      <c r="D202" s="53" t="s">
        <v>62</v>
      </c>
      <c r="E202" s="54" t="n">
        <v>0</v>
      </c>
      <c r="F202" s="53" t="n">
        <v>0</v>
      </c>
      <c r="G202" s="53" t="n">
        <v>2</v>
      </c>
      <c r="H202" s="54" t="n">
        <v>219.9</v>
      </c>
      <c r="I202" s="53" t="n">
        <f aca="false">IF(B202&gt;=Settings!$B$13,1,0)</f>
        <v>0</v>
      </c>
      <c r="J202" s="53" t="n">
        <v>1</v>
      </c>
      <c r="K202" s="53" t="n">
        <f aca="false">G202*I202*J202</f>
        <v>0</v>
      </c>
      <c r="L202" s="53" t="n">
        <f aca="false">F202*I202*J202</f>
        <v>0</v>
      </c>
      <c r="M202" s="54" t="n">
        <f aca="false">H202*I202*J202</f>
        <v>0</v>
      </c>
      <c r="N202" s="54" t="n">
        <f aca="false">E202*I202*J202</f>
        <v>-0</v>
      </c>
      <c r="O202" s="53" t="n">
        <f aca="false">G202*J202</f>
        <v>2</v>
      </c>
      <c r="P202" s="53" t="n">
        <f aca="false">F202*J202</f>
        <v>0</v>
      </c>
    </row>
    <row r="203" customFormat="false" ht="15" hidden="false" customHeight="false" outlineLevel="0" collapsed="false">
      <c r="A203" s="53" t="s">
        <v>89</v>
      </c>
      <c r="B203" s="53" t="s">
        <v>120</v>
      </c>
      <c r="C203" s="53" t="s">
        <v>145</v>
      </c>
      <c r="D203" s="53" t="s">
        <v>62</v>
      </c>
      <c r="E203" s="54" t="n">
        <v>0</v>
      </c>
      <c r="F203" s="53" t="n">
        <v>0</v>
      </c>
      <c r="G203" s="53" t="n">
        <v>3</v>
      </c>
      <c r="H203" s="54" t="n">
        <v>449.85</v>
      </c>
      <c r="I203" s="53" t="n">
        <f aca="false">IF(B203&gt;=Settings!$B$13,1,0)</f>
        <v>0</v>
      </c>
      <c r="J203" s="53" t="n">
        <v>1</v>
      </c>
      <c r="K203" s="53" t="n">
        <f aca="false">G203*I203*J203</f>
        <v>0</v>
      </c>
      <c r="L203" s="53" t="n">
        <f aca="false">F203*I203*J203</f>
        <v>0</v>
      </c>
      <c r="M203" s="54" t="n">
        <f aca="false">H203*I203*J203</f>
        <v>0</v>
      </c>
      <c r="N203" s="54" t="n">
        <f aca="false">E203*I203*J203</f>
        <v>-0</v>
      </c>
      <c r="O203" s="53" t="n">
        <f aca="false">G203*J203</f>
        <v>3</v>
      </c>
      <c r="P203" s="53" t="n">
        <f aca="false">F203*J203</f>
        <v>0</v>
      </c>
    </row>
    <row r="204" customFormat="false" ht="15" hidden="false" customHeight="false" outlineLevel="0" collapsed="false">
      <c r="A204" s="53" t="s">
        <v>89</v>
      </c>
      <c r="B204" s="53" t="s">
        <v>120</v>
      </c>
      <c r="C204" s="53" t="s">
        <v>330</v>
      </c>
      <c r="D204" s="53" t="s">
        <v>46</v>
      </c>
      <c r="E204" s="54" t="n">
        <v>0</v>
      </c>
      <c r="F204" s="53" t="n">
        <v>0</v>
      </c>
      <c r="G204" s="53" t="n">
        <v>28</v>
      </c>
      <c r="H204" s="54" t="n">
        <v>4045.537</v>
      </c>
      <c r="I204" s="53" t="n">
        <f aca="false">IF(B204&gt;=Settings!$B$13,1,0)</f>
        <v>0</v>
      </c>
      <c r="J204" s="53" t="n">
        <v>1</v>
      </c>
      <c r="K204" s="53" t="n">
        <f aca="false">G204*I204*J204</f>
        <v>0</v>
      </c>
      <c r="L204" s="53" t="n">
        <f aca="false">F204*I204*J204</f>
        <v>0</v>
      </c>
      <c r="M204" s="54" t="n">
        <f aca="false">H204*I204*J204</f>
        <v>0</v>
      </c>
      <c r="N204" s="54" t="n">
        <f aca="false">E204*I204*J204</f>
        <v>-0</v>
      </c>
      <c r="O204" s="53" t="n">
        <f aca="false">G204*J204</f>
        <v>28</v>
      </c>
      <c r="P204" s="53" t="n">
        <f aca="false">F204*J204</f>
        <v>0</v>
      </c>
    </row>
    <row r="205" customFormat="false" ht="15" hidden="false" customHeight="false" outlineLevel="0" collapsed="false">
      <c r="A205" s="53" t="s">
        <v>89</v>
      </c>
      <c r="B205" s="53" t="s">
        <v>120</v>
      </c>
      <c r="C205" s="53" t="s">
        <v>375</v>
      </c>
      <c r="D205" s="53" t="s">
        <v>42</v>
      </c>
      <c r="E205" s="54" t="n">
        <v>0</v>
      </c>
      <c r="F205" s="53" t="n">
        <v>0</v>
      </c>
      <c r="G205" s="53" t="n">
        <v>2</v>
      </c>
      <c r="H205" s="54" t="n">
        <v>188.45</v>
      </c>
      <c r="I205" s="53" t="n">
        <f aca="false">IF(B205&gt;=Settings!$B$13,1,0)</f>
        <v>0</v>
      </c>
      <c r="J205" s="53" t="n">
        <v>1</v>
      </c>
      <c r="K205" s="53" t="n">
        <f aca="false">G205*I205*J205</f>
        <v>0</v>
      </c>
      <c r="L205" s="53" t="n">
        <f aca="false">F205*I205*J205</f>
        <v>0</v>
      </c>
      <c r="M205" s="54" t="n">
        <f aca="false">H205*I205*J205</f>
        <v>0</v>
      </c>
      <c r="N205" s="54" t="n">
        <f aca="false">E205*I205*J205</f>
        <v>-0</v>
      </c>
      <c r="O205" s="53" t="n">
        <f aca="false">G205*J205</f>
        <v>2</v>
      </c>
      <c r="P205" s="53" t="n">
        <f aca="false">F205*J205</f>
        <v>0</v>
      </c>
    </row>
    <row r="206" customFormat="false" ht="15" hidden="false" customHeight="false" outlineLevel="0" collapsed="false">
      <c r="A206" s="53" t="s">
        <v>93</v>
      </c>
      <c r="B206" s="53" t="s">
        <v>120</v>
      </c>
      <c r="C206" s="53" t="s">
        <v>316</v>
      </c>
      <c r="D206" s="53" t="s">
        <v>62</v>
      </c>
      <c r="E206" s="54" t="n">
        <v>0</v>
      </c>
      <c r="F206" s="53" t="n">
        <v>0</v>
      </c>
      <c r="G206" s="53" t="n">
        <v>1</v>
      </c>
      <c r="H206" s="54" t="n">
        <v>109.95</v>
      </c>
      <c r="I206" s="53" t="n">
        <f aca="false">IF(B206&gt;=Settings!$B$13,1,0)</f>
        <v>0</v>
      </c>
      <c r="J206" s="53" t="n">
        <v>1</v>
      </c>
      <c r="K206" s="53" t="n">
        <f aca="false">G206*I206*J206</f>
        <v>0</v>
      </c>
      <c r="L206" s="53" t="n">
        <f aca="false">F206*I206*J206</f>
        <v>0</v>
      </c>
      <c r="M206" s="54" t="n">
        <f aca="false">H206*I206*J206</f>
        <v>0</v>
      </c>
      <c r="N206" s="54" t="n">
        <f aca="false">E206*I206*J206</f>
        <v>-0</v>
      </c>
      <c r="O206" s="53" t="n">
        <f aca="false">G206*J206</f>
        <v>1</v>
      </c>
      <c r="P206" s="53" t="n">
        <f aca="false">F206*J206</f>
        <v>0</v>
      </c>
    </row>
    <row r="207" customFormat="false" ht="15" hidden="false" customHeight="false" outlineLevel="0" collapsed="false">
      <c r="A207" s="53" t="s">
        <v>93</v>
      </c>
      <c r="B207" s="53" t="s">
        <v>120</v>
      </c>
      <c r="C207" s="53" t="s">
        <v>154</v>
      </c>
      <c r="D207" s="53" t="s">
        <v>42</v>
      </c>
      <c r="E207" s="54" t="n">
        <v>79.95</v>
      </c>
      <c r="F207" s="53" t="n">
        <v>1</v>
      </c>
      <c r="G207" s="53" t="n">
        <v>14</v>
      </c>
      <c r="H207" s="54" t="n">
        <v>1151.67</v>
      </c>
      <c r="I207" s="53" t="n">
        <f aca="false">IF(B207&gt;=Settings!$B$13,1,0)</f>
        <v>0</v>
      </c>
      <c r="J207" s="53" t="n">
        <v>1</v>
      </c>
      <c r="K207" s="53" t="n">
        <f aca="false">G207*I207*J207</f>
        <v>0</v>
      </c>
      <c r="L207" s="53" t="n">
        <f aca="false">F207*I207*J207</f>
        <v>0</v>
      </c>
      <c r="M207" s="54" t="n">
        <f aca="false">H207*I207*J207</f>
        <v>0</v>
      </c>
      <c r="N207" s="54" t="n">
        <f aca="false">E207*I207*J207</f>
        <v>0</v>
      </c>
      <c r="O207" s="53" t="n">
        <f aca="false">G207*J207</f>
        <v>14</v>
      </c>
      <c r="P207" s="53" t="n">
        <f aca="false">F207*J207</f>
        <v>1</v>
      </c>
    </row>
    <row r="208" customFormat="false" ht="15" hidden="false" customHeight="false" outlineLevel="0" collapsed="false">
      <c r="A208" s="53" t="s">
        <v>93</v>
      </c>
      <c r="B208" s="53" t="s">
        <v>120</v>
      </c>
      <c r="C208" s="53" t="s">
        <v>160</v>
      </c>
      <c r="D208" s="53" t="s">
        <v>58</v>
      </c>
      <c r="E208" s="54" t="n">
        <v>0</v>
      </c>
      <c r="F208" s="53" t="n">
        <v>0</v>
      </c>
      <c r="G208" s="53" t="n">
        <v>1</v>
      </c>
      <c r="H208" s="54" t="n">
        <v>118.14</v>
      </c>
      <c r="I208" s="53" t="n">
        <f aca="false">IF(B208&gt;=Settings!$B$13,1,0)</f>
        <v>0</v>
      </c>
      <c r="J208" s="53" t="n">
        <v>1</v>
      </c>
      <c r="K208" s="53" t="n">
        <f aca="false">G208*I208*J208</f>
        <v>0</v>
      </c>
      <c r="L208" s="53" t="n">
        <f aca="false">F208*I208*J208</f>
        <v>0</v>
      </c>
      <c r="M208" s="54" t="n">
        <f aca="false">H208*I208*J208</f>
        <v>0</v>
      </c>
      <c r="N208" s="54" t="n">
        <f aca="false">E208*I208*J208</f>
        <v>-0</v>
      </c>
      <c r="O208" s="53" t="n">
        <f aca="false">G208*J208</f>
        <v>1</v>
      </c>
      <c r="P208" s="53" t="n">
        <f aca="false">F208*J208</f>
        <v>0</v>
      </c>
    </row>
    <row r="209" customFormat="false" ht="15" hidden="false" customHeight="false" outlineLevel="0" collapsed="false">
      <c r="A209" s="53" t="s">
        <v>93</v>
      </c>
      <c r="B209" s="53" t="s">
        <v>120</v>
      </c>
      <c r="C209" s="53" t="s">
        <v>332</v>
      </c>
      <c r="D209" s="53" t="s">
        <v>46</v>
      </c>
      <c r="E209" s="54" t="n">
        <v>0</v>
      </c>
      <c r="F209" s="53" t="n">
        <v>0</v>
      </c>
      <c r="G209" s="53" t="n">
        <v>10</v>
      </c>
      <c r="H209" s="54" t="n">
        <v>757.96</v>
      </c>
      <c r="I209" s="53" t="n">
        <f aca="false">IF(B209&gt;=Settings!$B$13,1,0)</f>
        <v>0</v>
      </c>
      <c r="J209" s="53" t="n">
        <v>1</v>
      </c>
      <c r="K209" s="53" t="n">
        <f aca="false">G209*I209*J209</f>
        <v>0</v>
      </c>
      <c r="L209" s="53" t="n">
        <f aca="false">F209*I209*J209</f>
        <v>0</v>
      </c>
      <c r="M209" s="54" t="n">
        <f aca="false">H209*I209*J209</f>
        <v>0</v>
      </c>
      <c r="N209" s="54" t="n">
        <f aca="false">E209*I209*J209</f>
        <v>-0</v>
      </c>
      <c r="O209" s="53" t="n">
        <f aca="false">G209*J209</f>
        <v>10</v>
      </c>
      <c r="P209" s="53" t="n">
        <f aca="false">F209*J209</f>
        <v>0</v>
      </c>
    </row>
    <row r="210" customFormat="false" ht="15" hidden="false" customHeight="false" outlineLevel="0" collapsed="false">
      <c r="A210" s="53" t="s">
        <v>89</v>
      </c>
      <c r="B210" s="53" t="s">
        <v>120</v>
      </c>
      <c r="C210" s="53" t="s">
        <v>376</v>
      </c>
      <c r="D210" s="53" t="s">
        <v>62</v>
      </c>
      <c r="E210" s="54" t="n">
        <v>0</v>
      </c>
      <c r="F210" s="53" t="n">
        <v>0</v>
      </c>
      <c r="G210" s="53" t="n">
        <v>1</v>
      </c>
      <c r="H210" s="54" t="n">
        <v>119.95</v>
      </c>
      <c r="I210" s="53" t="n">
        <f aca="false">IF(B210&gt;=Settings!$B$13,1,0)</f>
        <v>0</v>
      </c>
      <c r="J210" s="53" t="n">
        <v>1</v>
      </c>
      <c r="K210" s="53" t="n">
        <f aca="false">G210*I210*J210</f>
        <v>0</v>
      </c>
      <c r="L210" s="53" t="n">
        <f aca="false">F210*I210*J210</f>
        <v>0</v>
      </c>
      <c r="M210" s="54" t="n">
        <f aca="false">H210*I210*J210</f>
        <v>0</v>
      </c>
      <c r="N210" s="54" t="n">
        <f aca="false">E210*I210*J210</f>
        <v>-0</v>
      </c>
      <c r="O210" s="53" t="n">
        <f aca="false">G210*J210</f>
        <v>1</v>
      </c>
      <c r="P210" s="53" t="n">
        <f aca="false">F210*J210</f>
        <v>0</v>
      </c>
    </row>
    <row r="211" customFormat="false" ht="15" hidden="false" customHeight="false" outlineLevel="0" collapsed="false">
      <c r="A211" s="53" t="s">
        <v>89</v>
      </c>
      <c r="B211" s="53" t="s">
        <v>120</v>
      </c>
      <c r="C211" s="53" t="s">
        <v>377</v>
      </c>
      <c r="D211" s="53" t="s">
        <v>66</v>
      </c>
      <c r="E211" s="54" t="n">
        <v>0</v>
      </c>
      <c r="F211" s="53" t="n">
        <v>0</v>
      </c>
      <c r="G211" s="53" t="n">
        <v>2</v>
      </c>
      <c r="H211" s="54" t="n">
        <v>282.2</v>
      </c>
      <c r="I211" s="53" t="n">
        <f aca="false">IF(B211&gt;=Settings!$B$13,1,0)</f>
        <v>0</v>
      </c>
      <c r="J211" s="53" t="n">
        <v>1</v>
      </c>
      <c r="K211" s="53" t="n">
        <f aca="false">G211*I211*J211</f>
        <v>0</v>
      </c>
      <c r="L211" s="53" t="n">
        <f aca="false">F211*I211*J211</f>
        <v>0</v>
      </c>
      <c r="M211" s="54" t="n">
        <f aca="false">H211*I211*J211</f>
        <v>0</v>
      </c>
      <c r="N211" s="54" t="n">
        <f aca="false">E211*I211*J211</f>
        <v>-0</v>
      </c>
      <c r="O211" s="53" t="n">
        <f aca="false">G211*J211</f>
        <v>2</v>
      </c>
      <c r="P211" s="53" t="n">
        <f aca="false">F211*J211</f>
        <v>0</v>
      </c>
    </row>
    <row r="212" customFormat="false" ht="15" hidden="false" customHeight="false" outlineLevel="0" collapsed="false">
      <c r="A212" s="53" t="s">
        <v>93</v>
      </c>
      <c r="B212" s="53" t="s">
        <v>120</v>
      </c>
      <c r="C212" s="53" t="s">
        <v>145</v>
      </c>
      <c r="D212" s="53" t="s">
        <v>62</v>
      </c>
      <c r="E212" s="54" t="n">
        <v>0</v>
      </c>
      <c r="F212" s="53" t="n">
        <v>0</v>
      </c>
      <c r="G212" s="53" t="n">
        <v>1</v>
      </c>
      <c r="H212" s="54" t="n">
        <v>149.95</v>
      </c>
      <c r="I212" s="53" t="n">
        <f aca="false">IF(B212&gt;=Settings!$B$13,1,0)</f>
        <v>0</v>
      </c>
      <c r="J212" s="53" t="n">
        <v>1</v>
      </c>
      <c r="K212" s="53" t="n">
        <f aca="false">G212*I212*J212</f>
        <v>0</v>
      </c>
      <c r="L212" s="53" t="n">
        <f aca="false">F212*I212*J212</f>
        <v>0</v>
      </c>
      <c r="M212" s="54" t="n">
        <f aca="false">H212*I212*J212</f>
        <v>0</v>
      </c>
      <c r="N212" s="54" t="n">
        <f aca="false">E212*I212*J212</f>
        <v>-0</v>
      </c>
      <c r="O212" s="53" t="n">
        <f aca="false">G212*J212</f>
        <v>1</v>
      </c>
      <c r="P212" s="53" t="n">
        <f aca="false">F212*J212</f>
        <v>0</v>
      </c>
    </row>
    <row r="213" customFormat="false" ht="15" hidden="false" customHeight="false" outlineLevel="0" collapsed="false">
      <c r="A213" s="53" t="s">
        <v>89</v>
      </c>
      <c r="B213" s="53" t="s">
        <v>120</v>
      </c>
      <c r="C213" s="53" t="s">
        <v>160</v>
      </c>
      <c r="D213" s="53" t="s">
        <v>58</v>
      </c>
      <c r="E213" s="54" t="n">
        <v>0</v>
      </c>
      <c r="F213" s="53" t="n">
        <v>0</v>
      </c>
      <c r="G213" s="53" t="n">
        <v>4</v>
      </c>
      <c r="H213" s="54" t="n">
        <v>459.8</v>
      </c>
      <c r="I213" s="53" t="n">
        <f aca="false">IF(B213&gt;=Settings!$B$13,1,0)</f>
        <v>0</v>
      </c>
      <c r="J213" s="53" t="n">
        <v>1</v>
      </c>
      <c r="K213" s="53" t="n">
        <f aca="false">G213*I213*J213</f>
        <v>0</v>
      </c>
      <c r="L213" s="53" t="n">
        <f aca="false">F213*I213*J213</f>
        <v>0</v>
      </c>
      <c r="M213" s="54" t="n">
        <f aca="false">H213*I213*J213</f>
        <v>0</v>
      </c>
      <c r="N213" s="54" t="n">
        <f aca="false">E213*I213*J213</f>
        <v>-0</v>
      </c>
      <c r="O213" s="53" t="n">
        <f aca="false">G213*J213</f>
        <v>4</v>
      </c>
      <c r="P213" s="53" t="n">
        <f aca="false">F213*J213</f>
        <v>0</v>
      </c>
    </row>
    <row r="214" customFormat="false" ht="15" hidden="false" customHeight="false" outlineLevel="0" collapsed="false">
      <c r="A214" s="53" t="s">
        <v>89</v>
      </c>
      <c r="B214" s="53" t="s">
        <v>120</v>
      </c>
      <c r="C214" s="53" t="s">
        <v>369</v>
      </c>
      <c r="D214" s="53" t="s">
        <v>54</v>
      </c>
      <c r="E214" s="54" t="n">
        <v>0</v>
      </c>
      <c r="F214" s="53" t="n">
        <v>0</v>
      </c>
      <c r="G214" s="53" t="n">
        <v>1</v>
      </c>
      <c r="H214" s="54" t="n">
        <v>54.95</v>
      </c>
      <c r="I214" s="53" t="n">
        <f aca="false">IF(B214&gt;=Settings!$B$13,1,0)</f>
        <v>0</v>
      </c>
      <c r="J214" s="53" t="n">
        <v>1</v>
      </c>
      <c r="K214" s="53" t="n">
        <f aca="false">G214*I214*J214</f>
        <v>0</v>
      </c>
      <c r="L214" s="53" t="n">
        <f aca="false">F214*I214*J214</f>
        <v>0</v>
      </c>
      <c r="M214" s="54" t="n">
        <f aca="false">H214*I214*J214</f>
        <v>0</v>
      </c>
      <c r="N214" s="54" t="n">
        <f aca="false">E214*I214*J214</f>
        <v>-0</v>
      </c>
      <c r="O214" s="53" t="n">
        <f aca="false">G214*J214</f>
        <v>1</v>
      </c>
      <c r="P214" s="53" t="n">
        <f aca="false">F214*J214</f>
        <v>0</v>
      </c>
    </row>
    <row r="215" customFormat="false" ht="15" hidden="false" customHeight="false" outlineLevel="0" collapsed="false">
      <c r="A215" s="53" t="s">
        <v>89</v>
      </c>
      <c r="B215" s="53" t="s">
        <v>120</v>
      </c>
      <c r="C215" s="53" t="s">
        <v>163</v>
      </c>
      <c r="D215" s="53" t="s">
        <v>50</v>
      </c>
      <c r="E215" s="54" t="n">
        <v>0</v>
      </c>
      <c r="F215" s="53" t="n">
        <v>0</v>
      </c>
      <c r="G215" s="53" t="n">
        <v>1</v>
      </c>
      <c r="H215" s="54" t="n">
        <v>171.8</v>
      </c>
      <c r="I215" s="53" t="n">
        <f aca="false">IF(B215&gt;=Settings!$B$13,1,0)</f>
        <v>0</v>
      </c>
      <c r="J215" s="53" t="n">
        <v>1</v>
      </c>
      <c r="K215" s="53" t="n">
        <f aca="false">G215*I215*J215</f>
        <v>0</v>
      </c>
      <c r="L215" s="53" t="n">
        <f aca="false">F215*I215*J215</f>
        <v>0</v>
      </c>
      <c r="M215" s="54" t="n">
        <f aca="false">H215*I215*J215</f>
        <v>0</v>
      </c>
      <c r="N215" s="54" t="n">
        <f aca="false">E215*I215*J215</f>
        <v>-0</v>
      </c>
      <c r="O215" s="53" t="n">
        <f aca="false">G215*J215</f>
        <v>1</v>
      </c>
      <c r="P215" s="53" t="n">
        <f aca="false">F215*J215</f>
        <v>0</v>
      </c>
    </row>
    <row r="216" customFormat="false" ht="15" hidden="false" customHeight="false" outlineLevel="0" collapsed="false">
      <c r="A216" s="53" t="s">
        <v>93</v>
      </c>
      <c r="B216" s="53" t="s">
        <v>120</v>
      </c>
      <c r="C216" s="53" t="s">
        <v>165</v>
      </c>
      <c r="D216" s="53" t="s">
        <v>42</v>
      </c>
      <c r="E216" s="54" t="n">
        <v>206.05</v>
      </c>
      <c r="F216" s="53" t="n">
        <v>1</v>
      </c>
      <c r="G216" s="53" t="n">
        <v>7</v>
      </c>
      <c r="H216" s="54" t="n">
        <v>1361.1</v>
      </c>
      <c r="I216" s="53" t="n">
        <f aca="false">IF(B216&gt;=Settings!$B$13,1,0)</f>
        <v>0</v>
      </c>
      <c r="J216" s="53" t="n">
        <v>1</v>
      </c>
      <c r="K216" s="53" t="n">
        <f aca="false">G216*I216*J216</f>
        <v>0</v>
      </c>
      <c r="L216" s="53" t="n">
        <f aca="false">F216*I216*J216</f>
        <v>0</v>
      </c>
      <c r="M216" s="54" t="n">
        <f aca="false">H216*I216*J216</f>
        <v>0</v>
      </c>
      <c r="N216" s="54" t="n">
        <f aca="false">E216*I216*J216</f>
        <v>0</v>
      </c>
      <c r="O216" s="53" t="n">
        <f aca="false">G216*J216</f>
        <v>7</v>
      </c>
      <c r="P216" s="53" t="n">
        <f aca="false">F216*J216</f>
        <v>1</v>
      </c>
    </row>
    <row r="217" customFormat="false" ht="15" hidden="false" customHeight="false" outlineLevel="0" collapsed="false">
      <c r="A217" s="53" t="s">
        <v>93</v>
      </c>
      <c r="B217" s="53" t="s">
        <v>120</v>
      </c>
      <c r="C217" s="53" t="s">
        <v>156</v>
      </c>
      <c r="D217" s="53" t="s">
        <v>58</v>
      </c>
      <c r="E217" s="54" t="n">
        <v>0</v>
      </c>
      <c r="F217" s="53" t="n">
        <v>0</v>
      </c>
      <c r="G217" s="53" t="n">
        <v>3</v>
      </c>
      <c r="H217" s="54" t="n">
        <v>253.88</v>
      </c>
      <c r="I217" s="53" t="n">
        <f aca="false">IF(B217&gt;=Settings!$B$13,1,0)</f>
        <v>0</v>
      </c>
      <c r="J217" s="53" t="n">
        <v>1</v>
      </c>
      <c r="K217" s="53" t="n">
        <f aca="false">G217*I217*J217</f>
        <v>0</v>
      </c>
      <c r="L217" s="53" t="n">
        <f aca="false">F217*I217*J217</f>
        <v>0</v>
      </c>
      <c r="M217" s="54" t="n">
        <f aca="false">H217*I217*J217</f>
        <v>0</v>
      </c>
      <c r="N217" s="54" t="n">
        <f aca="false">E217*I217*J217</f>
        <v>-0</v>
      </c>
      <c r="O217" s="53" t="n">
        <f aca="false">G217*J217</f>
        <v>3</v>
      </c>
      <c r="P217" s="53" t="n">
        <f aca="false">F217*J217</f>
        <v>0</v>
      </c>
    </row>
    <row r="218" customFormat="false" ht="15" hidden="false" customHeight="false" outlineLevel="0" collapsed="false">
      <c r="A218" s="53" t="s">
        <v>89</v>
      </c>
      <c r="B218" s="53" t="s">
        <v>120</v>
      </c>
      <c r="C218" s="53" t="s">
        <v>378</v>
      </c>
      <c r="D218" s="53" t="s">
        <v>62</v>
      </c>
      <c r="E218" s="54" t="n">
        <v>0</v>
      </c>
      <c r="F218" s="53" t="n">
        <v>0</v>
      </c>
      <c r="G218" s="53" t="n">
        <v>1</v>
      </c>
      <c r="H218" s="54" t="n">
        <v>93.45</v>
      </c>
      <c r="I218" s="53" t="n">
        <f aca="false">IF(B218&gt;=Settings!$B$13,1,0)</f>
        <v>0</v>
      </c>
      <c r="J218" s="53" t="n">
        <v>1</v>
      </c>
      <c r="K218" s="53" t="n">
        <f aca="false">G218*I218*J218</f>
        <v>0</v>
      </c>
      <c r="L218" s="53" t="n">
        <f aca="false">F218*I218*J218</f>
        <v>0</v>
      </c>
      <c r="M218" s="54" t="n">
        <f aca="false">H218*I218*J218</f>
        <v>0</v>
      </c>
      <c r="N218" s="54" t="n">
        <f aca="false">E218*I218*J218</f>
        <v>-0</v>
      </c>
      <c r="O218" s="53" t="n">
        <f aca="false">G218*J218</f>
        <v>1</v>
      </c>
      <c r="P218" s="53" t="n">
        <f aca="false">F218*J218</f>
        <v>0</v>
      </c>
    </row>
    <row r="219" customFormat="false" ht="15" hidden="false" customHeight="false" outlineLevel="0" collapsed="false">
      <c r="A219" s="53" t="s">
        <v>93</v>
      </c>
      <c r="B219" s="53" t="s">
        <v>120</v>
      </c>
      <c r="C219" s="53" t="s">
        <v>360</v>
      </c>
      <c r="D219" s="53" t="s">
        <v>54</v>
      </c>
      <c r="E219" s="54" t="n">
        <v>0</v>
      </c>
      <c r="F219" s="53" t="n">
        <v>0</v>
      </c>
      <c r="G219" s="53" t="n">
        <v>5</v>
      </c>
      <c r="H219" s="54" t="n">
        <v>476.12</v>
      </c>
      <c r="I219" s="53" t="n">
        <f aca="false">IF(B219&gt;=Settings!$B$13,1,0)</f>
        <v>0</v>
      </c>
      <c r="J219" s="53" t="n">
        <v>1</v>
      </c>
      <c r="K219" s="53" t="n">
        <f aca="false">G219*I219*J219</f>
        <v>0</v>
      </c>
      <c r="L219" s="53" t="n">
        <f aca="false">F219*I219*J219</f>
        <v>0</v>
      </c>
      <c r="M219" s="54" t="n">
        <f aca="false">H219*I219*J219</f>
        <v>0</v>
      </c>
      <c r="N219" s="54" t="n">
        <f aca="false">E219*I219*J219</f>
        <v>-0</v>
      </c>
      <c r="O219" s="53" t="n">
        <f aca="false">G219*J219</f>
        <v>5</v>
      </c>
      <c r="P219" s="53" t="n">
        <f aca="false">F219*J219</f>
        <v>0</v>
      </c>
    </row>
    <row r="220" customFormat="false" ht="15" hidden="false" customHeight="false" outlineLevel="0" collapsed="false">
      <c r="A220" s="53" t="s">
        <v>93</v>
      </c>
      <c r="B220" s="53" t="s">
        <v>120</v>
      </c>
      <c r="C220" s="53" t="s">
        <v>357</v>
      </c>
      <c r="D220" s="53" t="s">
        <v>54</v>
      </c>
      <c r="E220" s="54" t="n">
        <v>0</v>
      </c>
      <c r="F220" s="53" t="n">
        <v>0</v>
      </c>
      <c r="G220" s="53" t="n">
        <v>6</v>
      </c>
      <c r="H220" s="54" t="n">
        <v>591.72</v>
      </c>
      <c r="I220" s="53" t="n">
        <f aca="false">IF(B220&gt;=Settings!$B$13,1,0)</f>
        <v>0</v>
      </c>
      <c r="J220" s="53" t="n">
        <v>1</v>
      </c>
      <c r="K220" s="53" t="n">
        <f aca="false">G220*I220*J220</f>
        <v>0</v>
      </c>
      <c r="L220" s="53" t="n">
        <f aca="false">F220*I220*J220</f>
        <v>0</v>
      </c>
      <c r="M220" s="54" t="n">
        <f aca="false">H220*I220*J220</f>
        <v>0</v>
      </c>
      <c r="N220" s="54" t="n">
        <f aca="false">E220*I220*J220</f>
        <v>-0</v>
      </c>
      <c r="O220" s="53" t="n">
        <f aca="false">G220*J220</f>
        <v>6</v>
      </c>
      <c r="P220" s="53" t="n">
        <f aca="false">F220*J220</f>
        <v>0</v>
      </c>
    </row>
    <row r="221" customFormat="false" ht="15" hidden="false" customHeight="false" outlineLevel="0" collapsed="false">
      <c r="A221" s="53" t="s">
        <v>89</v>
      </c>
      <c r="B221" s="53" t="s">
        <v>120</v>
      </c>
      <c r="C221" s="53" t="s">
        <v>144</v>
      </c>
      <c r="D221" s="53" t="s">
        <v>58</v>
      </c>
      <c r="E221" s="54" t="n">
        <v>0</v>
      </c>
      <c r="F221" s="53" t="n">
        <v>0</v>
      </c>
      <c r="G221" s="53" t="n">
        <v>1</v>
      </c>
      <c r="H221" s="54" t="n">
        <v>125.95</v>
      </c>
      <c r="I221" s="53" t="n">
        <f aca="false">IF(B221&gt;=Settings!$B$13,1,0)</f>
        <v>0</v>
      </c>
      <c r="J221" s="53" t="n">
        <v>1</v>
      </c>
      <c r="K221" s="53" t="n">
        <f aca="false">G221*I221*J221</f>
        <v>0</v>
      </c>
      <c r="L221" s="53" t="n">
        <f aca="false">F221*I221*J221</f>
        <v>0</v>
      </c>
      <c r="M221" s="54" t="n">
        <f aca="false">H221*I221*J221</f>
        <v>0</v>
      </c>
      <c r="N221" s="54" t="n">
        <f aca="false">E221*I221*J221</f>
        <v>-0</v>
      </c>
      <c r="O221" s="53" t="n">
        <f aca="false">G221*J221</f>
        <v>1</v>
      </c>
      <c r="P221" s="53" t="n">
        <f aca="false">F221*J221</f>
        <v>0</v>
      </c>
    </row>
    <row r="222" customFormat="false" ht="15" hidden="false" customHeight="false" outlineLevel="0" collapsed="false">
      <c r="A222" s="53" t="s">
        <v>93</v>
      </c>
      <c r="B222" s="53" t="s">
        <v>120</v>
      </c>
      <c r="C222" s="53" t="s">
        <v>317</v>
      </c>
      <c r="D222" s="53" t="s">
        <v>46</v>
      </c>
      <c r="E222" s="54" t="n">
        <v>0</v>
      </c>
      <c r="F222" s="53" t="n">
        <v>0</v>
      </c>
      <c r="G222" s="53" t="n">
        <v>11</v>
      </c>
      <c r="H222" s="54" t="n">
        <v>1269.1</v>
      </c>
      <c r="I222" s="53" t="n">
        <f aca="false">IF(B222&gt;=Settings!$B$13,1,0)</f>
        <v>0</v>
      </c>
      <c r="J222" s="53" t="n">
        <v>1</v>
      </c>
      <c r="K222" s="53" t="n">
        <f aca="false">G222*I222*J222</f>
        <v>0</v>
      </c>
      <c r="L222" s="53" t="n">
        <f aca="false">F222*I222*J222</f>
        <v>0</v>
      </c>
      <c r="M222" s="54" t="n">
        <f aca="false">H222*I222*J222</f>
        <v>0</v>
      </c>
      <c r="N222" s="54" t="n">
        <f aca="false">E222*I222*J222</f>
        <v>-0</v>
      </c>
      <c r="O222" s="53" t="n">
        <f aca="false">G222*J222</f>
        <v>11</v>
      </c>
      <c r="P222" s="53" t="n">
        <f aca="false">F222*J222</f>
        <v>0</v>
      </c>
    </row>
    <row r="223" customFormat="false" ht="15" hidden="false" customHeight="false" outlineLevel="0" collapsed="false">
      <c r="A223" s="53" t="s">
        <v>93</v>
      </c>
      <c r="B223" s="53" t="s">
        <v>120</v>
      </c>
      <c r="C223" s="53" t="s">
        <v>330</v>
      </c>
      <c r="D223" s="53" t="s">
        <v>46</v>
      </c>
      <c r="E223" s="54" t="n">
        <v>520.75</v>
      </c>
      <c r="F223" s="53" t="n">
        <v>3</v>
      </c>
      <c r="G223" s="53" t="n">
        <v>19</v>
      </c>
      <c r="H223" s="54" t="n">
        <v>2634.85</v>
      </c>
      <c r="I223" s="53" t="n">
        <f aca="false">IF(B223&gt;=Settings!$B$13,1,0)</f>
        <v>0</v>
      </c>
      <c r="J223" s="53" t="n">
        <v>1</v>
      </c>
      <c r="K223" s="53" t="n">
        <f aca="false">G223*I223*J223</f>
        <v>0</v>
      </c>
      <c r="L223" s="53" t="n">
        <f aca="false">F223*I223*J223</f>
        <v>0</v>
      </c>
      <c r="M223" s="54" t="n">
        <f aca="false">H223*I223*J223</f>
        <v>0</v>
      </c>
      <c r="N223" s="54" t="n">
        <f aca="false">E223*I223*J223</f>
        <v>0</v>
      </c>
      <c r="O223" s="53" t="n">
        <f aca="false">G223*J223</f>
        <v>19</v>
      </c>
      <c r="P223" s="53" t="n">
        <f aca="false">F223*J223</f>
        <v>3</v>
      </c>
    </row>
    <row r="224" customFormat="false" ht="15" hidden="false" customHeight="false" outlineLevel="0" collapsed="false">
      <c r="A224" s="53" t="s">
        <v>89</v>
      </c>
      <c r="B224" s="53" t="s">
        <v>120</v>
      </c>
      <c r="C224" s="53" t="s">
        <v>317</v>
      </c>
      <c r="D224" s="53" t="s">
        <v>46</v>
      </c>
      <c r="E224" s="54" t="n">
        <v>0</v>
      </c>
      <c r="F224" s="53" t="n">
        <v>0</v>
      </c>
      <c r="G224" s="53" t="n">
        <v>11</v>
      </c>
      <c r="H224" s="54" t="n">
        <v>1342.214</v>
      </c>
      <c r="I224" s="53" t="n">
        <f aca="false">IF(B224&gt;=Settings!$B$13,1,0)</f>
        <v>0</v>
      </c>
      <c r="J224" s="53" t="n">
        <v>1</v>
      </c>
      <c r="K224" s="53" t="n">
        <f aca="false">G224*I224*J224</f>
        <v>0</v>
      </c>
      <c r="L224" s="53" t="n">
        <f aca="false">F224*I224*J224</f>
        <v>0</v>
      </c>
      <c r="M224" s="54" t="n">
        <f aca="false">H224*I224*J224</f>
        <v>0</v>
      </c>
      <c r="N224" s="54" t="n">
        <f aca="false">E224*I224*J224</f>
        <v>-0</v>
      </c>
      <c r="O224" s="53" t="n">
        <f aca="false">G224*J224</f>
        <v>11</v>
      </c>
      <c r="P224" s="53" t="n">
        <f aca="false">F224*J224</f>
        <v>0</v>
      </c>
    </row>
    <row r="225" customFormat="false" ht="15" hidden="false" customHeight="false" outlineLevel="0" collapsed="false">
      <c r="A225" s="53" t="s">
        <v>89</v>
      </c>
      <c r="B225" s="53" t="s">
        <v>120</v>
      </c>
      <c r="C225" s="53" t="s">
        <v>374</v>
      </c>
      <c r="D225" s="53" t="s">
        <v>66</v>
      </c>
      <c r="E225" s="54" t="n">
        <v>0</v>
      </c>
      <c r="F225" s="53" t="n">
        <v>0</v>
      </c>
      <c r="G225" s="53" t="n">
        <v>3</v>
      </c>
      <c r="H225" s="54" t="n">
        <v>365.85</v>
      </c>
      <c r="I225" s="53" t="n">
        <f aca="false">IF(B225&gt;=Settings!$B$13,1,0)</f>
        <v>0</v>
      </c>
      <c r="J225" s="53" t="n">
        <v>1</v>
      </c>
      <c r="K225" s="53" t="n">
        <f aca="false">G225*I225*J225</f>
        <v>0</v>
      </c>
      <c r="L225" s="53" t="n">
        <f aca="false">F225*I225*J225</f>
        <v>0</v>
      </c>
      <c r="M225" s="54" t="n">
        <f aca="false">H225*I225*J225</f>
        <v>0</v>
      </c>
      <c r="N225" s="54" t="n">
        <f aca="false">E225*I225*J225</f>
        <v>-0</v>
      </c>
      <c r="O225" s="53" t="n">
        <f aca="false">G225*J225</f>
        <v>3</v>
      </c>
      <c r="P225" s="53" t="n">
        <f aca="false">F225*J225</f>
        <v>0</v>
      </c>
    </row>
    <row r="226" customFormat="false" ht="15" hidden="false" customHeight="false" outlineLevel="0" collapsed="false">
      <c r="A226" s="53" t="s">
        <v>89</v>
      </c>
      <c r="B226" s="53" t="s">
        <v>120</v>
      </c>
      <c r="C226" s="53" t="s">
        <v>357</v>
      </c>
      <c r="D226" s="53" t="s">
        <v>54</v>
      </c>
      <c r="E226" s="54" t="n">
        <v>0</v>
      </c>
      <c r="F226" s="53" t="n">
        <v>0</v>
      </c>
      <c r="G226" s="53" t="n">
        <v>2</v>
      </c>
      <c r="H226" s="54" t="n">
        <v>186.46</v>
      </c>
      <c r="I226" s="53" t="n">
        <f aca="false">IF(B226&gt;=Settings!$B$13,1,0)</f>
        <v>0</v>
      </c>
      <c r="J226" s="53" t="n">
        <v>1</v>
      </c>
      <c r="K226" s="53" t="n">
        <f aca="false">G226*I226*J226</f>
        <v>0</v>
      </c>
      <c r="L226" s="53" t="n">
        <f aca="false">F226*I226*J226</f>
        <v>0</v>
      </c>
      <c r="M226" s="54" t="n">
        <f aca="false">H226*I226*J226</f>
        <v>0</v>
      </c>
      <c r="N226" s="54" t="n">
        <f aca="false">E226*I226*J226</f>
        <v>-0</v>
      </c>
      <c r="O226" s="53" t="n">
        <f aca="false">G226*J226</f>
        <v>2</v>
      </c>
      <c r="P226" s="53" t="n">
        <f aca="false">F226*J226</f>
        <v>0</v>
      </c>
    </row>
    <row r="227" customFormat="false" ht="15" hidden="false" customHeight="false" outlineLevel="0" collapsed="false">
      <c r="A227" s="53" t="s">
        <v>93</v>
      </c>
      <c r="B227" s="53" t="s">
        <v>120</v>
      </c>
      <c r="C227" s="53" t="s">
        <v>162</v>
      </c>
      <c r="D227" s="53" t="s">
        <v>42</v>
      </c>
      <c r="E227" s="54" t="n">
        <v>309.96</v>
      </c>
      <c r="F227" s="53" t="n">
        <v>2</v>
      </c>
      <c r="G227" s="53" t="n">
        <v>19</v>
      </c>
      <c r="H227" s="54" t="n">
        <v>2697.5</v>
      </c>
      <c r="I227" s="53" t="n">
        <f aca="false">IF(B227&gt;=Settings!$B$13,1,0)</f>
        <v>0</v>
      </c>
      <c r="J227" s="53" t="n">
        <v>1</v>
      </c>
      <c r="K227" s="53" t="n">
        <f aca="false">G227*I227*J227</f>
        <v>0</v>
      </c>
      <c r="L227" s="53" t="n">
        <f aca="false">F227*I227*J227</f>
        <v>0</v>
      </c>
      <c r="M227" s="54" t="n">
        <f aca="false">H227*I227*J227</f>
        <v>0</v>
      </c>
      <c r="N227" s="54" t="n">
        <f aca="false">E227*I227*J227</f>
        <v>0</v>
      </c>
      <c r="O227" s="53" t="n">
        <f aca="false">G227*J227</f>
        <v>19</v>
      </c>
      <c r="P227" s="53" t="n">
        <f aca="false">F227*J227</f>
        <v>2</v>
      </c>
    </row>
    <row r="228" customFormat="false" ht="15" hidden="false" customHeight="false" outlineLevel="0" collapsed="false">
      <c r="A228" s="53" t="s">
        <v>89</v>
      </c>
      <c r="B228" s="53" t="s">
        <v>120</v>
      </c>
      <c r="C228" s="53" t="s">
        <v>328</v>
      </c>
      <c r="D228" s="53" t="s">
        <v>50</v>
      </c>
      <c r="E228" s="54" t="n">
        <v>0</v>
      </c>
      <c r="F228" s="53" t="n">
        <v>0</v>
      </c>
      <c r="G228" s="53" t="n">
        <v>13</v>
      </c>
      <c r="H228" s="54" t="n">
        <v>1399.06</v>
      </c>
      <c r="I228" s="53" t="n">
        <f aca="false">IF(B228&gt;=Settings!$B$13,1,0)</f>
        <v>0</v>
      </c>
      <c r="J228" s="53" t="n">
        <v>1</v>
      </c>
      <c r="K228" s="53" t="n">
        <f aca="false">G228*I228*J228</f>
        <v>0</v>
      </c>
      <c r="L228" s="53" t="n">
        <f aca="false">F228*I228*J228</f>
        <v>0</v>
      </c>
      <c r="M228" s="54" t="n">
        <f aca="false">H228*I228*J228</f>
        <v>0</v>
      </c>
      <c r="N228" s="54" t="n">
        <f aca="false">E228*I228*J228</f>
        <v>-0</v>
      </c>
      <c r="O228" s="53" t="n">
        <f aca="false">G228*J228</f>
        <v>13</v>
      </c>
      <c r="P228" s="53" t="n">
        <f aca="false">F228*J228</f>
        <v>0</v>
      </c>
    </row>
    <row r="229" customFormat="false" ht="15" hidden="false" customHeight="false" outlineLevel="0" collapsed="false">
      <c r="A229" s="53" t="s">
        <v>93</v>
      </c>
      <c r="B229" s="53" t="s">
        <v>120</v>
      </c>
      <c r="C229" s="53" t="s">
        <v>333</v>
      </c>
      <c r="D229" s="53" t="s">
        <v>54</v>
      </c>
      <c r="E229" s="54" t="n">
        <v>0</v>
      </c>
      <c r="F229" s="53" t="n">
        <v>0</v>
      </c>
      <c r="G229" s="53" t="n">
        <v>9</v>
      </c>
      <c r="H229" s="54" t="n">
        <v>633.69</v>
      </c>
      <c r="I229" s="53" t="n">
        <f aca="false">IF(B229&gt;=Settings!$B$13,1,0)</f>
        <v>0</v>
      </c>
      <c r="J229" s="53" t="n">
        <v>1</v>
      </c>
      <c r="K229" s="53" t="n">
        <f aca="false">G229*I229*J229</f>
        <v>0</v>
      </c>
      <c r="L229" s="53" t="n">
        <f aca="false">F229*I229*J229</f>
        <v>0</v>
      </c>
      <c r="M229" s="54" t="n">
        <f aca="false">H229*I229*J229</f>
        <v>0</v>
      </c>
      <c r="N229" s="54" t="n">
        <f aca="false">E229*I229*J229</f>
        <v>-0</v>
      </c>
      <c r="O229" s="53" t="n">
        <f aca="false">G229*J229</f>
        <v>9</v>
      </c>
      <c r="P229" s="53" t="n">
        <f aca="false">F229*J229</f>
        <v>0</v>
      </c>
    </row>
    <row r="230" customFormat="false" ht="15" hidden="false" customHeight="false" outlineLevel="0" collapsed="false">
      <c r="A230" s="53" t="s">
        <v>89</v>
      </c>
      <c r="B230" s="53" t="s">
        <v>120</v>
      </c>
      <c r="C230" s="53" t="s">
        <v>344</v>
      </c>
      <c r="D230" s="53" t="s">
        <v>50</v>
      </c>
      <c r="E230" s="54" t="n">
        <v>0</v>
      </c>
      <c r="F230" s="53" t="n">
        <v>0</v>
      </c>
      <c r="G230" s="53" t="n">
        <v>4</v>
      </c>
      <c r="H230" s="54" t="n">
        <v>520.28</v>
      </c>
      <c r="I230" s="53" t="n">
        <f aca="false">IF(B230&gt;=Settings!$B$13,1,0)</f>
        <v>0</v>
      </c>
      <c r="J230" s="53" t="n">
        <v>1</v>
      </c>
      <c r="K230" s="53" t="n">
        <f aca="false">G230*I230*J230</f>
        <v>0</v>
      </c>
      <c r="L230" s="53" t="n">
        <f aca="false">F230*I230*J230</f>
        <v>0</v>
      </c>
      <c r="M230" s="54" t="n">
        <f aca="false">H230*I230*J230</f>
        <v>0</v>
      </c>
      <c r="N230" s="54" t="n">
        <f aca="false">E230*I230*J230</f>
        <v>-0</v>
      </c>
      <c r="O230" s="53" t="n">
        <f aca="false">G230*J230</f>
        <v>4</v>
      </c>
      <c r="P230" s="53" t="n">
        <f aca="false">F230*J230</f>
        <v>0</v>
      </c>
    </row>
    <row r="231" customFormat="false" ht="15" hidden="false" customHeight="false" outlineLevel="0" collapsed="false">
      <c r="A231" s="53" t="s">
        <v>89</v>
      </c>
      <c r="B231" s="53" t="s">
        <v>120</v>
      </c>
      <c r="C231" s="53" t="s">
        <v>360</v>
      </c>
      <c r="D231" s="53" t="s">
        <v>54</v>
      </c>
      <c r="E231" s="54" t="n">
        <v>0</v>
      </c>
      <c r="F231" s="53" t="n">
        <v>0</v>
      </c>
      <c r="G231" s="53" t="n">
        <v>5</v>
      </c>
      <c r="H231" s="54" t="n">
        <v>544.37</v>
      </c>
      <c r="I231" s="53" t="n">
        <f aca="false">IF(B231&gt;=Settings!$B$13,1,0)</f>
        <v>0</v>
      </c>
      <c r="J231" s="53" t="n">
        <v>1</v>
      </c>
      <c r="K231" s="53" t="n">
        <f aca="false">G231*I231*J231</f>
        <v>0</v>
      </c>
      <c r="L231" s="53" t="n">
        <f aca="false">F231*I231*J231</f>
        <v>0</v>
      </c>
      <c r="M231" s="54" t="n">
        <f aca="false">H231*I231*J231</f>
        <v>0</v>
      </c>
      <c r="N231" s="54" t="n">
        <f aca="false">E231*I231*J231</f>
        <v>-0</v>
      </c>
      <c r="O231" s="53" t="n">
        <f aca="false">G231*J231</f>
        <v>5</v>
      </c>
      <c r="P231" s="53" t="n">
        <f aca="false">F231*J231</f>
        <v>0</v>
      </c>
    </row>
    <row r="232" customFormat="false" ht="15" hidden="false" customHeight="false" outlineLevel="0" collapsed="false">
      <c r="A232" s="53" t="s">
        <v>89</v>
      </c>
      <c r="B232" s="53" t="s">
        <v>120</v>
      </c>
      <c r="C232" s="53" t="s">
        <v>332</v>
      </c>
      <c r="D232" s="53" t="s">
        <v>46</v>
      </c>
      <c r="E232" s="54" t="n">
        <v>0</v>
      </c>
      <c r="F232" s="53" t="n">
        <v>0</v>
      </c>
      <c r="G232" s="53" t="n">
        <v>31</v>
      </c>
      <c r="H232" s="54" t="n">
        <v>2725.915</v>
      </c>
      <c r="I232" s="53" t="n">
        <f aca="false">IF(B232&gt;=Settings!$B$13,1,0)</f>
        <v>0</v>
      </c>
      <c r="J232" s="53" t="n">
        <v>1</v>
      </c>
      <c r="K232" s="53" t="n">
        <f aca="false">G232*I232*J232</f>
        <v>0</v>
      </c>
      <c r="L232" s="53" t="n">
        <f aca="false">F232*I232*J232</f>
        <v>0</v>
      </c>
      <c r="M232" s="54" t="n">
        <f aca="false">H232*I232*J232</f>
        <v>0</v>
      </c>
      <c r="N232" s="54" t="n">
        <f aca="false">E232*I232*J232</f>
        <v>-0</v>
      </c>
      <c r="O232" s="53" t="n">
        <f aca="false">G232*J232</f>
        <v>31</v>
      </c>
      <c r="P232" s="53" t="n">
        <f aca="false">F232*J232</f>
        <v>0</v>
      </c>
    </row>
    <row r="233" customFormat="false" ht="15" hidden="false" customHeight="false" outlineLevel="0" collapsed="false">
      <c r="A233" s="53" t="s">
        <v>89</v>
      </c>
      <c r="B233" s="53" t="s">
        <v>120</v>
      </c>
      <c r="C233" s="53" t="s">
        <v>142</v>
      </c>
      <c r="D233" s="53" t="s">
        <v>66</v>
      </c>
      <c r="E233" s="54" t="n">
        <v>0</v>
      </c>
      <c r="F233" s="53" t="n">
        <v>0</v>
      </c>
      <c r="G233" s="53" t="n">
        <v>2</v>
      </c>
      <c r="H233" s="54" t="n">
        <v>173.9</v>
      </c>
      <c r="I233" s="53" t="n">
        <f aca="false">IF(B233&gt;=Settings!$B$13,1,0)</f>
        <v>0</v>
      </c>
      <c r="J233" s="53" t="n">
        <v>1</v>
      </c>
      <c r="K233" s="53" t="n">
        <f aca="false">G233*I233*J233</f>
        <v>0</v>
      </c>
      <c r="L233" s="53" t="n">
        <f aca="false">F233*I233*J233</f>
        <v>0</v>
      </c>
      <c r="M233" s="54" t="n">
        <f aca="false">H233*I233*J233</f>
        <v>0</v>
      </c>
      <c r="N233" s="54" t="n">
        <f aca="false">E233*I233*J233</f>
        <v>-0</v>
      </c>
      <c r="O233" s="53" t="n">
        <f aca="false">G233*J233</f>
        <v>2</v>
      </c>
      <c r="P233" s="53" t="n">
        <f aca="false">F233*J233</f>
        <v>0</v>
      </c>
    </row>
    <row r="234" customFormat="false" ht="15" hidden="false" customHeight="false" outlineLevel="0" collapsed="false">
      <c r="A234" s="53" t="s">
        <v>89</v>
      </c>
      <c r="B234" s="53" t="s">
        <v>120</v>
      </c>
      <c r="C234" s="53" t="s">
        <v>156</v>
      </c>
      <c r="D234" s="53" t="s">
        <v>58</v>
      </c>
      <c r="E234" s="54" t="n">
        <v>0</v>
      </c>
      <c r="F234" s="53" t="n">
        <v>0</v>
      </c>
      <c r="G234" s="53" t="n">
        <v>81</v>
      </c>
      <c r="H234" s="54" t="n">
        <v>6954.614</v>
      </c>
      <c r="I234" s="53" t="n">
        <f aca="false">IF(B234&gt;=Settings!$B$13,1,0)</f>
        <v>0</v>
      </c>
      <c r="J234" s="53" t="n">
        <v>1</v>
      </c>
      <c r="K234" s="53" t="n">
        <f aca="false">G234*I234*J234</f>
        <v>0</v>
      </c>
      <c r="L234" s="53" t="n">
        <f aca="false">F234*I234*J234</f>
        <v>0</v>
      </c>
      <c r="M234" s="54" t="n">
        <f aca="false">H234*I234*J234</f>
        <v>0</v>
      </c>
      <c r="N234" s="54" t="n">
        <f aca="false">E234*I234*J234</f>
        <v>-0</v>
      </c>
      <c r="O234" s="53" t="n">
        <f aca="false">G234*J234</f>
        <v>81</v>
      </c>
      <c r="P234" s="53" t="n">
        <f aca="false">F234*J234</f>
        <v>0</v>
      </c>
    </row>
    <row r="235" customFormat="false" ht="15" hidden="false" customHeight="false" outlineLevel="0" collapsed="false">
      <c r="A235" s="53" t="s">
        <v>89</v>
      </c>
      <c r="B235" s="53" t="s">
        <v>120</v>
      </c>
      <c r="C235" s="53" t="s">
        <v>323</v>
      </c>
      <c r="D235" s="53" t="s">
        <v>62</v>
      </c>
      <c r="E235" s="54" t="n">
        <v>0</v>
      </c>
      <c r="F235" s="53" t="n">
        <v>0</v>
      </c>
      <c r="G235" s="53" t="n">
        <v>1</v>
      </c>
      <c r="H235" s="54" t="n">
        <v>139.95</v>
      </c>
      <c r="I235" s="53" t="n">
        <f aca="false">IF(B235&gt;=Settings!$B$13,1,0)</f>
        <v>0</v>
      </c>
      <c r="J235" s="53" t="n">
        <v>1</v>
      </c>
      <c r="K235" s="53" t="n">
        <f aca="false">G235*I235*J235</f>
        <v>0</v>
      </c>
      <c r="L235" s="53" t="n">
        <f aca="false">F235*I235*J235</f>
        <v>0</v>
      </c>
      <c r="M235" s="54" t="n">
        <f aca="false">H235*I235*J235</f>
        <v>0</v>
      </c>
      <c r="N235" s="54" t="n">
        <f aca="false">E235*I235*J235</f>
        <v>-0</v>
      </c>
      <c r="O235" s="53" t="n">
        <f aca="false">G235*J235</f>
        <v>1</v>
      </c>
      <c r="P235" s="53" t="n">
        <f aca="false">F235*J235</f>
        <v>0</v>
      </c>
    </row>
    <row r="236" customFormat="false" ht="15" hidden="false" customHeight="false" outlineLevel="0" collapsed="false">
      <c r="A236" s="53" t="s">
        <v>89</v>
      </c>
      <c r="B236" s="53" t="s">
        <v>120</v>
      </c>
      <c r="C236" s="53" t="s">
        <v>347</v>
      </c>
      <c r="D236" s="53" t="s">
        <v>62</v>
      </c>
      <c r="E236" s="54" t="n">
        <v>0</v>
      </c>
      <c r="F236" s="53" t="n">
        <v>0</v>
      </c>
      <c r="G236" s="53" t="n">
        <v>22</v>
      </c>
      <c r="H236" s="54" t="n">
        <v>1974.964</v>
      </c>
      <c r="I236" s="53" t="n">
        <f aca="false">IF(B236&gt;=Settings!$B$13,1,0)</f>
        <v>0</v>
      </c>
      <c r="J236" s="53" t="n">
        <v>1</v>
      </c>
      <c r="K236" s="53" t="n">
        <f aca="false">G236*I236*J236</f>
        <v>0</v>
      </c>
      <c r="L236" s="53" t="n">
        <f aca="false">F236*I236*J236</f>
        <v>0</v>
      </c>
      <c r="M236" s="54" t="n">
        <f aca="false">H236*I236*J236</f>
        <v>0</v>
      </c>
      <c r="N236" s="54" t="n">
        <f aca="false">E236*I236*J236</f>
        <v>-0</v>
      </c>
      <c r="O236" s="53" t="n">
        <f aca="false">G236*J236</f>
        <v>22</v>
      </c>
      <c r="P236" s="53" t="n">
        <f aca="false">F236*J236</f>
        <v>0</v>
      </c>
    </row>
    <row r="237" customFormat="false" ht="15" hidden="false" customHeight="false" outlineLevel="0" collapsed="false">
      <c r="A237" s="53" t="s">
        <v>89</v>
      </c>
      <c r="B237" s="53" t="s">
        <v>120</v>
      </c>
      <c r="C237" s="53" t="s">
        <v>158</v>
      </c>
      <c r="D237" s="53" t="s">
        <v>42</v>
      </c>
      <c r="E237" s="54" t="n">
        <v>0</v>
      </c>
      <c r="F237" s="53" t="n">
        <v>0</v>
      </c>
      <c r="G237" s="53" t="n">
        <v>45</v>
      </c>
      <c r="H237" s="54" t="n">
        <v>5452.73</v>
      </c>
      <c r="I237" s="53" t="n">
        <f aca="false">IF(B237&gt;=Settings!$B$13,1,0)</f>
        <v>0</v>
      </c>
      <c r="J237" s="53" t="n">
        <v>1</v>
      </c>
      <c r="K237" s="53" t="n">
        <f aca="false">G237*I237*J237</f>
        <v>0</v>
      </c>
      <c r="L237" s="53" t="n">
        <f aca="false">F237*I237*J237</f>
        <v>0</v>
      </c>
      <c r="M237" s="54" t="n">
        <f aca="false">H237*I237*J237</f>
        <v>0</v>
      </c>
      <c r="N237" s="54" t="n">
        <f aca="false">E237*I237*J237</f>
        <v>-0</v>
      </c>
      <c r="O237" s="53" t="n">
        <f aca="false">G237*J237</f>
        <v>45</v>
      </c>
      <c r="P237" s="53" t="n">
        <f aca="false">F237*J237</f>
        <v>0</v>
      </c>
    </row>
    <row r="238" customFormat="false" ht="15" hidden="false" customHeight="false" outlineLevel="0" collapsed="false">
      <c r="A238" s="53" t="s">
        <v>89</v>
      </c>
      <c r="B238" s="53" t="s">
        <v>120</v>
      </c>
      <c r="C238" s="53" t="s">
        <v>338</v>
      </c>
      <c r="D238" s="53" t="s">
        <v>50</v>
      </c>
      <c r="E238" s="54" t="n">
        <v>0</v>
      </c>
      <c r="F238" s="53" t="n">
        <v>0</v>
      </c>
      <c r="G238" s="53" t="n">
        <v>1</v>
      </c>
      <c r="H238" s="54" t="n">
        <v>108.35</v>
      </c>
      <c r="I238" s="53" t="n">
        <f aca="false">IF(B238&gt;=Settings!$B$13,1,0)</f>
        <v>0</v>
      </c>
      <c r="J238" s="53" t="n">
        <v>1</v>
      </c>
      <c r="K238" s="53" t="n">
        <f aca="false">G238*I238*J238</f>
        <v>0</v>
      </c>
      <c r="L238" s="53" t="n">
        <f aca="false">F238*I238*J238</f>
        <v>0</v>
      </c>
      <c r="M238" s="54" t="n">
        <f aca="false">H238*I238*J238</f>
        <v>0</v>
      </c>
      <c r="N238" s="54" t="n">
        <f aca="false">E238*I238*J238</f>
        <v>-0</v>
      </c>
      <c r="O238" s="53" t="n">
        <f aca="false">G238*J238</f>
        <v>1</v>
      </c>
      <c r="P238" s="53" t="n">
        <f aca="false">F238*J238</f>
        <v>0</v>
      </c>
    </row>
    <row r="239" customFormat="false" ht="15" hidden="false" customHeight="false" outlineLevel="0" collapsed="false">
      <c r="A239" s="53" t="s">
        <v>93</v>
      </c>
      <c r="B239" s="53" t="s">
        <v>120</v>
      </c>
      <c r="C239" s="53" t="s">
        <v>347</v>
      </c>
      <c r="D239" s="53" t="s">
        <v>62</v>
      </c>
      <c r="E239" s="54" t="n">
        <v>0</v>
      </c>
      <c r="F239" s="53" t="n">
        <v>0</v>
      </c>
      <c r="G239" s="53" t="n">
        <v>1</v>
      </c>
      <c r="H239" s="54" t="n">
        <v>72.68</v>
      </c>
      <c r="I239" s="53" t="n">
        <f aca="false">IF(B239&gt;=Settings!$B$13,1,0)</f>
        <v>0</v>
      </c>
      <c r="J239" s="53" t="n">
        <v>1</v>
      </c>
      <c r="K239" s="53" t="n">
        <f aca="false">G239*I239*J239</f>
        <v>0</v>
      </c>
      <c r="L239" s="53" t="n">
        <f aca="false">F239*I239*J239</f>
        <v>0</v>
      </c>
      <c r="M239" s="54" t="n">
        <f aca="false">H239*I239*J239</f>
        <v>0</v>
      </c>
      <c r="N239" s="54" t="n">
        <f aca="false">E239*I239*J239</f>
        <v>-0</v>
      </c>
      <c r="O239" s="53" t="n">
        <f aca="false">G239*J239</f>
        <v>1</v>
      </c>
      <c r="P239" s="53" t="n">
        <f aca="false">F239*J239</f>
        <v>0</v>
      </c>
    </row>
    <row r="240" customFormat="false" ht="15" hidden="false" customHeight="false" outlineLevel="0" collapsed="false">
      <c r="A240" s="53" t="s">
        <v>89</v>
      </c>
      <c r="B240" s="53" t="s">
        <v>120</v>
      </c>
      <c r="C240" s="53" t="s">
        <v>333</v>
      </c>
      <c r="D240" s="53" t="s">
        <v>54</v>
      </c>
      <c r="E240" s="54" t="n">
        <v>0</v>
      </c>
      <c r="F240" s="53" t="n">
        <v>0</v>
      </c>
      <c r="G240" s="53" t="n">
        <v>13</v>
      </c>
      <c r="H240" s="54" t="n">
        <v>1079.68</v>
      </c>
      <c r="I240" s="53" t="n">
        <f aca="false">IF(B240&gt;=Settings!$B$13,1,0)</f>
        <v>0</v>
      </c>
      <c r="J240" s="53" t="n">
        <v>1</v>
      </c>
      <c r="K240" s="53" t="n">
        <f aca="false">G240*I240*J240</f>
        <v>0</v>
      </c>
      <c r="L240" s="53" t="n">
        <f aca="false">F240*I240*J240</f>
        <v>0</v>
      </c>
      <c r="M240" s="54" t="n">
        <f aca="false">H240*I240*J240</f>
        <v>0</v>
      </c>
      <c r="N240" s="54" t="n">
        <f aca="false">E240*I240*J240</f>
        <v>-0</v>
      </c>
      <c r="O240" s="53" t="n">
        <f aca="false">G240*J240</f>
        <v>13</v>
      </c>
      <c r="P240" s="53" t="n">
        <f aca="false">F240*J240</f>
        <v>0</v>
      </c>
    </row>
    <row r="241" customFormat="false" ht="15" hidden="false" customHeight="false" outlineLevel="0" collapsed="false">
      <c r="A241" s="53" t="s">
        <v>89</v>
      </c>
      <c r="B241" s="53" t="s">
        <v>120</v>
      </c>
      <c r="C241" s="53" t="s">
        <v>155</v>
      </c>
      <c r="D241" s="53" t="s">
        <v>50</v>
      </c>
      <c r="E241" s="54" t="n">
        <v>0</v>
      </c>
      <c r="F241" s="53" t="n">
        <v>0</v>
      </c>
      <c r="G241" s="53" t="n">
        <v>21</v>
      </c>
      <c r="H241" s="54" t="n">
        <v>1817.13</v>
      </c>
      <c r="I241" s="53" t="n">
        <f aca="false">IF(B241&gt;=Settings!$B$13,1,0)</f>
        <v>0</v>
      </c>
      <c r="J241" s="53" t="n">
        <v>1</v>
      </c>
      <c r="K241" s="53" t="n">
        <f aca="false">G241*I241*J241</f>
        <v>0</v>
      </c>
      <c r="L241" s="53" t="n">
        <f aca="false">F241*I241*J241</f>
        <v>0</v>
      </c>
      <c r="M241" s="54" t="n">
        <f aca="false">H241*I241*J241</f>
        <v>0</v>
      </c>
      <c r="N241" s="54" t="n">
        <f aca="false">E241*I241*J241</f>
        <v>-0</v>
      </c>
      <c r="O241" s="53" t="n">
        <f aca="false">G241*J241</f>
        <v>21</v>
      </c>
      <c r="P241" s="53" t="n">
        <f aca="false">F241*J241</f>
        <v>0</v>
      </c>
    </row>
    <row r="242" customFormat="false" ht="15" hidden="false" customHeight="false" outlineLevel="0" collapsed="false">
      <c r="A242" s="53" t="s">
        <v>93</v>
      </c>
      <c r="B242" s="53" t="s">
        <v>120</v>
      </c>
      <c r="C242" s="53" t="s">
        <v>144</v>
      </c>
      <c r="D242" s="53" t="s">
        <v>58</v>
      </c>
      <c r="E242" s="54" t="n">
        <v>0</v>
      </c>
      <c r="F242" s="53" t="n">
        <v>0</v>
      </c>
      <c r="G242" s="53" t="n">
        <v>3</v>
      </c>
      <c r="H242" s="54" t="n">
        <v>389.13</v>
      </c>
      <c r="I242" s="53" t="n">
        <f aca="false">IF(B242&gt;=Settings!$B$13,1,0)</f>
        <v>0</v>
      </c>
      <c r="J242" s="53" t="n">
        <v>1</v>
      </c>
      <c r="K242" s="53" t="n">
        <f aca="false">G242*I242*J242</f>
        <v>0</v>
      </c>
      <c r="L242" s="53" t="n">
        <f aca="false">F242*I242*J242</f>
        <v>0</v>
      </c>
      <c r="M242" s="54" t="n">
        <f aca="false">H242*I242*J242</f>
        <v>0</v>
      </c>
      <c r="N242" s="54" t="n">
        <f aca="false">E242*I242*J242</f>
        <v>-0</v>
      </c>
      <c r="O242" s="53" t="n">
        <f aca="false">G242*J242</f>
        <v>3</v>
      </c>
      <c r="P242" s="53" t="n">
        <f aca="false">F242*J242</f>
        <v>0</v>
      </c>
    </row>
    <row r="243" customFormat="false" ht="15" hidden="false" customHeight="false" outlineLevel="0" collapsed="false">
      <c r="A243" s="53" t="s">
        <v>93</v>
      </c>
      <c r="B243" s="53" t="s">
        <v>120</v>
      </c>
      <c r="C243" s="53" t="s">
        <v>323</v>
      </c>
      <c r="D243" s="53" t="s">
        <v>62</v>
      </c>
      <c r="E243" s="54" t="n">
        <v>0</v>
      </c>
      <c r="F243" s="53" t="n">
        <v>0</v>
      </c>
      <c r="G243" s="53" t="n">
        <v>4</v>
      </c>
      <c r="H243" s="54" t="n">
        <v>560.71</v>
      </c>
      <c r="I243" s="53" t="n">
        <f aca="false">IF(B243&gt;=Settings!$B$13,1,0)</f>
        <v>0</v>
      </c>
      <c r="J243" s="53" t="n">
        <v>1</v>
      </c>
      <c r="K243" s="53" t="n">
        <f aca="false">G243*I243*J243</f>
        <v>0</v>
      </c>
      <c r="L243" s="53" t="n">
        <f aca="false">F243*I243*J243</f>
        <v>0</v>
      </c>
      <c r="M243" s="54" t="n">
        <f aca="false">H243*I243*J243</f>
        <v>0</v>
      </c>
      <c r="N243" s="54" t="n">
        <f aca="false">E243*I243*J243</f>
        <v>-0</v>
      </c>
      <c r="O243" s="53" t="n">
        <f aca="false">G243*J243</f>
        <v>4</v>
      </c>
      <c r="P243" s="53" t="n">
        <f aca="false">F243*J243</f>
        <v>0</v>
      </c>
    </row>
    <row r="244" customFormat="false" ht="15" hidden="false" customHeight="false" outlineLevel="0" collapsed="false">
      <c r="A244" s="53" t="s">
        <v>93</v>
      </c>
      <c r="B244" s="53" t="s">
        <v>120</v>
      </c>
      <c r="C244" s="53" t="s">
        <v>322</v>
      </c>
      <c r="D244" s="53" t="s">
        <v>54</v>
      </c>
      <c r="E244" s="54" t="n">
        <v>0</v>
      </c>
      <c r="F244" s="53" t="n">
        <v>0</v>
      </c>
      <c r="G244" s="53" t="n">
        <v>7</v>
      </c>
      <c r="H244" s="54" t="n">
        <v>369.65</v>
      </c>
      <c r="I244" s="53" t="n">
        <f aca="false">IF(B244&gt;=Settings!$B$13,1,0)</f>
        <v>0</v>
      </c>
      <c r="J244" s="53" t="n">
        <v>1</v>
      </c>
      <c r="K244" s="53" t="n">
        <f aca="false">G244*I244*J244</f>
        <v>0</v>
      </c>
      <c r="L244" s="53" t="n">
        <f aca="false">F244*I244*J244</f>
        <v>0</v>
      </c>
      <c r="M244" s="54" t="n">
        <f aca="false">H244*I244*J244</f>
        <v>0</v>
      </c>
      <c r="N244" s="54" t="n">
        <f aca="false">E244*I244*J244</f>
        <v>-0</v>
      </c>
      <c r="O244" s="53" t="n">
        <f aca="false">G244*J244</f>
        <v>7</v>
      </c>
      <c r="P244" s="53" t="n">
        <f aca="false">F244*J244</f>
        <v>0</v>
      </c>
    </row>
    <row r="245" customFormat="false" ht="15" hidden="false" customHeight="false" outlineLevel="0" collapsed="false">
      <c r="A245" s="53" t="s">
        <v>89</v>
      </c>
      <c r="B245" s="53" t="s">
        <v>120</v>
      </c>
      <c r="C245" s="53" t="s">
        <v>165</v>
      </c>
      <c r="D245" s="53" t="s">
        <v>42</v>
      </c>
      <c r="E245" s="54" t="n">
        <v>0</v>
      </c>
      <c r="F245" s="53" t="n">
        <v>0</v>
      </c>
      <c r="G245" s="53" t="n">
        <v>20</v>
      </c>
      <c r="H245" s="54" t="n">
        <v>3750.355</v>
      </c>
      <c r="I245" s="53" t="n">
        <f aca="false">IF(B245&gt;=Settings!$B$13,1,0)</f>
        <v>0</v>
      </c>
      <c r="J245" s="53" t="n">
        <v>1</v>
      </c>
      <c r="K245" s="53" t="n">
        <f aca="false">G245*I245*J245</f>
        <v>0</v>
      </c>
      <c r="L245" s="53" t="n">
        <f aca="false">F245*I245*J245</f>
        <v>0</v>
      </c>
      <c r="M245" s="54" t="n">
        <f aca="false">H245*I245*J245</f>
        <v>0</v>
      </c>
      <c r="N245" s="54" t="n">
        <f aca="false">E245*I245*J245</f>
        <v>-0</v>
      </c>
      <c r="O245" s="53" t="n">
        <f aca="false">G245*J245</f>
        <v>20</v>
      </c>
      <c r="P245" s="53" t="n">
        <f aca="false">F245*J245</f>
        <v>0</v>
      </c>
    </row>
    <row r="246" customFormat="false" ht="15" hidden="false" customHeight="false" outlineLevel="0" collapsed="false">
      <c r="A246" s="53" t="s">
        <v>89</v>
      </c>
      <c r="B246" s="53" t="s">
        <v>120</v>
      </c>
      <c r="C246" s="53" t="s">
        <v>166</v>
      </c>
      <c r="D246" s="53" t="s">
        <v>50</v>
      </c>
      <c r="E246" s="54" t="n">
        <v>0</v>
      </c>
      <c r="F246" s="53" t="n">
        <v>0</v>
      </c>
      <c r="G246" s="53" t="n">
        <v>7</v>
      </c>
      <c r="H246" s="54" t="n">
        <v>1290.915</v>
      </c>
      <c r="I246" s="53" t="n">
        <f aca="false">IF(B246&gt;=Settings!$B$13,1,0)</f>
        <v>0</v>
      </c>
      <c r="J246" s="53" t="n">
        <v>1</v>
      </c>
      <c r="K246" s="53" t="n">
        <f aca="false">G246*I246*J246</f>
        <v>0</v>
      </c>
      <c r="L246" s="53" t="n">
        <f aca="false">F246*I246*J246</f>
        <v>0</v>
      </c>
      <c r="M246" s="54" t="n">
        <f aca="false">H246*I246*J246</f>
        <v>0</v>
      </c>
      <c r="N246" s="54" t="n">
        <f aca="false">E246*I246*J246</f>
        <v>-0</v>
      </c>
      <c r="O246" s="53" t="n">
        <f aca="false">G246*J246</f>
        <v>7</v>
      </c>
      <c r="P246" s="53" t="n">
        <f aca="false">F246*J246</f>
        <v>0</v>
      </c>
    </row>
    <row r="247" customFormat="false" ht="15" hidden="false" customHeight="false" outlineLevel="0" collapsed="false">
      <c r="A247" s="53" t="s">
        <v>97</v>
      </c>
      <c r="B247" s="53" t="s">
        <v>120</v>
      </c>
      <c r="C247" s="53" t="s">
        <v>344</v>
      </c>
      <c r="D247" s="53" t="s">
        <v>50</v>
      </c>
      <c r="E247" s="54" t="n">
        <v>0</v>
      </c>
      <c r="F247" s="53" t="n">
        <v>0</v>
      </c>
      <c r="G247" s="53" t="n">
        <v>17</v>
      </c>
      <c r="H247" s="54" t="n">
        <v>2504.15</v>
      </c>
      <c r="I247" s="53" t="n">
        <f aca="false">IF(B247&gt;=Settings!$B$13,1,0)</f>
        <v>0</v>
      </c>
      <c r="J247" s="53" t="n">
        <v>1</v>
      </c>
      <c r="K247" s="53" t="n">
        <f aca="false">G247*I247*J247</f>
        <v>0</v>
      </c>
      <c r="L247" s="53" t="n">
        <f aca="false">F247*I247*J247</f>
        <v>0</v>
      </c>
      <c r="M247" s="54" t="n">
        <f aca="false">H247*I247*J247</f>
        <v>0</v>
      </c>
      <c r="N247" s="54" t="n">
        <f aca="false">E247*I247*J247</f>
        <v>-0</v>
      </c>
      <c r="O247" s="53" t="n">
        <f aca="false">G247*J247</f>
        <v>17</v>
      </c>
      <c r="P247" s="53" t="n">
        <f aca="false">F247*J247</f>
        <v>0</v>
      </c>
    </row>
    <row r="248" customFormat="false" ht="15" hidden="false" customHeight="false" outlineLevel="0" collapsed="false">
      <c r="A248" s="53" t="s">
        <v>89</v>
      </c>
      <c r="B248" s="53" t="s">
        <v>120</v>
      </c>
      <c r="C248" s="53" t="s">
        <v>159</v>
      </c>
      <c r="D248" s="53" t="s">
        <v>50</v>
      </c>
      <c r="E248" s="54" t="n">
        <v>0</v>
      </c>
      <c r="F248" s="53" t="n">
        <v>0</v>
      </c>
      <c r="G248" s="53" t="n">
        <v>10</v>
      </c>
      <c r="H248" s="54" t="n">
        <v>1175.75</v>
      </c>
      <c r="I248" s="53" t="n">
        <f aca="false">IF(B248&gt;=Settings!$B$13,1,0)</f>
        <v>0</v>
      </c>
      <c r="J248" s="53" t="n">
        <v>1</v>
      </c>
      <c r="K248" s="53" t="n">
        <f aca="false">G248*I248*J248</f>
        <v>0</v>
      </c>
      <c r="L248" s="53" t="n">
        <f aca="false">F248*I248*J248</f>
        <v>0</v>
      </c>
      <c r="M248" s="54" t="n">
        <f aca="false">H248*I248*J248</f>
        <v>0</v>
      </c>
      <c r="N248" s="54" t="n">
        <f aca="false">E248*I248*J248</f>
        <v>-0</v>
      </c>
      <c r="O248" s="53" t="n">
        <f aca="false">G248*J248</f>
        <v>10</v>
      </c>
      <c r="P248" s="53" t="n">
        <f aca="false">F248*J248</f>
        <v>0</v>
      </c>
    </row>
    <row r="249" customFormat="false" ht="15" hidden="false" customHeight="false" outlineLevel="0" collapsed="false">
      <c r="A249" s="53" t="s">
        <v>89</v>
      </c>
      <c r="B249" s="53" t="s">
        <v>120</v>
      </c>
      <c r="C249" s="53" t="s">
        <v>322</v>
      </c>
      <c r="D249" s="53" t="s">
        <v>54</v>
      </c>
      <c r="E249" s="54" t="n">
        <v>0</v>
      </c>
      <c r="F249" s="53" t="n">
        <v>0</v>
      </c>
      <c r="G249" s="53" t="n">
        <v>95</v>
      </c>
      <c r="H249" s="54" t="n">
        <v>5804.632</v>
      </c>
      <c r="I249" s="53" t="n">
        <f aca="false">IF(B249&gt;=Settings!$B$13,1,0)</f>
        <v>0</v>
      </c>
      <c r="J249" s="53" t="n">
        <v>1</v>
      </c>
      <c r="K249" s="53" t="n">
        <f aca="false">G249*I249*J249</f>
        <v>0</v>
      </c>
      <c r="L249" s="53" t="n">
        <f aca="false">F249*I249*J249</f>
        <v>0</v>
      </c>
      <c r="M249" s="54" t="n">
        <f aca="false">H249*I249*J249</f>
        <v>0</v>
      </c>
      <c r="N249" s="54" t="n">
        <f aca="false">E249*I249*J249</f>
        <v>-0</v>
      </c>
      <c r="O249" s="53" t="n">
        <f aca="false">G249*J249</f>
        <v>95</v>
      </c>
      <c r="P249" s="53" t="n">
        <f aca="false">F249*J249</f>
        <v>0</v>
      </c>
    </row>
    <row r="250" customFormat="false" ht="15" hidden="false" customHeight="false" outlineLevel="0" collapsed="false">
      <c r="A250" s="53" t="s">
        <v>89</v>
      </c>
      <c r="B250" s="53" t="s">
        <v>120</v>
      </c>
      <c r="C250" s="53" t="s">
        <v>162</v>
      </c>
      <c r="D250" s="53" t="s">
        <v>42</v>
      </c>
      <c r="E250" s="54" t="n">
        <v>0</v>
      </c>
      <c r="F250" s="53" t="n">
        <v>0</v>
      </c>
      <c r="G250" s="53" t="n">
        <v>29</v>
      </c>
      <c r="H250" s="54" t="n">
        <v>4332.87</v>
      </c>
      <c r="I250" s="53" t="n">
        <f aca="false">IF(B250&gt;=Settings!$B$13,1,0)</f>
        <v>0</v>
      </c>
      <c r="J250" s="53" t="n">
        <v>1</v>
      </c>
      <c r="K250" s="53" t="n">
        <f aca="false">G250*I250*J250</f>
        <v>0</v>
      </c>
      <c r="L250" s="53" t="n">
        <f aca="false">F250*I250*J250</f>
        <v>0</v>
      </c>
      <c r="M250" s="54" t="n">
        <f aca="false">H250*I250*J250</f>
        <v>0</v>
      </c>
      <c r="N250" s="54" t="n">
        <f aca="false">E250*I250*J250</f>
        <v>-0</v>
      </c>
      <c r="O250" s="53" t="n">
        <f aca="false">G250*J250</f>
        <v>29</v>
      </c>
      <c r="P250" s="53" t="n">
        <f aca="false">F250*J250</f>
        <v>0</v>
      </c>
    </row>
    <row r="251" customFormat="false" ht="15" hidden="false" customHeight="false" outlineLevel="0" collapsed="false">
      <c r="A251" s="53" t="s">
        <v>93</v>
      </c>
      <c r="B251" s="53" t="s">
        <v>120</v>
      </c>
      <c r="C251" s="53" t="s">
        <v>158</v>
      </c>
      <c r="D251" s="53" t="s">
        <v>42</v>
      </c>
      <c r="E251" s="54" t="n">
        <v>0</v>
      </c>
      <c r="F251" s="53" t="n">
        <v>0</v>
      </c>
      <c r="G251" s="53" t="n">
        <v>8</v>
      </c>
      <c r="H251" s="54" t="n">
        <v>903.62</v>
      </c>
      <c r="I251" s="53" t="n">
        <f aca="false">IF(B251&gt;=Settings!$B$13,1,0)</f>
        <v>0</v>
      </c>
      <c r="J251" s="53" t="n">
        <v>1</v>
      </c>
      <c r="K251" s="53" t="n">
        <f aca="false">G251*I251*J251</f>
        <v>0</v>
      </c>
      <c r="L251" s="53" t="n">
        <f aca="false">F251*I251*J251</f>
        <v>0</v>
      </c>
      <c r="M251" s="54" t="n">
        <f aca="false">H251*I251*J251</f>
        <v>0</v>
      </c>
      <c r="N251" s="54" t="n">
        <f aca="false">E251*I251*J251</f>
        <v>-0</v>
      </c>
      <c r="O251" s="53" t="n">
        <f aca="false">G251*J251</f>
        <v>8</v>
      </c>
      <c r="P251" s="53" t="n">
        <f aca="false">F251*J251</f>
        <v>0</v>
      </c>
    </row>
    <row r="252" customFormat="false" ht="15" hidden="false" customHeight="false" outlineLevel="0" collapsed="false">
      <c r="A252" s="53" t="s">
        <v>89</v>
      </c>
      <c r="B252" s="53" t="s">
        <v>120</v>
      </c>
      <c r="C252" s="53" t="s">
        <v>154</v>
      </c>
      <c r="D252" s="53" t="s">
        <v>42</v>
      </c>
      <c r="E252" s="54" t="n">
        <v>0</v>
      </c>
      <c r="F252" s="53" t="n">
        <v>0</v>
      </c>
      <c r="G252" s="53" t="n">
        <v>82</v>
      </c>
      <c r="H252" s="54" t="n">
        <v>7453.71</v>
      </c>
      <c r="I252" s="53" t="n">
        <f aca="false">IF(B252&gt;=Settings!$B$13,1,0)</f>
        <v>0</v>
      </c>
      <c r="J252" s="53" t="n">
        <v>1</v>
      </c>
      <c r="K252" s="53" t="n">
        <f aca="false">G252*I252*J252</f>
        <v>0</v>
      </c>
      <c r="L252" s="53" t="n">
        <f aca="false">F252*I252*J252</f>
        <v>0</v>
      </c>
      <c r="M252" s="54" t="n">
        <f aca="false">H252*I252*J252</f>
        <v>0</v>
      </c>
      <c r="N252" s="54" t="n">
        <f aca="false">E252*I252*J252</f>
        <v>-0</v>
      </c>
      <c r="O252" s="53" t="n">
        <f aca="false">G252*J252</f>
        <v>82</v>
      </c>
      <c r="P252" s="53" t="n">
        <f aca="false">F252*J252</f>
        <v>0</v>
      </c>
    </row>
    <row r="253" customFormat="false" ht="15" hidden="false" customHeight="false" outlineLevel="0" collapsed="false">
      <c r="A253" s="53" t="s">
        <v>89</v>
      </c>
      <c r="B253" s="53" t="s">
        <v>120</v>
      </c>
      <c r="C253" s="53" t="s">
        <v>379</v>
      </c>
      <c r="D253" s="53" t="s">
        <v>62</v>
      </c>
      <c r="E253" s="54" t="n">
        <v>0</v>
      </c>
      <c r="F253" s="53" t="n">
        <v>0</v>
      </c>
      <c r="G253" s="53" t="n">
        <v>1</v>
      </c>
      <c r="H253" s="54" t="n">
        <v>112.7</v>
      </c>
      <c r="I253" s="53" t="n">
        <f aca="false">IF(B253&gt;=Settings!$B$13,1,0)</f>
        <v>0</v>
      </c>
      <c r="J253" s="53" t="n">
        <v>1</v>
      </c>
      <c r="K253" s="53" t="n">
        <f aca="false">G253*I253*J253</f>
        <v>0</v>
      </c>
      <c r="L253" s="53" t="n">
        <f aca="false">F253*I253*J253</f>
        <v>0</v>
      </c>
      <c r="M253" s="54" t="n">
        <f aca="false">H253*I253*J253</f>
        <v>0</v>
      </c>
      <c r="N253" s="54" t="n">
        <f aca="false">E253*I253*J253</f>
        <v>-0</v>
      </c>
      <c r="O253" s="53" t="n">
        <f aca="false">G253*J253</f>
        <v>1</v>
      </c>
      <c r="P253" s="53" t="n">
        <f aca="false">F253*J253</f>
        <v>0</v>
      </c>
    </row>
    <row r="254" customFormat="false" ht="15" hidden="false" customHeight="false" outlineLevel="0" collapsed="false">
      <c r="A254" s="53" t="s">
        <v>97</v>
      </c>
      <c r="B254" s="53" t="s">
        <v>121</v>
      </c>
      <c r="C254" s="53" t="s">
        <v>344</v>
      </c>
      <c r="D254" s="53" t="s">
        <v>50</v>
      </c>
      <c r="E254" s="54" t="n">
        <v>149.95</v>
      </c>
      <c r="F254" s="53" t="n">
        <v>1</v>
      </c>
      <c r="G254" s="53" t="n">
        <v>15</v>
      </c>
      <c r="H254" s="54" t="n">
        <v>1934.25</v>
      </c>
      <c r="I254" s="53" t="n">
        <f aca="false">IF(B254&gt;=Settings!$B$13,1,0)</f>
        <v>0</v>
      </c>
      <c r="J254" s="53" t="n">
        <v>1</v>
      </c>
      <c r="K254" s="53" t="n">
        <f aca="false">G254*I254*J254</f>
        <v>0</v>
      </c>
      <c r="L254" s="53" t="n">
        <f aca="false">F254*I254*J254</f>
        <v>0</v>
      </c>
      <c r="M254" s="54" t="n">
        <f aca="false">H254*I254*J254</f>
        <v>0</v>
      </c>
      <c r="N254" s="54" t="n">
        <f aca="false">E254*I254*J254</f>
        <v>0</v>
      </c>
      <c r="O254" s="53" t="n">
        <f aca="false">G254*J254</f>
        <v>15</v>
      </c>
      <c r="P254" s="53" t="n">
        <f aca="false">F254*J254</f>
        <v>1</v>
      </c>
    </row>
    <row r="255" customFormat="false" ht="15" hidden="false" customHeight="false" outlineLevel="0" collapsed="false">
      <c r="A255" s="53" t="s">
        <v>89</v>
      </c>
      <c r="B255" s="53" t="s">
        <v>121</v>
      </c>
      <c r="C255" s="53" t="s">
        <v>165</v>
      </c>
      <c r="D255" s="53" t="s">
        <v>42</v>
      </c>
      <c r="E255" s="54" t="n">
        <v>0</v>
      </c>
      <c r="F255" s="53" t="n">
        <v>0</v>
      </c>
      <c r="G255" s="53" t="n">
        <v>23</v>
      </c>
      <c r="H255" s="54" t="n">
        <v>4217.383</v>
      </c>
      <c r="I255" s="53" t="n">
        <f aca="false">IF(B255&gt;=Settings!$B$13,1,0)</f>
        <v>0</v>
      </c>
      <c r="J255" s="53" t="n">
        <v>1</v>
      </c>
      <c r="K255" s="53" t="n">
        <f aca="false">G255*I255*J255</f>
        <v>0</v>
      </c>
      <c r="L255" s="53" t="n">
        <f aca="false">F255*I255*J255</f>
        <v>0</v>
      </c>
      <c r="M255" s="54" t="n">
        <f aca="false">H255*I255*J255</f>
        <v>0</v>
      </c>
      <c r="N255" s="54" t="n">
        <f aca="false">E255*I255*J255</f>
        <v>-0</v>
      </c>
      <c r="O255" s="53" t="n">
        <f aca="false">G255*J255</f>
        <v>23</v>
      </c>
      <c r="P255" s="53" t="n">
        <f aca="false">F255*J255</f>
        <v>0</v>
      </c>
    </row>
    <row r="256" customFormat="false" ht="15" hidden="false" customHeight="false" outlineLevel="0" collapsed="false">
      <c r="A256" s="53" t="s">
        <v>89</v>
      </c>
      <c r="B256" s="53" t="s">
        <v>121</v>
      </c>
      <c r="C256" s="53" t="s">
        <v>142</v>
      </c>
      <c r="D256" s="53" t="s">
        <v>66</v>
      </c>
      <c r="E256" s="54" t="n">
        <v>0</v>
      </c>
      <c r="F256" s="53" t="n">
        <v>0</v>
      </c>
      <c r="G256" s="53" t="n">
        <v>47</v>
      </c>
      <c r="H256" s="54" t="n">
        <v>4733.094</v>
      </c>
      <c r="I256" s="53" t="n">
        <f aca="false">IF(B256&gt;=Settings!$B$13,1,0)</f>
        <v>0</v>
      </c>
      <c r="J256" s="53" t="n">
        <v>1</v>
      </c>
      <c r="K256" s="53" t="n">
        <f aca="false">G256*I256*J256</f>
        <v>0</v>
      </c>
      <c r="L256" s="53" t="n">
        <f aca="false">F256*I256*J256</f>
        <v>0</v>
      </c>
      <c r="M256" s="54" t="n">
        <f aca="false">H256*I256*J256</f>
        <v>0</v>
      </c>
      <c r="N256" s="54" t="n">
        <f aca="false">E256*I256*J256</f>
        <v>-0</v>
      </c>
      <c r="O256" s="53" t="n">
        <f aca="false">G256*J256</f>
        <v>47</v>
      </c>
      <c r="P256" s="53" t="n">
        <f aca="false">F256*J256</f>
        <v>0</v>
      </c>
    </row>
    <row r="257" customFormat="false" ht="15" hidden="false" customHeight="false" outlineLevel="0" collapsed="false">
      <c r="A257" s="53" t="s">
        <v>97</v>
      </c>
      <c r="B257" s="53" t="s">
        <v>121</v>
      </c>
      <c r="C257" s="53" t="s">
        <v>380</v>
      </c>
      <c r="D257" s="53" t="s">
        <v>50</v>
      </c>
      <c r="E257" s="54" t="n">
        <v>0</v>
      </c>
      <c r="F257" s="53" t="n">
        <v>0</v>
      </c>
      <c r="G257" s="53" t="n">
        <v>10</v>
      </c>
      <c r="H257" s="54" t="n">
        <v>1264.5</v>
      </c>
      <c r="I257" s="53" t="n">
        <f aca="false">IF(B257&gt;=Settings!$B$13,1,0)</f>
        <v>0</v>
      </c>
      <c r="J257" s="53" t="n">
        <v>1</v>
      </c>
      <c r="K257" s="53" t="n">
        <f aca="false">G257*I257*J257</f>
        <v>0</v>
      </c>
      <c r="L257" s="53" t="n">
        <f aca="false">F257*I257*J257</f>
        <v>0</v>
      </c>
      <c r="M257" s="54" t="n">
        <f aca="false">H257*I257*J257</f>
        <v>0</v>
      </c>
      <c r="N257" s="54" t="n">
        <f aca="false">E257*I257*J257</f>
        <v>-0</v>
      </c>
      <c r="O257" s="53" t="n">
        <f aca="false">G257*J257</f>
        <v>10</v>
      </c>
      <c r="P257" s="53" t="n">
        <f aca="false">F257*J257</f>
        <v>0</v>
      </c>
    </row>
    <row r="258" customFormat="false" ht="15" hidden="false" customHeight="false" outlineLevel="0" collapsed="false">
      <c r="A258" s="53" t="s">
        <v>97</v>
      </c>
      <c r="B258" s="53" t="s">
        <v>121</v>
      </c>
      <c r="C258" s="53" t="s">
        <v>373</v>
      </c>
      <c r="D258" s="53" t="s">
        <v>42</v>
      </c>
      <c r="E258" s="54" t="n">
        <v>352.38</v>
      </c>
      <c r="F258" s="53" t="n">
        <v>2</v>
      </c>
      <c r="G258" s="53" t="n">
        <v>7</v>
      </c>
      <c r="H258" s="54" t="n">
        <v>1368.6</v>
      </c>
      <c r="I258" s="53" t="n">
        <f aca="false">IF(B258&gt;=Settings!$B$13,1,0)</f>
        <v>0</v>
      </c>
      <c r="J258" s="53" t="n">
        <v>1</v>
      </c>
      <c r="K258" s="53" t="n">
        <f aca="false">G258*I258*J258</f>
        <v>0</v>
      </c>
      <c r="L258" s="53" t="n">
        <f aca="false">F258*I258*J258</f>
        <v>0</v>
      </c>
      <c r="M258" s="54" t="n">
        <f aca="false">H258*I258*J258</f>
        <v>0</v>
      </c>
      <c r="N258" s="54" t="n">
        <f aca="false">E258*I258*J258</f>
        <v>0</v>
      </c>
      <c r="O258" s="53" t="n">
        <f aca="false">G258*J258</f>
        <v>7</v>
      </c>
      <c r="P258" s="53" t="n">
        <f aca="false">F258*J258</f>
        <v>2</v>
      </c>
    </row>
    <row r="259" customFormat="false" ht="15" hidden="false" customHeight="false" outlineLevel="0" collapsed="false">
      <c r="A259" s="53" t="s">
        <v>89</v>
      </c>
      <c r="B259" s="53" t="s">
        <v>121</v>
      </c>
      <c r="C259" s="53" t="s">
        <v>377</v>
      </c>
      <c r="D259" s="53" t="s">
        <v>66</v>
      </c>
      <c r="E259" s="54" t="n">
        <v>0</v>
      </c>
      <c r="F259" s="53" t="n">
        <v>0</v>
      </c>
      <c r="G259" s="53" t="n">
        <v>25</v>
      </c>
      <c r="H259" s="54" t="n">
        <v>3822.798</v>
      </c>
      <c r="I259" s="53" t="n">
        <f aca="false">IF(B259&gt;=Settings!$B$13,1,0)</f>
        <v>0</v>
      </c>
      <c r="J259" s="53" t="n">
        <v>1</v>
      </c>
      <c r="K259" s="53" t="n">
        <f aca="false">G259*I259*J259</f>
        <v>0</v>
      </c>
      <c r="L259" s="53" t="n">
        <f aca="false">F259*I259*J259</f>
        <v>0</v>
      </c>
      <c r="M259" s="54" t="n">
        <f aca="false">H259*I259*J259</f>
        <v>0</v>
      </c>
      <c r="N259" s="54" t="n">
        <f aca="false">E259*I259*J259</f>
        <v>-0</v>
      </c>
      <c r="O259" s="53" t="n">
        <f aca="false">G259*J259</f>
        <v>25</v>
      </c>
      <c r="P259" s="53" t="n">
        <f aca="false">F259*J259</f>
        <v>0</v>
      </c>
    </row>
    <row r="260" customFormat="false" ht="15" hidden="false" customHeight="false" outlineLevel="0" collapsed="false">
      <c r="A260" s="53" t="s">
        <v>93</v>
      </c>
      <c r="B260" s="53" t="s">
        <v>121</v>
      </c>
      <c r="C260" s="53" t="s">
        <v>158</v>
      </c>
      <c r="D260" s="53" t="s">
        <v>42</v>
      </c>
      <c r="E260" s="54" t="n">
        <v>0</v>
      </c>
      <c r="F260" s="53" t="n">
        <v>0</v>
      </c>
      <c r="G260" s="53" t="n">
        <v>5</v>
      </c>
      <c r="H260" s="54" t="n">
        <v>548.31</v>
      </c>
      <c r="I260" s="53" t="n">
        <f aca="false">IF(B260&gt;=Settings!$B$13,1,0)</f>
        <v>0</v>
      </c>
      <c r="J260" s="53" t="n">
        <v>1</v>
      </c>
      <c r="K260" s="53" t="n">
        <f aca="false">G260*I260*J260</f>
        <v>0</v>
      </c>
      <c r="L260" s="53" t="n">
        <f aca="false">F260*I260*J260</f>
        <v>0</v>
      </c>
      <c r="M260" s="54" t="n">
        <f aca="false">H260*I260*J260</f>
        <v>0</v>
      </c>
      <c r="N260" s="54" t="n">
        <f aca="false">E260*I260*J260</f>
        <v>-0</v>
      </c>
      <c r="O260" s="53" t="n">
        <f aca="false">G260*J260</f>
        <v>5</v>
      </c>
      <c r="P260" s="53" t="n">
        <f aca="false">F260*J260</f>
        <v>0</v>
      </c>
    </row>
    <row r="261" customFormat="false" ht="15" hidden="false" customHeight="false" outlineLevel="0" collapsed="false">
      <c r="A261" s="53" t="s">
        <v>89</v>
      </c>
      <c r="B261" s="53" t="s">
        <v>121</v>
      </c>
      <c r="C261" s="53" t="s">
        <v>381</v>
      </c>
      <c r="D261" s="53" t="s">
        <v>66</v>
      </c>
      <c r="E261" s="54" t="n">
        <v>0</v>
      </c>
      <c r="F261" s="53" t="n">
        <v>0</v>
      </c>
      <c r="G261" s="53" t="n">
        <v>19</v>
      </c>
      <c r="H261" s="54" t="n">
        <v>3529.692</v>
      </c>
      <c r="I261" s="53" t="n">
        <f aca="false">IF(B261&gt;=Settings!$B$13,1,0)</f>
        <v>0</v>
      </c>
      <c r="J261" s="53" t="n">
        <v>1</v>
      </c>
      <c r="K261" s="53" t="n">
        <f aca="false">G261*I261*J261</f>
        <v>0</v>
      </c>
      <c r="L261" s="53" t="n">
        <f aca="false">F261*I261*J261</f>
        <v>0</v>
      </c>
      <c r="M261" s="54" t="n">
        <f aca="false">H261*I261*J261</f>
        <v>0</v>
      </c>
      <c r="N261" s="54" t="n">
        <f aca="false">E261*I261*J261</f>
        <v>-0</v>
      </c>
      <c r="O261" s="53" t="n">
        <f aca="false">G261*J261</f>
        <v>19</v>
      </c>
      <c r="P261" s="53" t="n">
        <f aca="false">F261*J261</f>
        <v>0</v>
      </c>
    </row>
    <row r="262" customFormat="false" ht="15" hidden="false" customHeight="false" outlineLevel="0" collapsed="false">
      <c r="A262" s="53" t="s">
        <v>89</v>
      </c>
      <c r="B262" s="53" t="s">
        <v>121</v>
      </c>
      <c r="C262" s="53" t="s">
        <v>382</v>
      </c>
      <c r="D262" s="53" t="s">
        <v>70</v>
      </c>
      <c r="E262" s="54" t="n">
        <v>0</v>
      </c>
      <c r="F262" s="53" t="n">
        <v>0</v>
      </c>
      <c r="G262" s="53" t="n">
        <v>1</v>
      </c>
      <c r="H262" s="54" t="n">
        <v>73.95</v>
      </c>
      <c r="I262" s="53" t="n">
        <f aca="false">IF(B262&gt;=Settings!$B$13,1,0)</f>
        <v>0</v>
      </c>
      <c r="J262" s="53" t="n">
        <v>1</v>
      </c>
      <c r="K262" s="53" t="n">
        <f aca="false">G262*I262*J262</f>
        <v>0</v>
      </c>
      <c r="L262" s="53" t="n">
        <f aca="false">F262*I262*J262</f>
        <v>0</v>
      </c>
      <c r="M262" s="54" t="n">
        <f aca="false">H262*I262*J262</f>
        <v>0</v>
      </c>
      <c r="N262" s="54" t="n">
        <f aca="false">E262*I262*J262</f>
        <v>-0</v>
      </c>
      <c r="O262" s="53" t="n">
        <f aca="false">G262*J262</f>
        <v>1</v>
      </c>
      <c r="P262" s="53" t="n">
        <f aca="false">F262*J262</f>
        <v>0</v>
      </c>
    </row>
    <row r="263" customFormat="false" ht="15" hidden="false" customHeight="false" outlineLevel="0" collapsed="false">
      <c r="A263" s="53" t="s">
        <v>97</v>
      </c>
      <c r="B263" s="53" t="s">
        <v>121</v>
      </c>
      <c r="C263" s="53" t="s">
        <v>383</v>
      </c>
      <c r="D263" s="53" t="s">
        <v>66</v>
      </c>
      <c r="E263" s="54" t="n">
        <v>0</v>
      </c>
      <c r="F263" s="53" t="n">
        <v>0</v>
      </c>
      <c r="G263" s="53" t="n">
        <v>11</v>
      </c>
      <c r="H263" s="54" t="n">
        <v>1854.45</v>
      </c>
      <c r="I263" s="53" t="n">
        <f aca="false">IF(B263&gt;=Settings!$B$13,1,0)</f>
        <v>0</v>
      </c>
      <c r="J263" s="53" t="n">
        <v>1</v>
      </c>
      <c r="K263" s="53" t="n">
        <f aca="false">G263*I263*J263</f>
        <v>0</v>
      </c>
      <c r="L263" s="53" t="n">
        <f aca="false">F263*I263*J263</f>
        <v>0</v>
      </c>
      <c r="M263" s="54" t="n">
        <f aca="false">H263*I263*J263</f>
        <v>0</v>
      </c>
      <c r="N263" s="54" t="n">
        <f aca="false">E263*I263*J263</f>
        <v>-0</v>
      </c>
      <c r="O263" s="53" t="n">
        <f aca="false">G263*J263</f>
        <v>11</v>
      </c>
      <c r="P263" s="53" t="n">
        <f aca="false">F263*J263</f>
        <v>0</v>
      </c>
    </row>
    <row r="264" customFormat="false" ht="15" hidden="false" customHeight="false" outlineLevel="0" collapsed="false">
      <c r="A264" s="53" t="s">
        <v>100</v>
      </c>
      <c r="B264" s="53" t="s">
        <v>121</v>
      </c>
      <c r="C264" s="53" t="s">
        <v>360</v>
      </c>
      <c r="D264" s="53" t="s">
        <v>54</v>
      </c>
      <c r="E264" s="54" t="n">
        <v>90.06</v>
      </c>
      <c r="F264" s="53" t="n">
        <v>1</v>
      </c>
      <c r="G264" s="53" t="n">
        <v>25</v>
      </c>
      <c r="H264" s="54" t="n">
        <v>2698.1</v>
      </c>
      <c r="I264" s="53" t="n">
        <f aca="false">IF(B264&gt;=Settings!$B$13,1,0)</f>
        <v>0</v>
      </c>
      <c r="J264" s="53" t="n">
        <v>1</v>
      </c>
      <c r="K264" s="53" t="n">
        <f aca="false">G264*I264*J264</f>
        <v>0</v>
      </c>
      <c r="L264" s="53" t="n">
        <f aca="false">F264*I264*J264</f>
        <v>0</v>
      </c>
      <c r="M264" s="54" t="n">
        <f aca="false">H264*I264*J264</f>
        <v>0</v>
      </c>
      <c r="N264" s="54" t="n">
        <f aca="false">E264*I264*J264</f>
        <v>0</v>
      </c>
      <c r="O264" s="53" t="n">
        <f aca="false">G264*J264</f>
        <v>25</v>
      </c>
      <c r="P264" s="53" t="n">
        <f aca="false">F264*J264</f>
        <v>1</v>
      </c>
    </row>
    <row r="265" customFormat="false" ht="15" hidden="false" customHeight="false" outlineLevel="0" collapsed="false">
      <c r="A265" s="53" t="s">
        <v>89</v>
      </c>
      <c r="B265" s="53" t="s">
        <v>121</v>
      </c>
      <c r="C265" s="53" t="s">
        <v>144</v>
      </c>
      <c r="D265" s="53" t="s">
        <v>58</v>
      </c>
      <c r="E265" s="54" t="n">
        <v>0</v>
      </c>
      <c r="F265" s="53" t="n">
        <v>0</v>
      </c>
      <c r="G265" s="53" t="n">
        <v>2</v>
      </c>
      <c r="H265" s="54" t="n">
        <v>291.9</v>
      </c>
      <c r="I265" s="53" t="n">
        <f aca="false">IF(B265&gt;=Settings!$B$13,1,0)</f>
        <v>0</v>
      </c>
      <c r="J265" s="53" t="n">
        <v>1</v>
      </c>
      <c r="K265" s="53" t="n">
        <f aca="false">G265*I265*J265</f>
        <v>0</v>
      </c>
      <c r="L265" s="53" t="n">
        <f aca="false">F265*I265*J265</f>
        <v>0</v>
      </c>
      <c r="M265" s="54" t="n">
        <f aca="false">H265*I265*J265</f>
        <v>0</v>
      </c>
      <c r="N265" s="54" t="n">
        <f aca="false">E265*I265*J265</f>
        <v>-0</v>
      </c>
      <c r="O265" s="53" t="n">
        <f aca="false">G265*J265</f>
        <v>2</v>
      </c>
      <c r="P265" s="53" t="n">
        <f aca="false">F265*J265</f>
        <v>0</v>
      </c>
    </row>
    <row r="266" customFormat="false" ht="15" hidden="false" customHeight="false" outlineLevel="0" collapsed="false">
      <c r="A266" s="53" t="s">
        <v>89</v>
      </c>
      <c r="B266" s="53" t="s">
        <v>121</v>
      </c>
      <c r="C266" s="53" t="s">
        <v>375</v>
      </c>
      <c r="D266" s="53" t="s">
        <v>42</v>
      </c>
      <c r="E266" s="54" t="n">
        <v>0</v>
      </c>
      <c r="F266" s="53" t="n">
        <v>0</v>
      </c>
      <c r="G266" s="53" t="n">
        <v>3</v>
      </c>
      <c r="H266" s="54" t="n">
        <v>320.35</v>
      </c>
      <c r="I266" s="53" t="n">
        <f aca="false">IF(B266&gt;=Settings!$B$13,1,0)</f>
        <v>0</v>
      </c>
      <c r="J266" s="53" t="n">
        <v>1</v>
      </c>
      <c r="K266" s="53" t="n">
        <f aca="false">G266*I266*J266</f>
        <v>0</v>
      </c>
      <c r="L266" s="53" t="n">
        <f aca="false">F266*I266*J266</f>
        <v>0</v>
      </c>
      <c r="M266" s="54" t="n">
        <f aca="false">H266*I266*J266</f>
        <v>0</v>
      </c>
      <c r="N266" s="54" t="n">
        <f aca="false">E266*I266*J266</f>
        <v>-0</v>
      </c>
      <c r="O266" s="53" t="n">
        <f aca="false">G266*J266</f>
        <v>3</v>
      </c>
      <c r="P266" s="53" t="n">
        <f aca="false">F266*J266</f>
        <v>0</v>
      </c>
    </row>
    <row r="267" customFormat="false" ht="15" hidden="false" customHeight="false" outlineLevel="0" collapsed="false">
      <c r="A267" s="53" t="s">
        <v>89</v>
      </c>
      <c r="B267" s="53" t="s">
        <v>121</v>
      </c>
      <c r="C267" s="53" t="s">
        <v>357</v>
      </c>
      <c r="D267" s="53" t="s">
        <v>54</v>
      </c>
      <c r="E267" s="54" t="n">
        <v>0</v>
      </c>
      <c r="F267" s="53" t="n">
        <v>0</v>
      </c>
      <c r="G267" s="53" t="n">
        <v>23</v>
      </c>
      <c r="H267" s="54" t="n">
        <v>2198.61</v>
      </c>
      <c r="I267" s="53" t="n">
        <f aca="false">IF(B267&gt;=Settings!$B$13,1,0)</f>
        <v>0</v>
      </c>
      <c r="J267" s="53" t="n">
        <v>1</v>
      </c>
      <c r="K267" s="53" t="n">
        <f aca="false">G267*I267*J267</f>
        <v>0</v>
      </c>
      <c r="L267" s="53" t="n">
        <f aca="false">F267*I267*J267</f>
        <v>0</v>
      </c>
      <c r="M267" s="54" t="n">
        <f aca="false">H267*I267*J267</f>
        <v>0</v>
      </c>
      <c r="N267" s="54" t="n">
        <f aca="false">E267*I267*J267</f>
        <v>-0</v>
      </c>
      <c r="O267" s="53" t="n">
        <f aca="false">G267*J267</f>
        <v>23</v>
      </c>
      <c r="P267" s="53" t="n">
        <f aca="false">F267*J267</f>
        <v>0</v>
      </c>
    </row>
    <row r="268" customFormat="false" ht="15" hidden="false" customHeight="false" outlineLevel="0" collapsed="false">
      <c r="A268" s="53" t="s">
        <v>93</v>
      </c>
      <c r="B268" s="53" t="s">
        <v>121</v>
      </c>
      <c r="C268" s="53" t="s">
        <v>323</v>
      </c>
      <c r="D268" s="53" t="s">
        <v>62</v>
      </c>
      <c r="E268" s="54" t="n">
        <v>0</v>
      </c>
      <c r="F268" s="53" t="n">
        <v>0</v>
      </c>
      <c r="G268" s="53" t="n">
        <v>1</v>
      </c>
      <c r="H268" s="54" t="n">
        <v>140.86</v>
      </c>
      <c r="I268" s="53" t="n">
        <f aca="false">IF(B268&gt;=Settings!$B$13,1,0)</f>
        <v>0</v>
      </c>
      <c r="J268" s="53" t="n">
        <v>1</v>
      </c>
      <c r="K268" s="53" t="n">
        <f aca="false">G268*I268*J268</f>
        <v>0</v>
      </c>
      <c r="L268" s="53" t="n">
        <f aca="false">F268*I268*J268</f>
        <v>0</v>
      </c>
      <c r="M268" s="54" t="n">
        <f aca="false">H268*I268*J268</f>
        <v>0</v>
      </c>
      <c r="N268" s="54" t="n">
        <f aca="false">E268*I268*J268</f>
        <v>-0</v>
      </c>
      <c r="O268" s="53" t="n">
        <f aca="false">G268*J268</f>
        <v>1</v>
      </c>
      <c r="P268" s="53" t="n">
        <f aca="false">F268*J268</f>
        <v>0</v>
      </c>
    </row>
    <row r="269" customFormat="false" ht="15" hidden="false" customHeight="false" outlineLevel="0" collapsed="false">
      <c r="A269" s="53" t="s">
        <v>89</v>
      </c>
      <c r="B269" s="53" t="s">
        <v>121</v>
      </c>
      <c r="C269" s="53" t="s">
        <v>384</v>
      </c>
      <c r="D269" s="53" t="s">
        <v>66</v>
      </c>
      <c r="E269" s="54" t="n">
        <v>0</v>
      </c>
      <c r="F269" s="53" t="n">
        <v>0</v>
      </c>
      <c r="G269" s="53" t="n">
        <v>1</v>
      </c>
      <c r="H269" s="54" t="n">
        <v>124.95</v>
      </c>
      <c r="I269" s="53" t="n">
        <f aca="false">IF(B269&gt;=Settings!$B$13,1,0)</f>
        <v>0</v>
      </c>
      <c r="J269" s="53" t="n">
        <v>1</v>
      </c>
      <c r="K269" s="53" t="n">
        <f aca="false">G269*I269*J269</f>
        <v>0</v>
      </c>
      <c r="L269" s="53" t="n">
        <f aca="false">F269*I269*J269</f>
        <v>0</v>
      </c>
      <c r="M269" s="54" t="n">
        <f aca="false">H269*I269*J269</f>
        <v>0</v>
      </c>
      <c r="N269" s="54" t="n">
        <f aca="false">E269*I269*J269</f>
        <v>-0</v>
      </c>
      <c r="O269" s="53" t="n">
        <f aca="false">G269*J269</f>
        <v>1</v>
      </c>
      <c r="P269" s="53" t="n">
        <f aca="false">F269*J269</f>
        <v>0</v>
      </c>
    </row>
    <row r="270" customFormat="false" ht="15" hidden="false" customHeight="false" outlineLevel="0" collapsed="false">
      <c r="A270" s="53" t="s">
        <v>93</v>
      </c>
      <c r="B270" s="53" t="s">
        <v>121</v>
      </c>
      <c r="C270" s="53" t="s">
        <v>333</v>
      </c>
      <c r="D270" s="53" t="s">
        <v>54</v>
      </c>
      <c r="E270" s="54" t="n">
        <v>0</v>
      </c>
      <c r="F270" s="53" t="n">
        <v>0</v>
      </c>
      <c r="G270" s="53" t="n">
        <v>28</v>
      </c>
      <c r="H270" s="54" t="n">
        <v>2030.55</v>
      </c>
      <c r="I270" s="53" t="n">
        <f aca="false">IF(B270&gt;=Settings!$B$13,1,0)</f>
        <v>0</v>
      </c>
      <c r="J270" s="53" t="n">
        <v>1</v>
      </c>
      <c r="K270" s="53" t="n">
        <f aca="false">G270*I270*J270</f>
        <v>0</v>
      </c>
      <c r="L270" s="53" t="n">
        <f aca="false">F270*I270*J270</f>
        <v>0</v>
      </c>
      <c r="M270" s="54" t="n">
        <f aca="false">H270*I270*J270</f>
        <v>0</v>
      </c>
      <c r="N270" s="54" t="n">
        <f aca="false">E270*I270*J270</f>
        <v>-0</v>
      </c>
      <c r="O270" s="53" t="n">
        <f aca="false">G270*J270</f>
        <v>28</v>
      </c>
      <c r="P270" s="53" t="n">
        <f aca="false">F270*J270</f>
        <v>0</v>
      </c>
    </row>
    <row r="271" customFormat="false" ht="15" hidden="false" customHeight="false" outlineLevel="0" collapsed="false">
      <c r="A271" s="53" t="s">
        <v>97</v>
      </c>
      <c r="B271" s="53" t="s">
        <v>121</v>
      </c>
      <c r="C271" s="53" t="s">
        <v>385</v>
      </c>
      <c r="D271" s="53" t="s">
        <v>54</v>
      </c>
      <c r="E271" s="54" t="n">
        <v>0</v>
      </c>
      <c r="F271" s="53" t="n">
        <v>0</v>
      </c>
      <c r="G271" s="53" t="n">
        <v>13</v>
      </c>
      <c r="H271" s="54" t="n">
        <v>1064.75</v>
      </c>
      <c r="I271" s="53" t="n">
        <f aca="false">IF(B271&gt;=Settings!$B$13,1,0)</f>
        <v>0</v>
      </c>
      <c r="J271" s="53" t="n">
        <v>1</v>
      </c>
      <c r="K271" s="53" t="n">
        <f aca="false">G271*I271*J271</f>
        <v>0</v>
      </c>
      <c r="L271" s="53" t="n">
        <f aca="false">F271*I271*J271</f>
        <v>0</v>
      </c>
      <c r="M271" s="54" t="n">
        <f aca="false">H271*I271*J271</f>
        <v>0</v>
      </c>
      <c r="N271" s="54" t="n">
        <f aca="false">E271*I271*J271</f>
        <v>-0</v>
      </c>
      <c r="O271" s="53" t="n">
        <f aca="false">G271*J271</f>
        <v>13</v>
      </c>
      <c r="P271" s="53" t="n">
        <f aca="false">F271*J271</f>
        <v>0</v>
      </c>
    </row>
    <row r="272" customFormat="false" ht="15" hidden="false" customHeight="false" outlineLevel="0" collapsed="false">
      <c r="A272" s="53" t="s">
        <v>97</v>
      </c>
      <c r="B272" s="53" t="s">
        <v>121</v>
      </c>
      <c r="C272" s="53" t="s">
        <v>386</v>
      </c>
      <c r="D272" s="53" t="s">
        <v>54</v>
      </c>
      <c r="E272" s="54" t="n">
        <v>157.17</v>
      </c>
      <c r="F272" s="53" t="n">
        <v>2</v>
      </c>
      <c r="G272" s="53" t="n">
        <v>14</v>
      </c>
      <c r="H272" s="54" t="n">
        <v>1189.3</v>
      </c>
      <c r="I272" s="53" t="n">
        <f aca="false">IF(B272&gt;=Settings!$B$13,1,0)</f>
        <v>0</v>
      </c>
      <c r="J272" s="53" t="n">
        <v>1</v>
      </c>
      <c r="K272" s="53" t="n">
        <f aca="false">G272*I272*J272</f>
        <v>0</v>
      </c>
      <c r="L272" s="53" t="n">
        <f aca="false">F272*I272*J272</f>
        <v>0</v>
      </c>
      <c r="M272" s="54" t="n">
        <f aca="false">H272*I272*J272</f>
        <v>0</v>
      </c>
      <c r="N272" s="54" t="n">
        <f aca="false">E272*I272*J272</f>
        <v>0</v>
      </c>
      <c r="O272" s="53" t="n">
        <f aca="false">G272*J272</f>
        <v>14</v>
      </c>
      <c r="P272" s="53" t="n">
        <f aca="false">F272*J272</f>
        <v>2</v>
      </c>
    </row>
    <row r="273" customFormat="false" ht="15" hidden="false" customHeight="false" outlineLevel="0" collapsed="false">
      <c r="A273" s="53" t="s">
        <v>89</v>
      </c>
      <c r="B273" s="53" t="s">
        <v>121</v>
      </c>
      <c r="C273" s="53" t="s">
        <v>332</v>
      </c>
      <c r="D273" s="53" t="s">
        <v>46</v>
      </c>
      <c r="E273" s="54" t="n">
        <v>0</v>
      </c>
      <c r="F273" s="53" t="n">
        <v>0</v>
      </c>
      <c r="G273" s="53" t="n">
        <v>85</v>
      </c>
      <c r="H273" s="54" t="n">
        <v>6994.738</v>
      </c>
      <c r="I273" s="53" t="n">
        <f aca="false">IF(B273&gt;=Settings!$B$13,1,0)</f>
        <v>0</v>
      </c>
      <c r="J273" s="53" t="n">
        <v>1</v>
      </c>
      <c r="K273" s="53" t="n">
        <f aca="false">G273*I273*J273</f>
        <v>0</v>
      </c>
      <c r="L273" s="53" t="n">
        <f aca="false">F273*I273*J273</f>
        <v>0</v>
      </c>
      <c r="M273" s="54" t="n">
        <f aca="false">H273*I273*J273</f>
        <v>0</v>
      </c>
      <c r="N273" s="54" t="n">
        <f aca="false">E273*I273*J273</f>
        <v>-0</v>
      </c>
      <c r="O273" s="53" t="n">
        <f aca="false">G273*J273</f>
        <v>85</v>
      </c>
      <c r="P273" s="53" t="n">
        <f aca="false">F273*J273</f>
        <v>0</v>
      </c>
    </row>
    <row r="274" customFormat="false" ht="15" hidden="false" customHeight="false" outlineLevel="0" collapsed="false">
      <c r="A274" s="53" t="s">
        <v>93</v>
      </c>
      <c r="B274" s="53" t="s">
        <v>121</v>
      </c>
      <c r="C274" s="53" t="s">
        <v>156</v>
      </c>
      <c r="D274" s="53" t="s">
        <v>58</v>
      </c>
      <c r="E274" s="54" t="n">
        <v>0</v>
      </c>
      <c r="F274" s="53" t="n">
        <v>0</v>
      </c>
      <c r="G274" s="53" t="n">
        <v>5</v>
      </c>
      <c r="H274" s="54" t="n">
        <v>440.88</v>
      </c>
      <c r="I274" s="53" t="n">
        <f aca="false">IF(B274&gt;=Settings!$B$13,1,0)</f>
        <v>0</v>
      </c>
      <c r="J274" s="53" t="n">
        <v>1</v>
      </c>
      <c r="K274" s="53" t="n">
        <f aca="false">G274*I274*J274</f>
        <v>0</v>
      </c>
      <c r="L274" s="53" t="n">
        <f aca="false">F274*I274*J274</f>
        <v>0</v>
      </c>
      <c r="M274" s="54" t="n">
        <f aca="false">H274*I274*J274</f>
        <v>0</v>
      </c>
      <c r="N274" s="54" t="n">
        <f aca="false">E274*I274*J274</f>
        <v>-0</v>
      </c>
      <c r="O274" s="53" t="n">
        <f aca="false">G274*J274</f>
        <v>5</v>
      </c>
      <c r="P274" s="53" t="n">
        <f aca="false">F274*J274</f>
        <v>0</v>
      </c>
    </row>
    <row r="275" customFormat="false" ht="15" hidden="false" customHeight="false" outlineLevel="0" collapsed="false">
      <c r="A275" s="53" t="s">
        <v>97</v>
      </c>
      <c r="B275" s="53" t="s">
        <v>121</v>
      </c>
      <c r="C275" s="53" t="s">
        <v>375</v>
      </c>
      <c r="D275" s="53" t="s">
        <v>42</v>
      </c>
      <c r="E275" s="54" t="n">
        <v>0</v>
      </c>
      <c r="F275" s="53" t="n">
        <v>0</v>
      </c>
      <c r="G275" s="53" t="n">
        <v>7</v>
      </c>
      <c r="H275" s="54" t="n">
        <v>684.65</v>
      </c>
      <c r="I275" s="53" t="n">
        <f aca="false">IF(B275&gt;=Settings!$B$13,1,0)</f>
        <v>0</v>
      </c>
      <c r="J275" s="53" t="n">
        <v>1</v>
      </c>
      <c r="K275" s="53" t="n">
        <f aca="false">G275*I275*J275</f>
        <v>0</v>
      </c>
      <c r="L275" s="53" t="n">
        <f aca="false">F275*I275*J275</f>
        <v>0</v>
      </c>
      <c r="M275" s="54" t="n">
        <f aca="false">H275*I275*J275</f>
        <v>0</v>
      </c>
      <c r="N275" s="54" t="n">
        <f aca="false">E275*I275*J275</f>
        <v>-0</v>
      </c>
      <c r="O275" s="53" t="n">
        <f aca="false">G275*J275</f>
        <v>7</v>
      </c>
      <c r="P275" s="53" t="n">
        <f aca="false">F275*J275</f>
        <v>0</v>
      </c>
    </row>
    <row r="276" customFormat="false" ht="15" hidden="false" customHeight="false" outlineLevel="0" collapsed="false">
      <c r="A276" s="53" t="s">
        <v>97</v>
      </c>
      <c r="B276" s="53" t="s">
        <v>121</v>
      </c>
      <c r="C276" s="53" t="s">
        <v>387</v>
      </c>
      <c r="D276" s="53" t="s">
        <v>58</v>
      </c>
      <c r="E276" s="54" t="n">
        <v>0</v>
      </c>
      <c r="F276" s="53" t="n">
        <v>0</v>
      </c>
      <c r="G276" s="53" t="n">
        <v>1</v>
      </c>
      <c r="H276" s="54" t="n">
        <v>84.95</v>
      </c>
      <c r="I276" s="53" t="n">
        <f aca="false">IF(B276&gt;=Settings!$B$13,1,0)</f>
        <v>0</v>
      </c>
      <c r="J276" s="53" t="n">
        <v>1</v>
      </c>
      <c r="K276" s="53" t="n">
        <f aca="false">G276*I276*J276</f>
        <v>0</v>
      </c>
      <c r="L276" s="53" t="n">
        <f aca="false">F276*I276*J276</f>
        <v>0</v>
      </c>
      <c r="M276" s="54" t="n">
        <f aca="false">H276*I276*J276</f>
        <v>0</v>
      </c>
      <c r="N276" s="54" t="n">
        <f aca="false">E276*I276*J276</f>
        <v>-0</v>
      </c>
      <c r="O276" s="53" t="n">
        <f aca="false">G276*J276</f>
        <v>1</v>
      </c>
      <c r="P276" s="53" t="n">
        <f aca="false">F276*J276</f>
        <v>0</v>
      </c>
    </row>
    <row r="277" customFormat="false" ht="15" hidden="false" customHeight="false" outlineLevel="0" collapsed="false">
      <c r="A277" s="53" t="s">
        <v>89</v>
      </c>
      <c r="B277" s="53" t="s">
        <v>121</v>
      </c>
      <c r="C277" s="53" t="s">
        <v>166</v>
      </c>
      <c r="D277" s="53" t="s">
        <v>50</v>
      </c>
      <c r="E277" s="54" t="n">
        <v>0</v>
      </c>
      <c r="F277" s="53" t="n">
        <v>0</v>
      </c>
      <c r="G277" s="53" t="n">
        <v>5</v>
      </c>
      <c r="H277" s="54" t="n">
        <v>824.75</v>
      </c>
      <c r="I277" s="53" t="n">
        <f aca="false">IF(B277&gt;=Settings!$B$13,1,0)</f>
        <v>0</v>
      </c>
      <c r="J277" s="53" t="n">
        <v>1</v>
      </c>
      <c r="K277" s="53" t="n">
        <f aca="false">G277*I277*J277</f>
        <v>0</v>
      </c>
      <c r="L277" s="53" t="n">
        <f aca="false">F277*I277*J277</f>
        <v>0</v>
      </c>
      <c r="M277" s="54" t="n">
        <f aca="false">H277*I277*J277</f>
        <v>0</v>
      </c>
      <c r="N277" s="54" t="n">
        <f aca="false">E277*I277*J277</f>
        <v>-0</v>
      </c>
      <c r="O277" s="53" t="n">
        <f aca="false">G277*J277</f>
        <v>5</v>
      </c>
      <c r="P277" s="53" t="n">
        <f aca="false">F277*J277</f>
        <v>0</v>
      </c>
    </row>
    <row r="278" customFormat="false" ht="15" hidden="false" customHeight="false" outlineLevel="0" collapsed="false">
      <c r="A278" s="53" t="s">
        <v>97</v>
      </c>
      <c r="B278" s="53" t="s">
        <v>121</v>
      </c>
      <c r="C278" s="53" t="s">
        <v>369</v>
      </c>
      <c r="D278" s="53" t="s">
        <v>54</v>
      </c>
      <c r="E278" s="54" t="n">
        <v>46.71</v>
      </c>
      <c r="F278" s="53" t="n">
        <v>1</v>
      </c>
      <c r="G278" s="53" t="n">
        <v>22</v>
      </c>
      <c r="H278" s="54" t="n">
        <v>1328.9</v>
      </c>
      <c r="I278" s="53" t="n">
        <f aca="false">IF(B278&gt;=Settings!$B$13,1,0)</f>
        <v>0</v>
      </c>
      <c r="J278" s="53" t="n">
        <v>1</v>
      </c>
      <c r="K278" s="53" t="n">
        <f aca="false">G278*I278*J278</f>
        <v>0</v>
      </c>
      <c r="L278" s="53" t="n">
        <f aca="false">F278*I278*J278</f>
        <v>0</v>
      </c>
      <c r="M278" s="54" t="n">
        <f aca="false">H278*I278*J278</f>
        <v>0</v>
      </c>
      <c r="N278" s="54" t="n">
        <f aca="false">E278*I278*J278</f>
        <v>0</v>
      </c>
      <c r="O278" s="53" t="n">
        <f aca="false">G278*J278</f>
        <v>22</v>
      </c>
      <c r="P278" s="53" t="n">
        <f aca="false">F278*J278</f>
        <v>1</v>
      </c>
    </row>
    <row r="279" customFormat="false" ht="15" hidden="false" customHeight="false" outlineLevel="0" collapsed="false">
      <c r="A279" s="53" t="s">
        <v>89</v>
      </c>
      <c r="B279" s="53" t="s">
        <v>121</v>
      </c>
      <c r="C279" s="53" t="s">
        <v>330</v>
      </c>
      <c r="D279" s="53" t="s">
        <v>46</v>
      </c>
      <c r="E279" s="54" t="n">
        <v>0</v>
      </c>
      <c r="F279" s="53" t="n">
        <v>0</v>
      </c>
      <c r="G279" s="53" t="n">
        <v>43</v>
      </c>
      <c r="H279" s="54" t="n">
        <v>6055.922</v>
      </c>
      <c r="I279" s="53" t="n">
        <f aca="false">IF(B279&gt;=Settings!$B$13,1,0)</f>
        <v>0</v>
      </c>
      <c r="J279" s="53" t="n">
        <v>1</v>
      </c>
      <c r="K279" s="53" t="n">
        <f aca="false">G279*I279*J279</f>
        <v>0</v>
      </c>
      <c r="L279" s="53" t="n">
        <f aca="false">F279*I279*J279</f>
        <v>0</v>
      </c>
      <c r="M279" s="54" t="n">
        <f aca="false">H279*I279*J279</f>
        <v>0</v>
      </c>
      <c r="N279" s="54" t="n">
        <f aca="false">E279*I279*J279</f>
        <v>-0</v>
      </c>
      <c r="O279" s="53" t="n">
        <f aca="false">G279*J279</f>
        <v>43</v>
      </c>
      <c r="P279" s="53" t="n">
        <f aca="false">F279*J279</f>
        <v>0</v>
      </c>
    </row>
    <row r="280" customFormat="false" ht="15" hidden="false" customHeight="false" outlineLevel="0" collapsed="false">
      <c r="A280" s="53" t="s">
        <v>93</v>
      </c>
      <c r="B280" s="53" t="s">
        <v>121</v>
      </c>
      <c r="C280" s="53" t="s">
        <v>162</v>
      </c>
      <c r="D280" s="53" t="s">
        <v>42</v>
      </c>
      <c r="E280" s="54" t="n">
        <v>127.23</v>
      </c>
      <c r="F280" s="53" t="n">
        <v>1</v>
      </c>
      <c r="G280" s="53" t="n">
        <v>9</v>
      </c>
      <c r="H280" s="54" t="n">
        <v>1236.75</v>
      </c>
      <c r="I280" s="53" t="n">
        <f aca="false">IF(B280&gt;=Settings!$B$13,1,0)</f>
        <v>0</v>
      </c>
      <c r="J280" s="53" t="n">
        <v>1</v>
      </c>
      <c r="K280" s="53" t="n">
        <f aca="false">G280*I280*J280</f>
        <v>0</v>
      </c>
      <c r="L280" s="53" t="n">
        <f aca="false">F280*I280*J280</f>
        <v>0</v>
      </c>
      <c r="M280" s="54" t="n">
        <f aca="false">H280*I280*J280</f>
        <v>0</v>
      </c>
      <c r="N280" s="54" t="n">
        <f aca="false">E280*I280*J280</f>
        <v>0</v>
      </c>
      <c r="O280" s="53" t="n">
        <f aca="false">G280*J280</f>
        <v>9</v>
      </c>
      <c r="P280" s="53" t="n">
        <f aca="false">F280*J280</f>
        <v>1</v>
      </c>
    </row>
    <row r="281" customFormat="false" ht="15" hidden="false" customHeight="false" outlineLevel="0" collapsed="false">
      <c r="A281" s="53" t="s">
        <v>93</v>
      </c>
      <c r="B281" s="53" t="s">
        <v>121</v>
      </c>
      <c r="C281" s="53" t="s">
        <v>144</v>
      </c>
      <c r="D281" s="53" t="s">
        <v>58</v>
      </c>
      <c r="E281" s="54" t="n">
        <v>0</v>
      </c>
      <c r="F281" s="53" t="n">
        <v>0</v>
      </c>
      <c r="G281" s="53" t="n">
        <v>2</v>
      </c>
      <c r="H281" s="54" t="n">
        <v>242.64</v>
      </c>
      <c r="I281" s="53" t="n">
        <f aca="false">IF(B281&gt;=Settings!$B$13,1,0)</f>
        <v>0</v>
      </c>
      <c r="J281" s="53" t="n">
        <v>1</v>
      </c>
      <c r="K281" s="53" t="n">
        <f aca="false">G281*I281*J281</f>
        <v>0</v>
      </c>
      <c r="L281" s="53" t="n">
        <f aca="false">F281*I281*J281</f>
        <v>0</v>
      </c>
      <c r="M281" s="54" t="n">
        <f aca="false">H281*I281*J281</f>
        <v>0</v>
      </c>
      <c r="N281" s="54" t="n">
        <f aca="false">E281*I281*J281</f>
        <v>-0</v>
      </c>
      <c r="O281" s="53" t="n">
        <f aca="false">G281*J281</f>
        <v>2</v>
      </c>
      <c r="P281" s="53" t="n">
        <f aca="false">F281*J281</f>
        <v>0</v>
      </c>
    </row>
    <row r="282" customFormat="false" ht="15" hidden="false" customHeight="false" outlineLevel="0" collapsed="false">
      <c r="A282" s="53" t="s">
        <v>93</v>
      </c>
      <c r="B282" s="53" t="s">
        <v>121</v>
      </c>
      <c r="C282" s="53" t="s">
        <v>317</v>
      </c>
      <c r="D282" s="53" t="s">
        <v>46</v>
      </c>
      <c r="E282" s="54" t="n">
        <v>0</v>
      </c>
      <c r="F282" s="53" t="n">
        <v>0</v>
      </c>
      <c r="G282" s="53" t="n">
        <v>15</v>
      </c>
      <c r="H282" s="54" t="n">
        <v>1728.75</v>
      </c>
      <c r="I282" s="53" t="n">
        <f aca="false">IF(B282&gt;=Settings!$B$13,1,0)</f>
        <v>0</v>
      </c>
      <c r="J282" s="53" t="n">
        <v>1</v>
      </c>
      <c r="K282" s="53" t="n">
        <f aca="false">G282*I282*J282</f>
        <v>0</v>
      </c>
      <c r="L282" s="53" t="n">
        <f aca="false">F282*I282*J282</f>
        <v>0</v>
      </c>
      <c r="M282" s="54" t="n">
        <f aca="false">H282*I282*J282</f>
        <v>0</v>
      </c>
      <c r="N282" s="54" t="n">
        <f aca="false">E282*I282*J282</f>
        <v>-0</v>
      </c>
      <c r="O282" s="53" t="n">
        <f aca="false">G282*J282</f>
        <v>15</v>
      </c>
      <c r="P282" s="53" t="n">
        <f aca="false">F282*J282</f>
        <v>0</v>
      </c>
    </row>
    <row r="283" customFormat="false" ht="15" hidden="false" customHeight="false" outlineLevel="0" collapsed="false">
      <c r="A283" s="53" t="s">
        <v>97</v>
      </c>
      <c r="B283" s="53" t="s">
        <v>121</v>
      </c>
      <c r="C283" s="53" t="s">
        <v>141</v>
      </c>
      <c r="D283" s="53" t="s">
        <v>50</v>
      </c>
      <c r="E283" s="54" t="n">
        <v>140.21</v>
      </c>
      <c r="F283" s="53" t="n">
        <v>1</v>
      </c>
      <c r="G283" s="53" t="n">
        <v>4</v>
      </c>
      <c r="H283" s="54" t="n">
        <v>689.8</v>
      </c>
      <c r="I283" s="53" t="n">
        <f aca="false">IF(B283&gt;=Settings!$B$13,1,0)</f>
        <v>0</v>
      </c>
      <c r="J283" s="53" t="n">
        <v>1</v>
      </c>
      <c r="K283" s="53" t="n">
        <f aca="false">G283*I283*J283</f>
        <v>0</v>
      </c>
      <c r="L283" s="53" t="n">
        <f aca="false">F283*I283*J283</f>
        <v>0</v>
      </c>
      <c r="M283" s="54" t="n">
        <f aca="false">H283*I283*J283</f>
        <v>0</v>
      </c>
      <c r="N283" s="54" t="n">
        <f aca="false">E283*I283*J283</f>
        <v>0</v>
      </c>
      <c r="O283" s="53" t="n">
        <f aca="false">G283*J283</f>
        <v>4</v>
      </c>
      <c r="P283" s="53" t="n">
        <f aca="false">F283*J283</f>
        <v>1</v>
      </c>
    </row>
    <row r="284" customFormat="false" ht="15" hidden="false" customHeight="false" outlineLevel="0" collapsed="false">
      <c r="A284" s="53" t="s">
        <v>89</v>
      </c>
      <c r="B284" s="53" t="s">
        <v>121</v>
      </c>
      <c r="C284" s="53" t="s">
        <v>155</v>
      </c>
      <c r="D284" s="53" t="s">
        <v>50</v>
      </c>
      <c r="E284" s="54" t="n">
        <v>0</v>
      </c>
      <c r="F284" s="53" t="n">
        <v>0</v>
      </c>
      <c r="G284" s="53" t="n">
        <v>35</v>
      </c>
      <c r="H284" s="54" t="n">
        <v>3209.483</v>
      </c>
      <c r="I284" s="53" t="n">
        <f aca="false">IF(B284&gt;=Settings!$B$13,1,0)</f>
        <v>0</v>
      </c>
      <c r="J284" s="53" t="n">
        <v>1</v>
      </c>
      <c r="K284" s="53" t="n">
        <f aca="false">G284*I284*J284</f>
        <v>0</v>
      </c>
      <c r="L284" s="53" t="n">
        <f aca="false">F284*I284*J284</f>
        <v>0</v>
      </c>
      <c r="M284" s="54" t="n">
        <f aca="false">H284*I284*J284</f>
        <v>0</v>
      </c>
      <c r="N284" s="54" t="n">
        <f aca="false">E284*I284*J284</f>
        <v>-0</v>
      </c>
      <c r="O284" s="53" t="n">
        <f aca="false">G284*J284</f>
        <v>35</v>
      </c>
      <c r="P284" s="53" t="n">
        <f aca="false">F284*J284</f>
        <v>0</v>
      </c>
    </row>
    <row r="285" customFormat="false" ht="15" hidden="false" customHeight="false" outlineLevel="0" collapsed="false">
      <c r="A285" s="53" t="s">
        <v>89</v>
      </c>
      <c r="B285" s="53" t="s">
        <v>121</v>
      </c>
      <c r="C285" s="53" t="s">
        <v>317</v>
      </c>
      <c r="D285" s="53" t="s">
        <v>46</v>
      </c>
      <c r="E285" s="54" t="n">
        <v>0</v>
      </c>
      <c r="F285" s="53" t="n">
        <v>0</v>
      </c>
      <c r="G285" s="53" t="n">
        <v>44</v>
      </c>
      <c r="H285" s="54" t="n">
        <v>5054.492</v>
      </c>
      <c r="I285" s="53" t="n">
        <f aca="false">IF(B285&gt;=Settings!$B$13,1,0)</f>
        <v>0</v>
      </c>
      <c r="J285" s="53" t="n">
        <v>1</v>
      </c>
      <c r="K285" s="53" t="n">
        <f aca="false">G285*I285*J285</f>
        <v>0</v>
      </c>
      <c r="L285" s="53" t="n">
        <f aca="false">F285*I285*J285</f>
        <v>0</v>
      </c>
      <c r="M285" s="54" t="n">
        <f aca="false">H285*I285*J285</f>
        <v>0</v>
      </c>
      <c r="N285" s="54" t="n">
        <f aca="false">E285*I285*J285</f>
        <v>-0</v>
      </c>
      <c r="O285" s="53" t="n">
        <f aca="false">G285*J285</f>
        <v>44</v>
      </c>
      <c r="P285" s="53" t="n">
        <f aca="false">F285*J285</f>
        <v>0</v>
      </c>
    </row>
    <row r="286" customFormat="false" ht="15" hidden="false" customHeight="false" outlineLevel="0" collapsed="false">
      <c r="A286" s="53" t="s">
        <v>89</v>
      </c>
      <c r="B286" s="53" t="s">
        <v>121</v>
      </c>
      <c r="C286" s="53" t="s">
        <v>388</v>
      </c>
      <c r="D286" s="53" t="s">
        <v>62</v>
      </c>
      <c r="E286" s="54" t="n">
        <v>0</v>
      </c>
      <c r="F286" s="53" t="n">
        <v>0</v>
      </c>
      <c r="G286" s="53" t="n">
        <v>1</v>
      </c>
      <c r="H286" s="54" t="n">
        <v>179.95</v>
      </c>
      <c r="I286" s="53" t="n">
        <f aca="false">IF(B286&gt;=Settings!$B$13,1,0)</f>
        <v>0</v>
      </c>
      <c r="J286" s="53" t="n">
        <v>1</v>
      </c>
      <c r="K286" s="53" t="n">
        <f aca="false">G286*I286*J286</f>
        <v>0</v>
      </c>
      <c r="L286" s="53" t="n">
        <f aca="false">F286*I286*J286</f>
        <v>0</v>
      </c>
      <c r="M286" s="54" t="n">
        <f aca="false">H286*I286*J286</f>
        <v>0</v>
      </c>
      <c r="N286" s="54" t="n">
        <f aca="false">E286*I286*J286</f>
        <v>-0</v>
      </c>
      <c r="O286" s="53" t="n">
        <f aca="false">G286*J286</f>
        <v>1</v>
      </c>
      <c r="P286" s="53" t="n">
        <f aca="false">F286*J286</f>
        <v>0</v>
      </c>
    </row>
    <row r="287" customFormat="false" ht="15" hidden="false" customHeight="false" outlineLevel="0" collapsed="false">
      <c r="A287" s="53" t="s">
        <v>93</v>
      </c>
      <c r="B287" s="53" t="s">
        <v>121</v>
      </c>
      <c r="C287" s="53" t="s">
        <v>360</v>
      </c>
      <c r="D287" s="53" t="s">
        <v>54</v>
      </c>
      <c r="E287" s="54" t="n">
        <v>0</v>
      </c>
      <c r="F287" s="53" t="n">
        <v>0</v>
      </c>
      <c r="G287" s="53" t="n">
        <v>15</v>
      </c>
      <c r="H287" s="54" t="n">
        <v>1426.58</v>
      </c>
      <c r="I287" s="53" t="n">
        <f aca="false">IF(B287&gt;=Settings!$B$13,1,0)</f>
        <v>0</v>
      </c>
      <c r="J287" s="53" t="n">
        <v>1</v>
      </c>
      <c r="K287" s="53" t="n">
        <f aca="false">G287*I287*J287</f>
        <v>0</v>
      </c>
      <c r="L287" s="53" t="n">
        <f aca="false">F287*I287*J287</f>
        <v>0</v>
      </c>
      <c r="M287" s="54" t="n">
        <f aca="false">H287*I287*J287</f>
        <v>0</v>
      </c>
      <c r="N287" s="54" t="n">
        <f aca="false">E287*I287*J287</f>
        <v>-0</v>
      </c>
      <c r="O287" s="53" t="n">
        <f aca="false">G287*J287</f>
        <v>15</v>
      </c>
      <c r="P287" s="53" t="n">
        <f aca="false">F287*J287</f>
        <v>0</v>
      </c>
    </row>
    <row r="288" customFormat="false" ht="15" hidden="false" customHeight="false" outlineLevel="0" collapsed="false">
      <c r="A288" s="53" t="s">
        <v>89</v>
      </c>
      <c r="B288" s="53" t="s">
        <v>121</v>
      </c>
      <c r="C288" s="53" t="s">
        <v>163</v>
      </c>
      <c r="D288" s="53" t="s">
        <v>50</v>
      </c>
      <c r="E288" s="54" t="n">
        <v>0</v>
      </c>
      <c r="F288" s="53" t="n">
        <v>0</v>
      </c>
      <c r="G288" s="53" t="n">
        <v>2</v>
      </c>
      <c r="H288" s="54" t="n">
        <v>326.75</v>
      </c>
      <c r="I288" s="53" t="n">
        <f aca="false">IF(B288&gt;=Settings!$B$13,1,0)</f>
        <v>0</v>
      </c>
      <c r="J288" s="53" t="n">
        <v>1</v>
      </c>
      <c r="K288" s="53" t="n">
        <f aca="false">G288*I288*J288</f>
        <v>0</v>
      </c>
      <c r="L288" s="53" t="n">
        <f aca="false">F288*I288*J288</f>
        <v>0</v>
      </c>
      <c r="M288" s="54" t="n">
        <f aca="false">H288*I288*J288</f>
        <v>0</v>
      </c>
      <c r="N288" s="54" t="n">
        <f aca="false">E288*I288*J288</f>
        <v>-0</v>
      </c>
      <c r="O288" s="53" t="n">
        <f aca="false">G288*J288</f>
        <v>2</v>
      </c>
      <c r="P288" s="53" t="n">
        <f aca="false">F288*J288</f>
        <v>0</v>
      </c>
    </row>
    <row r="289" customFormat="false" ht="15" hidden="false" customHeight="false" outlineLevel="0" collapsed="false">
      <c r="A289" s="53" t="s">
        <v>93</v>
      </c>
      <c r="B289" s="53" t="s">
        <v>121</v>
      </c>
      <c r="C289" s="53" t="s">
        <v>332</v>
      </c>
      <c r="D289" s="53" t="s">
        <v>46</v>
      </c>
      <c r="E289" s="54" t="n">
        <v>0</v>
      </c>
      <c r="F289" s="53" t="n">
        <v>0</v>
      </c>
      <c r="G289" s="53" t="n">
        <v>18</v>
      </c>
      <c r="H289" s="54" t="n">
        <v>1277.5</v>
      </c>
      <c r="I289" s="53" t="n">
        <f aca="false">IF(B289&gt;=Settings!$B$13,1,0)</f>
        <v>0</v>
      </c>
      <c r="J289" s="53" t="n">
        <v>1</v>
      </c>
      <c r="K289" s="53" t="n">
        <f aca="false">G289*I289*J289</f>
        <v>0</v>
      </c>
      <c r="L289" s="53" t="n">
        <f aca="false">F289*I289*J289</f>
        <v>0</v>
      </c>
      <c r="M289" s="54" t="n">
        <f aca="false">H289*I289*J289</f>
        <v>0</v>
      </c>
      <c r="N289" s="54" t="n">
        <f aca="false">E289*I289*J289</f>
        <v>-0</v>
      </c>
      <c r="O289" s="53" t="n">
        <f aca="false">G289*J289</f>
        <v>18</v>
      </c>
      <c r="P289" s="53" t="n">
        <f aca="false">F289*J289</f>
        <v>0</v>
      </c>
    </row>
    <row r="290" customFormat="false" ht="15" hidden="false" customHeight="false" outlineLevel="0" collapsed="false">
      <c r="A290" s="53" t="s">
        <v>89</v>
      </c>
      <c r="B290" s="53" t="s">
        <v>121</v>
      </c>
      <c r="C290" s="53" t="s">
        <v>374</v>
      </c>
      <c r="D290" s="53" t="s">
        <v>66</v>
      </c>
      <c r="E290" s="54" t="n">
        <v>0</v>
      </c>
      <c r="F290" s="53" t="n">
        <v>0</v>
      </c>
      <c r="G290" s="53" t="n">
        <v>119</v>
      </c>
      <c r="H290" s="54" t="n">
        <v>13918.521</v>
      </c>
      <c r="I290" s="53" t="n">
        <f aca="false">IF(B290&gt;=Settings!$B$13,1,0)</f>
        <v>0</v>
      </c>
      <c r="J290" s="53" t="n">
        <v>1</v>
      </c>
      <c r="K290" s="53" t="n">
        <f aca="false">G290*I290*J290</f>
        <v>0</v>
      </c>
      <c r="L290" s="53" t="n">
        <f aca="false">F290*I290*J290</f>
        <v>0</v>
      </c>
      <c r="M290" s="54" t="n">
        <f aca="false">H290*I290*J290</f>
        <v>0</v>
      </c>
      <c r="N290" s="54" t="n">
        <f aca="false">E290*I290*J290</f>
        <v>-0</v>
      </c>
      <c r="O290" s="53" t="n">
        <f aca="false">G290*J290</f>
        <v>119</v>
      </c>
      <c r="P290" s="53" t="n">
        <f aca="false">F290*J290</f>
        <v>0</v>
      </c>
    </row>
    <row r="291" customFormat="false" ht="15" hidden="false" customHeight="false" outlineLevel="0" collapsed="false">
      <c r="A291" s="53" t="s">
        <v>93</v>
      </c>
      <c r="B291" s="53" t="s">
        <v>121</v>
      </c>
      <c r="C291" s="53" t="s">
        <v>318</v>
      </c>
      <c r="D291" s="53" t="s">
        <v>58</v>
      </c>
      <c r="E291" s="54" t="n">
        <v>195.41</v>
      </c>
      <c r="F291" s="53" t="n">
        <v>1</v>
      </c>
      <c r="G291" s="53" t="n">
        <v>3</v>
      </c>
      <c r="H291" s="54" t="n">
        <v>586.23</v>
      </c>
      <c r="I291" s="53" t="n">
        <f aca="false">IF(B291&gt;=Settings!$B$13,1,0)</f>
        <v>0</v>
      </c>
      <c r="J291" s="53" t="n">
        <v>1</v>
      </c>
      <c r="K291" s="53" t="n">
        <f aca="false">G291*I291*J291</f>
        <v>0</v>
      </c>
      <c r="L291" s="53" t="n">
        <f aca="false">F291*I291*J291</f>
        <v>0</v>
      </c>
      <c r="M291" s="54" t="n">
        <f aca="false">H291*I291*J291</f>
        <v>0</v>
      </c>
      <c r="N291" s="54" t="n">
        <f aca="false">E291*I291*J291</f>
        <v>0</v>
      </c>
      <c r="O291" s="53" t="n">
        <f aca="false">G291*J291</f>
        <v>3</v>
      </c>
      <c r="P291" s="53" t="n">
        <f aca="false">F291*J291</f>
        <v>1</v>
      </c>
    </row>
    <row r="292" customFormat="false" ht="15" hidden="false" customHeight="false" outlineLevel="0" collapsed="false">
      <c r="A292" s="53" t="s">
        <v>89</v>
      </c>
      <c r="B292" s="53" t="s">
        <v>121</v>
      </c>
      <c r="C292" s="53" t="s">
        <v>333</v>
      </c>
      <c r="D292" s="53" t="s">
        <v>54</v>
      </c>
      <c r="E292" s="54" t="n">
        <v>0</v>
      </c>
      <c r="F292" s="53" t="n">
        <v>0</v>
      </c>
      <c r="G292" s="53" t="n">
        <v>41</v>
      </c>
      <c r="H292" s="54" t="n">
        <v>3375.06</v>
      </c>
      <c r="I292" s="53" t="n">
        <f aca="false">IF(B292&gt;=Settings!$B$13,1,0)</f>
        <v>0</v>
      </c>
      <c r="J292" s="53" t="n">
        <v>1</v>
      </c>
      <c r="K292" s="53" t="n">
        <f aca="false">G292*I292*J292</f>
        <v>0</v>
      </c>
      <c r="L292" s="53" t="n">
        <f aca="false">F292*I292*J292</f>
        <v>0</v>
      </c>
      <c r="M292" s="54" t="n">
        <f aca="false">H292*I292*J292</f>
        <v>0</v>
      </c>
      <c r="N292" s="54" t="n">
        <f aca="false">E292*I292*J292</f>
        <v>-0</v>
      </c>
      <c r="O292" s="53" t="n">
        <f aca="false">G292*J292</f>
        <v>41</v>
      </c>
      <c r="P292" s="53" t="n">
        <f aca="false">F292*J292</f>
        <v>0</v>
      </c>
    </row>
    <row r="293" customFormat="false" ht="15" hidden="false" customHeight="false" outlineLevel="0" collapsed="false">
      <c r="A293" s="53" t="s">
        <v>100</v>
      </c>
      <c r="B293" s="53" t="s">
        <v>121</v>
      </c>
      <c r="C293" s="53" t="s">
        <v>333</v>
      </c>
      <c r="D293" s="53" t="s">
        <v>54</v>
      </c>
      <c r="E293" s="54" t="n">
        <v>0</v>
      </c>
      <c r="F293" s="53" t="n">
        <v>0</v>
      </c>
      <c r="G293" s="53" t="n">
        <v>2</v>
      </c>
      <c r="H293" s="54" t="n">
        <v>182.71</v>
      </c>
      <c r="I293" s="53" t="n">
        <f aca="false">IF(B293&gt;=Settings!$B$13,1,0)</f>
        <v>0</v>
      </c>
      <c r="J293" s="53" t="n">
        <v>1</v>
      </c>
      <c r="K293" s="53" t="n">
        <f aca="false">G293*I293*J293</f>
        <v>0</v>
      </c>
      <c r="L293" s="53" t="n">
        <f aca="false">F293*I293*J293</f>
        <v>0</v>
      </c>
      <c r="M293" s="54" t="n">
        <f aca="false">H293*I293*J293</f>
        <v>0</v>
      </c>
      <c r="N293" s="54" t="n">
        <f aca="false">E293*I293*J293</f>
        <v>-0</v>
      </c>
      <c r="O293" s="53" t="n">
        <f aca="false">G293*J293</f>
        <v>2</v>
      </c>
      <c r="P293" s="53" t="n">
        <f aca="false">F293*J293</f>
        <v>0</v>
      </c>
    </row>
    <row r="294" customFormat="false" ht="15" hidden="false" customHeight="false" outlineLevel="0" collapsed="false">
      <c r="A294" s="53" t="s">
        <v>93</v>
      </c>
      <c r="B294" s="53" t="s">
        <v>121</v>
      </c>
      <c r="C294" s="53" t="s">
        <v>330</v>
      </c>
      <c r="D294" s="53" t="s">
        <v>46</v>
      </c>
      <c r="E294" s="54" t="n">
        <v>0</v>
      </c>
      <c r="F294" s="53" t="n">
        <v>0</v>
      </c>
      <c r="G294" s="53" t="n">
        <v>24</v>
      </c>
      <c r="H294" s="54" t="n">
        <v>3226.31</v>
      </c>
      <c r="I294" s="53" t="n">
        <f aca="false">IF(B294&gt;=Settings!$B$13,1,0)</f>
        <v>0</v>
      </c>
      <c r="J294" s="53" t="n">
        <v>1</v>
      </c>
      <c r="K294" s="53" t="n">
        <f aca="false">G294*I294*J294</f>
        <v>0</v>
      </c>
      <c r="L294" s="53" t="n">
        <f aca="false">F294*I294*J294</f>
        <v>0</v>
      </c>
      <c r="M294" s="54" t="n">
        <f aca="false">H294*I294*J294</f>
        <v>0</v>
      </c>
      <c r="N294" s="54" t="n">
        <f aca="false">E294*I294*J294</f>
        <v>-0</v>
      </c>
      <c r="O294" s="53" t="n">
        <f aca="false">G294*J294</f>
        <v>24</v>
      </c>
      <c r="P294" s="53" t="n">
        <f aca="false">F294*J294</f>
        <v>0</v>
      </c>
    </row>
    <row r="295" customFormat="false" ht="15" hidden="false" customHeight="false" outlineLevel="0" collapsed="false">
      <c r="A295" s="53" t="s">
        <v>89</v>
      </c>
      <c r="B295" s="53" t="s">
        <v>121</v>
      </c>
      <c r="C295" s="53" t="s">
        <v>373</v>
      </c>
      <c r="D295" s="53" t="s">
        <v>42</v>
      </c>
      <c r="E295" s="54" t="n">
        <v>0</v>
      </c>
      <c r="F295" s="53" t="n">
        <v>0</v>
      </c>
      <c r="G295" s="53" t="n">
        <v>1</v>
      </c>
      <c r="H295" s="54" t="n">
        <v>169.8</v>
      </c>
      <c r="I295" s="53" t="n">
        <f aca="false">IF(B295&gt;=Settings!$B$13,1,0)</f>
        <v>0</v>
      </c>
      <c r="J295" s="53" t="n">
        <v>1</v>
      </c>
      <c r="K295" s="53" t="n">
        <f aca="false">G295*I295*J295</f>
        <v>0</v>
      </c>
      <c r="L295" s="53" t="n">
        <f aca="false">F295*I295*J295</f>
        <v>0</v>
      </c>
      <c r="M295" s="54" t="n">
        <f aca="false">H295*I295*J295</f>
        <v>0</v>
      </c>
      <c r="N295" s="54" t="n">
        <f aca="false">E295*I295*J295</f>
        <v>-0</v>
      </c>
      <c r="O295" s="53" t="n">
        <f aca="false">G295*J295</f>
        <v>1</v>
      </c>
      <c r="P295" s="53" t="n">
        <f aca="false">F295*J295</f>
        <v>0</v>
      </c>
    </row>
    <row r="296" customFormat="false" ht="15" hidden="false" customHeight="false" outlineLevel="0" collapsed="false">
      <c r="A296" s="53" t="s">
        <v>93</v>
      </c>
      <c r="B296" s="53" t="s">
        <v>121</v>
      </c>
      <c r="C296" s="53" t="s">
        <v>165</v>
      </c>
      <c r="D296" s="53" t="s">
        <v>42</v>
      </c>
      <c r="E296" s="54" t="n">
        <v>0</v>
      </c>
      <c r="F296" s="53" t="n">
        <v>0</v>
      </c>
      <c r="G296" s="53" t="n">
        <v>11</v>
      </c>
      <c r="H296" s="54" t="n">
        <v>1905.77</v>
      </c>
      <c r="I296" s="53" t="n">
        <f aca="false">IF(B296&gt;=Settings!$B$13,1,0)</f>
        <v>0</v>
      </c>
      <c r="J296" s="53" t="n">
        <v>1</v>
      </c>
      <c r="K296" s="53" t="n">
        <f aca="false">G296*I296*J296</f>
        <v>0</v>
      </c>
      <c r="L296" s="53" t="n">
        <f aca="false">F296*I296*J296</f>
        <v>0</v>
      </c>
      <c r="M296" s="54" t="n">
        <f aca="false">H296*I296*J296</f>
        <v>0</v>
      </c>
      <c r="N296" s="54" t="n">
        <f aca="false">E296*I296*J296</f>
        <v>-0</v>
      </c>
      <c r="O296" s="53" t="n">
        <f aca="false">G296*J296</f>
        <v>11</v>
      </c>
      <c r="P296" s="53" t="n">
        <f aca="false">F296*J296</f>
        <v>0</v>
      </c>
    </row>
    <row r="297" customFormat="false" ht="15" hidden="false" customHeight="false" outlineLevel="0" collapsed="false">
      <c r="A297" s="53" t="s">
        <v>97</v>
      </c>
      <c r="B297" s="53" t="s">
        <v>121</v>
      </c>
      <c r="C297" s="53" t="s">
        <v>372</v>
      </c>
      <c r="D297" s="53" t="s">
        <v>42</v>
      </c>
      <c r="E297" s="54" t="n">
        <v>0</v>
      </c>
      <c r="F297" s="53" t="n">
        <v>0</v>
      </c>
      <c r="G297" s="53" t="n">
        <v>5</v>
      </c>
      <c r="H297" s="54" t="n">
        <v>664.75</v>
      </c>
      <c r="I297" s="53" t="n">
        <f aca="false">IF(B297&gt;=Settings!$B$13,1,0)</f>
        <v>0</v>
      </c>
      <c r="J297" s="53" t="n">
        <v>1</v>
      </c>
      <c r="K297" s="53" t="n">
        <f aca="false">G297*I297*J297</f>
        <v>0</v>
      </c>
      <c r="L297" s="53" t="n">
        <f aca="false">F297*I297*J297</f>
        <v>0</v>
      </c>
      <c r="M297" s="54" t="n">
        <f aca="false">H297*I297*J297</f>
        <v>0</v>
      </c>
      <c r="N297" s="54" t="n">
        <f aca="false">E297*I297*J297</f>
        <v>-0</v>
      </c>
      <c r="O297" s="53" t="n">
        <f aca="false">G297*J297</f>
        <v>5</v>
      </c>
      <c r="P297" s="53" t="n">
        <f aca="false">F297*J297</f>
        <v>0</v>
      </c>
    </row>
    <row r="298" customFormat="false" ht="15" hidden="false" customHeight="false" outlineLevel="0" collapsed="false">
      <c r="A298" s="53" t="s">
        <v>89</v>
      </c>
      <c r="B298" s="53" t="s">
        <v>121</v>
      </c>
      <c r="C298" s="53" t="s">
        <v>322</v>
      </c>
      <c r="D298" s="53" t="s">
        <v>54</v>
      </c>
      <c r="E298" s="54" t="n">
        <v>0</v>
      </c>
      <c r="F298" s="53" t="n">
        <v>0</v>
      </c>
      <c r="G298" s="53" t="n">
        <v>251</v>
      </c>
      <c r="H298" s="54" t="n">
        <v>14852.479</v>
      </c>
      <c r="I298" s="53" t="n">
        <f aca="false">IF(B298&gt;=Settings!$B$13,1,0)</f>
        <v>0</v>
      </c>
      <c r="J298" s="53" t="n">
        <v>1</v>
      </c>
      <c r="K298" s="53" t="n">
        <f aca="false">G298*I298*J298</f>
        <v>0</v>
      </c>
      <c r="L298" s="53" t="n">
        <f aca="false">F298*I298*J298</f>
        <v>0</v>
      </c>
      <c r="M298" s="54" t="n">
        <f aca="false">H298*I298*J298</f>
        <v>0</v>
      </c>
      <c r="N298" s="54" t="n">
        <f aca="false">E298*I298*J298</f>
        <v>-0</v>
      </c>
      <c r="O298" s="53" t="n">
        <f aca="false">G298*J298</f>
        <v>251</v>
      </c>
      <c r="P298" s="53" t="n">
        <f aca="false">F298*J298</f>
        <v>0</v>
      </c>
    </row>
    <row r="299" customFormat="false" ht="15" hidden="false" customHeight="false" outlineLevel="0" collapsed="false">
      <c r="A299" s="53" t="s">
        <v>89</v>
      </c>
      <c r="B299" s="53" t="s">
        <v>121</v>
      </c>
      <c r="C299" s="53" t="s">
        <v>162</v>
      </c>
      <c r="D299" s="53" t="s">
        <v>42</v>
      </c>
      <c r="E299" s="54" t="n">
        <v>0</v>
      </c>
      <c r="F299" s="53" t="n">
        <v>0</v>
      </c>
      <c r="G299" s="53" t="n">
        <v>21</v>
      </c>
      <c r="H299" s="54" t="n">
        <v>3166.05</v>
      </c>
      <c r="I299" s="53" t="n">
        <f aca="false">IF(B299&gt;=Settings!$B$13,1,0)</f>
        <v>0</v>
      </c>
      <c r="J299" s="53" t="n">
        <v>1</v>
      </c>
      <c r="K299" s="53" t="n">
        <f aca="false">G299*I299*J299</f>
        <v>0</v>
      </c>
      <c r="L299" s="53" t="n">
        <f aca="false">F299*I299*J299</f>
        <v>0</v>
      </c>
      <c r="M299" s="54" t="n">
        <f aca="false">H299*I299*J299</f>
        <v>0</v>
      </c>
      <c r="N299" s="54" t="n">
        <f aca="false">E299*I299*J299</f>
        <v>-0</v>
      </c>
      <c r="O299" s="53" t="n">
        <f aca="false">G299*J299</f>
        <v>21</v>
      </c>
      <c r="P299" s="53" t="n">
        <f aca="false">F299*J299</f>
        <v>0</v>
      </c>
    </row>
    <row r="300" customFormat="false" ht="15" hidden="false" customHeight="false" outlineLevel="0" collapsed="false">
      <c r="A300" s="53" t="s">
        <v>89</v>
      </c>
      <c r="B300" s="53" t="s">
        <v>121</v>
      </c>
      <c r="C300" s="53" t="s">
        <v>323</v>
      </c>
      <c r="D300" s="53" t="s">
        <v>62</v>
      </c>
      <c r="E300" s="54" t="n">
        <v>0</v>
      </c>
      <c r="F300" s="53" t="n">
        <v>0</v>
      </c>
      <c r="G300" s="53" t="n">
        <v>5</v>
      </c>
      <c r="H300" s="54" t="n">
        <v>783.09</v>
      </c>
      <c r="I300" s="53" t="n">
        <f aca="false">IF(B300&gt;=Settings!$B$13,1,0)</f>
        <v>0</v>
      </c>
      <c r="J300" s="53" t="n">
        <v>1</v>
      </c>
      <c r="K300" s="53" t="n">
        <f aca="false">G300*I300*J300</f>
        <v>0</v>
      </c>
      <c r="L300" s="53" t="n">
        <f aca="false">F300*I300*J300</f>
        <v>0</v>
      </c>
      <c r="M300" s="54" t="n">
        <f aca="false">H300*I300*J300</f>
        <v>0</v>
      </c>
      <c r="N300" s="54" t="n">
        <f aca="false">E300*I300*J300</f>
        <v>-0</v>
      </c>
      <c r="O300" s="53" t="n">
        <f aca="false">G300*J300</f>
        <v>5</v>
      </c>
      <c r="P300" s="53" t="n">
        <f aca="false">F300*J300</f>
        <v>0</v>
      </c>
    </row>
    <row r="301" customFormat="false" ht="15" hidden="false" customHeight="false" outlineLevel="0" collapsed="false">
      <c r="A301" s="53" t="s">
        <v>89</v>
      </c>
      <c r="B301" s="53" t="s">
        <v>121</v>
      </c>
      <c r="C301" s="53" t="s">
        <v>328</v>
      </c>
      <c r="D301" s="53" t="s">
        <v>50</v>
      </c>
      <c r="E301" s="54" t="n">
        <v>0</v>
      </c>
      <c r="F301" s="53" t="n">
        <v>0</v>
      </c>
      <c r="G301" s="53" t="n">
        <v>8</v>
      </c>
      <c r="H301" s="54" t="n">
        <v>783.13</v>
      </c>
      <c r="I301" s="53" t="n">
        <f aca="false">IF(B301&gt;=Settings!$B$13,1,0)</f>
        <v>0</v>
      </c>
      <c r="J301" s="53" t="n">
        <v>1</v>
      </c>
      <c r="K301" s="53" t="n">
        <f aca="false">G301*I301*J301</f>
        <v>0</v>
      </c>
      <c r="L301" s="53" t="n">
        <f aca="false">F301*I301*J301</f>
        <v>0</v>
      </c>
      <c r="M301" s="54" t="n">
        <f aca="false">H301*I301*J301</f>
        <v>0</v>
      </c>
      <c r="N301" s="54" t="n">
        <f aca="false">E301*I301*J301</f>
        <v>-0</v>
      </c>
      <c r="O301" s="53" t="n">
        <f aca="false">G301*J301</f>
        <v>8</v>
      </c>
      <c r="P301" s="53" t="n">
        <f aca="false">F301*J301</f>
        <v>0</v>
      </c>
    </row>
    <row r="302" customFormat="false" ht="15" hidden="false" customHeight="false" outlineLevel="0" collapsed="false">
      <c r="A302" s="53" t="s">
        <v>89</v>
      </c>
      <c r="B302" s="53" t="s">
        <v>121</v>
      </c>
      <c r="C302" s="53" t="s">
        <v>389</v>
      </c>
      <c r="D302" s="53" t="s">
        <v>66</v>
      </c>
      <c r="E302" s="54" t="n">
        <v>0</v>
      </c>
      <c r="F302" s="53" t="n">
        <v>0</v>
      </c>
      <c r="G302" s="53" t="n">
        <v>1</v>
      </c>
      <c r="H302" s="54" t="n">
        <v>89.55</v>
      </c>
      <c r="I302" s="53" t="n">
        <f aca="false">IF(B302&gt;=Settings!$B$13,1,0)</f>
        <v>0</v>
      </c>
      <c r="J302" s="53" t="n">
        <v>1</v>
      </c>
      <c r="K302" s="53" t="n">
        <f aca="false">G302*I302*J302</f>
        <v>0</v>
      </c>
      <c r="L302" s="53" t="n">
        <f aca="false">F302*I302*J302</f>
        <v>0</v>
      </c>
      <c r="M302" s="54" t="n">
        <f aca="false">H302*I302*J302</f>
        <v>0</v>
      </c>
      <c r="N302" s="54" t="n">
        <f aca="false">E302*I302*J302</f>
        <v>-0</v>
      </c>
      <c r="O302" s="53" t="n">
        <f aca="false">G302*J302</f>
        <v>1</v>
      </c>
      <c r="P302" s="53" t="n">
        <f aca="false">F302*J302</f>
        <v>0</v>
      </c>
    </row>
    <row r="303" customFormat="false" ht="15" hidden="false" customHeight="false" outlineLevel="0" collapsed="false">
      <c r="A303" s="53" t="s">
        <v>89</v>
      </c>
      <c r="B303" s="53" t="s">
        <v>121</v>
      </c>
      <c r="C303" s="53" t="s">
        <v>156</v>
      </c>
      <c r="D303" s="53" t="s">
        <v>58</v>
      </c>
      <c r="E303" s="54" t="n">
        <v>0</v>
      </c>
      <c r="F303" s="53" t="n">
        <v>0</v>
      </c>
      <c r="G303" s="53" t="n">
        <v>128</v>
      </c>
      <c r="H303" s="54" t="n">
        <v>11295.851</v>
      </c>
      <c r="I303" s="53" t="n">
        <f aca="false">IF(B303&gt;=Settings!$B$13,1,0)</f>
        <v>0</v>
      </c>
      <c r="J303" s="53" t="n">
        <v>1</v>
      </c>
      <c r="K303" s="53" t="n">
        <f aca="false">G303*I303*J303</f>
        <v>0</v>
      </c>
      <c r="L303" s="53" t="n">
        <f aca="false">F303*I303*J303</f>
        <v>0</v>
      </c>
      <c r="M303" s="54" t="n">
        <f aca="false">H303*I303*J303</f>
        <v>0</v>
      </c>
      <c r="N303" s="54" t="n">
        <f aca="false">E303*I303*J303</f>
        <v>-0</v>
      </c>
      <c r="O303" s="53" t="n">
        <f aca="false">G303*J303</f>
        <v>128</v>
      </c>
      <c r="P303" s="53" t="n">
        <f aca="false">F303*J303</f>
        <v>0</v>
      </c>
    </row>
    <row r="304" customFormat="false" ht="15" hidden="false" customHeight="false" outlineLevel="0" collapsed="false">
      <c r="A304" s="53" t="s">
        <v>97</v>
      </c>
      <c r="B304" s="53" t="s">
        <v>121</v>
      </c>
      <c r="C304" s="53" t="s">
        <v>390</v>
      </c>
      <c r="D304" s="53" t="s">
        <v>54</v>
      </c>
      <c r="E304" s="54" t="n">
        <v>101.96</v>
      </c>
      <c r="F304" s="53" t="n">
        <v>1</v>
      </c>
      <c r="G304" s="53" t="n">
        <v>20</v>
      </c>
      <c r="H304" s="54" t="n">
        <v>1994</v>
      </c>
      <c r="I304" s="53" t="n">
        <f aca="false">IF(B304&gt;=Settings!$B$13,1,0)</f>
        <v>0</v>
      </c>
      <c r="J304" s="53" t="n">
        <v>1</v>
      </c>
      <c r="K304" s="53" t="n">
        <f aca="false">G304*I304*J304</f>
        <v>0</v>
      </c>
      <c r="L304" s="53" t="n">
        <f aca="false">F304*I304*J304</f>
        <v>0</v>
      </c>
      <c r="M304" s="54" t="n">
        <f aca="false">H304*I304*J304</f>
        <v>0</v>
      </c>
      <c r="N304" s="54" t="n">
        <f aca="false">E304*I304*J304</f>
        <v>0</v>
      </c>
      <c r="O304" s="53" t="n">
        <f aca="false">G304*J304</f>
        <v>20</v>
      </c>
      <c r="P304" s="53" t="n">
        <f aca="false">F304*J304</f>
        <v>1</v>
      </c>
    </row>
    <row r="305" customFormat="false" ht="15" hidden="false" customHeight="false" outlineLevel="0" collapsed="false">
      <c r="A305" s="53" t="s">
        <v>93</v>
      </c>
      <c r="B305" s="53" t="s">
        <v>121</v>
      </c>
      <c r="C305" s="53" t="s">
        <v>316</v>
      </c>
      <c r="D305" s="53" t="s">
        <v>62</v>
      </c>
      <c r="E305" s="54" t="n">
        <v>0</v>
      </c>
      <c r="F305" s="53" t="n">
        <v>0</v>
      </c>
      <c r="G305" s="53" t="n">
        <v>3</v>
      </c>
      <c r="H305" s="54" t="n">
        <v>336.08</v>
      </c>
      <c r="I305" s="53" t="n">
        <f aca="false">IF(B305&gt;=Settings!$B$13,1,0)</f>
        <v>0</v>
      </c>
      <c r="J305" s="53" t="n">
        <v>1</v>
      </c>
      <c r="K305" s="53" t="n">
        <f aca="false">G305*I305*J305</f>
        <v>0</v>
      </c>
      <c r="L305" s="53" t="n">
        <f aca="false">F305*I305*J305</f>
        <v>0</v>
      </c>
      <c r="M305" s="54" t="n">
        <f aca="false">H305*I305*J305</f>
        <v>0</v>
      </c>
      <c r="N305" s="54" t="n">
        <f aca="false">E305*I305*J305</f>
        <v>-0</v>
      </c>
      <c r="O305" s="53" t="n">
        <f aca="false">G305*J305</f>
        <v>3</v>
      </c>
      <c r="P305" s="53" t="n">
        <f aca="false">F305*J305</f>
        <v>0</v>
      </c>
    </row>
    <row r="306" customFormat="false" ht="15" hidden="false" customHeight="false" outlineLevel="0" collapsed="false">
      <c r="A306" s="53" t="s">
        <v>97</v>
      </c>
      <c r="B306" s="53" t="s">
        <v>121</v>
      </c>
      <c r="C306" s="53" t="s">
        <v>338</v>
      </c>
      <c r="D306" s="53" t="s">
        <v>50</v>
      </c>
      <c r="E306" s="54" t="n">
        <v>79.95</v>
      </c>
      <c r="F306" s="53" t="n">
        <v>1</v>
      </c>
      <c r="G306" s="53" t="n">
        <v>13</v>
      </c>
      <c r="H306" s="54" t="n">
        <v>1219.35</v>
      </c>
      <c r="I306" s="53" t="n">
        <f aca="false">IF(B306&gt;=Settings!$B$13,1,0)</f>
        <v>0</v>
      </c>
      <c r="J306" s="53" t="n">
        <v>1</v>
      </c>
      <c r="K306" s="53" t="n">
        <f aca="false">G306*I306*J306</f>
        <v>0</v>
      </c>
      <c r="L306" s="53" t="n">
        <f aca="false">F306*I306*J306</f>
        <v>0</v>
      </c>
      <c r="M306" s="54" t="n">
        <f aca="false">H306*I306*J306</f>
        <v>0</v>
      </c>
      <c r="N306" s="54" t="n">
        <f aca="false">E306*I306*J306</f>
        <v>0</v>
      </c>
      <c r="O306" s="53" t="n">
        <f aca="false">G306*J306</f>
        <v>13</v>
      </c>
      <c r="P306" s="53" t="n">
        <f aca="false">F306*J306</f>
        <v>1</v>
      </c>
    </row>
    <row r="307" customFormat="false" ht="15" hidden="false" customHeight="false" outlineLevel="0" collapsed="false">
      <c r="A307" s="53" t="s">
        <v>100</v>
      </c>
      <c r="B307" s="53" t="s">
        <v>121</v>
      </c>
      <c r="C307" s="53" t="s">
        <v>357</v>
      </c>
      <c r="D307" s="53" t="s">
        <v>54</v>
      </c>
      <c r="E307" s="54" t="n">
        <v>0</v>
      </c>
      <c r="F307" s="53" t="n">
        <v>0</v>
      </c>
      <c r="G307" s="53" t="n">
        <v>1</v>
      </c>
      <c r="H307" s="54" t="n">
        <v>101.51</v>
      </c>
      <c r="I307" s="53" t="n">
        <f aca="false">IF(B307&gt;=Settings!$B$13,1,0)</f>
        <v>0</v>
      </c>
      <c r="J307" s="53" t="n">
        <v>1</v>
      </c>
      <c r="K307" s="53" t="n">
        <f aca="false">G307*I307*J307</f>
        <v>0</v>
      </c>
      <c r="L307" s="53" t="n">
        <f aca="false">F307*I307*J307</f>
        <v>0</v>
      </c>
      <c r="M307" s="54" t="n">
        <f aca="false">H307*I307*J307</f>
        <v>0</v>
      </c>
      <c r="N307" s="54" t="n">
        <f aca="false">E307*I307*J307</f>
        <v>-0</v>
      </c>
      <c r="O307" s="53" t="n">
        <f aca="false">G307*J307</f>
        <v>1</v>
      </c>
      <c r="P307" s="53" t="n">
        <f aca="false">F307*J307</f>
        <v>0</v>
      </c>
    </row>
    <row r="308" customFormat="false" ht="15" hidden="false" customHeight="false" outlineLevel="0" collapsed="false">
      <c r="A308" s="53" t="s">
        <v>93</v>
      </c>
      <c r="B308" s="53" t="s">
        <v>121</v>
      </c>
      <c r="C308" s="53" t="s">
        <v>160</v>
      </c>
      <c r="D308" s="53" t="s">
        <v>58</v>
      </c>
      <c r="E308" s="54" t="n">
        <v>0</v>
      </c>
      <c r="F308" s="53" t="n">
        <v>0</v>
      </c>
      <c r="G308" s="53" t="n">
        <v>5</v>
      </c>
      <c r="H308" s="54" t="n">
        <v>558.87</v>
      </c>
      <c r="I308" s="53" t="n">
        <f aca="false">IF(B308&gt;=Settings!$B$13,1,0)</f>
        <v>0</v>
      </c>
      <c r="J308" s="53" t="n">
        <v>1</v>
      </c>
      <c r="K308" s="53" t="n">
        <f aca="false">G308*I308*J308</f>
        <v>0</v>
      </c>
      <c r="L308" s="53" t="n">
        <f aca="false">F308*I308*J308</f>
        <v>0</v>
      </c>
      <c r="M308" s="54" t="n">
        <f aca="false">H308*I308*J308</f>
        <v>0</v>
      </c>
      <c r="N308" s="54" t="n">
        <f aca="false">E308*I308*J308</f>
        <v>-0</v>
      </c>
      <c r="O308" s="53" t="n">
        <f aca="false">G308*J308</f>
        <v>5</v>
      </c>
      <c r="P308" s="53" t="n">
        <f aca="false">F308*J308</f>
        <v>0</v>
      </c>
    </row>
    <row r="309" customFormat="false" ht="15" hidden="false" customHeight="false" outlineLevel="0" collapsed="false">
      <c r="A309" s="53" t="s">
        <v>93</v>
      </c>
      <c r="B309" s="53" t="s">
        <v>121</v>
      </c>
      <c r="C309" s="53" t="s">
        <v>145</v>
      </c>
      <c r="D309" s="53" t="s">
        <v>62</v>
      </c>
      <c r="E309" s="54" t="n">
        <v>0</v>
      </c>
      <c r="F309" s="53" t="n">
        <v>0</v>
      </c>
      <c r="G309" s="53" t="n">
        <v>1</v>
      </c>
      <c r="H309" s="54" t="n">
        <v>152.68</v>
      </c>
      <c r="I309" s="53" t="n">
        <f aca="false">IF(B309&gt;=Settings!$B$13,1,0)</f>
        <v>0</v>
      </c>
      <c r="J309" s="53" t="n">
        <v>1</v>
      </c>
      <c r="K309" s="53" t="n">
        <f aca="false">G309*I309*J309</f>
        <v>0</v>
      </c>
      <c r="L309" s="53" t="n">
        <f aca="false">F309*I309*J309</f>
        <v>0</v>
      </c>
      <c r="M309" s="54" t="n">
        <f aca="false">H309*I309*J309</f>
        <v>0</v>
      </c>
      <c r="N309" s="54" t="n">
        <f aca="false">E309*I309*J309</f>
        <v>-0</v>
      </c>
      <c r="O309" s="53" t="n">
        <f aca="false">G309*J309</f>
        <v>1</v>
      </c>
      <c r="P309" s="53" t="n">
        <f aca="false">F309*J309</f>
        <v>0</v>
      </c>
    </row>
    <row r="310" customFormat="false" ht="15" hidden="false" customHeight="false" outlineLevel="0" collapsed="false">
      <c r="A310" s="53" t="s">
        <v>93</v>
      </c>
      <c r="B310" s="53" t="s">
        <v>121</v>
      </c>
      <c r="C310" s="53" t="s">
        <v>322</v>
      </c>
      <c r="D310" s="53" t="s">
        <v>54</v>
      </c>
      <c r="E310" s="54" t="n">
        <v>0</v>
      </c>
      <c r="F310" s="53" t="n">
        <v>0</v>
      </c>
      <c r="G310" s="53" t="n">
        <v>36</v>
      </c>
      <c r="H310" s="54" t="n">
        <v>1975.49</v>
      </c>
      <c r="I310" s="53" t="n">
        <f aca="false">IF(B310&gt;=Settings!$B$13,1,0)</f>
        <v>0</v>
      </c>
      <c r="J310" s="53" t="n">
        <v>1</v>
      </c>
      <c r="K310" s="53" t="n">
        <f aca="false">G310*I310*J310</f>
        <v>0</v>
      </c>
      <c r="L310" s="53" t="n">
        <f aca="false">F310*I310*J310</f>
        <v>0</v>
      </c>
      <c r="M310" s="54" t="n">
        <f aca="false">H310*I310*J310</f>
        <v>0</v>
      </c>
      <c r="N310" s="54" t="n">
        <f aca="false">E310*I310*J310</f>
        <v>-0</v>
      </c>
      <c r="O310" s="53" t="n">
        <f aca="false">G310*J310</f>
        <v>36</v>
      </c>
      <c r="P310" s="53" t="n">
        <f aca="false">F310*J310</f>
        <v>0</v>
      </c>
    </row>
    <row r="311" customFormat="false" ht="15" hidden="false" customHeight="false" outlineLevel="0" collapsed="false">
      <c r="A311" s="53" t="s">
        <v>89</v>
      </c>
      <c r="B311" s="53" t="s">
        <v>121</v>
      </c>
      <c r="C311" s="53" t="s">
        <v>145</v>
      </c>
      <c r="D311" s="53" t="s">
        <v>62</v>
      </c>
      <c r="E311" s="54" t="n">
        <v>0</v>
      </c>
      <c r="F311" s="53" t="n">
        <v>0</v>
      </c>
      <c r="G311" s="53" t="n">
        <v>5</v>
      </c>
      <c r="H311" s="54" t="n">
        <v>803.75</v>
      </c>
      <c r="I311" s="53" t="n">
        <f aca="false">IF(B311&gt;=Settings!$B$13,1,0)</f>
        <v>0</v>
      </c>
      <c r="J311" s="53" t="n">
        <v>1</v>
      </c>
      <c r="K311" s="53" t="n">
        <f aca="false">G311*I311*J311</f>
        <v>0</v>
      </c>
      <c r="L311" s="53" t="n">
        <f aca="false">F311*I311*J311</f>
        <v>0</v>
      </c>
      <c r="M311" s="54" t="n">
        <f aca="false">H311*I311*J311</f>
        <v>0</v>
      </c>
      <c r="N311" s="54" t="n">
        <f aca="false">E311*I311*J311</f>
        <v>-0</v>
      </c>
      <c r="O311" s="53" t="n">
        <f aca="false">G311*J311</f>
        <v>5</v>
      </c>
      <c r="P311" s="53" t="n">
        <f aca="false">F311*J311</f>
        <v>0</v>
      </c>
    </row>
    <row r="312" customFormat="false" ht="15" hidden="false" customHeight="false" outlineLevel="0" collapsed="false">
      <c r="A312" s="53" t="s">
        <v>89</v>
      </c>
      <c r="B312" s="53" t="s">
        <v>121</v>
      </c>
      <c r="C312" s="53" t="s">
        <v>360</v>
      </c>
      <c r="D312" s="53" t="s">
        <v>54</v>
      </c>
      <c r="E312" s="54" t="n">
        <v>0</v>
      </c>
      <c r="F312" s="53" t="n">
        <v>0</v>
      </c>
      <c r="G312" s="53" t="n">
        <v>33</v>
      </c>
      <c r="H312" s="54" t="n">
        <v>3465.384</v>
      </c>
      <c r="I312" s="53" t="n">
        <f aca="false">IF(B312&gt;=Settings!$B$13,1,0)</f>
        <v>0</v>
      </c>
      <c r="J312" s="53" t="n">
        <v>1</v>
      </c>
      <c r="K312" s="53" t="n">
        <f aca="false">G312*I312*J312</f>
        <v>0</v>
      </c>
      <c r="L312" s="53" t="n">
        <f aca="false">F312*I312*J312</f>
        <v>0</v>
      </c>
      <c r="M312" s="54" t="n">
        <f aca="false">H312*I312*J312</f>
        <v>0</v>
      </c>
      <c r="N312" s="54" t="n">
        <f aca="false">E312*I312*J312</f>
        <v>-0</v>
      </c>
      <c r="O312" s="53" t="n">
        <f aca="false">G312*J312</f>
        <v>33</v>
      </c>
      <c r="P312" s="53" t="n">
        <f aca="false">F312*J312</f>
        <v>0</v>
      </c>
    </row>
    <row r="313" customFormat="false" ht="15" hidden="false" customHeight="false" outlineLevel="0" collapsed="false">
      <c r="A313" s="53" t="s">
        <v>89</v>
      </c>
      <c r="B313" s="53" t="s">
        <v>121</v>
      </c>
      <c r="C313" s="53" t="s">
        <v>159</v>
      </c>
      <c r="D313" s="53" t="s">
        <v>50</v>
      </c>
      <c r="E313" s="54" t="n">
        <v>0</v>
      </c>
      <c r="F313" s="53" t="n">
        <v>0</v>
      </c>
      <c r="G313" s="53" t="n">
        <v>4</v>
      </c>
      <c r="H313" s="54" t="n">
        <v>504.905</v>
      </c>
      <c r="I313" s="53" t="n">
        <f aca="false">IF(B313&gt;=Settings!$B$13,1,0)</f>
        <v>0</v>
      </c>
      <c r="J313" s="53" t="n">
        <v>1</v>
      </c>
      <c r="K313" s="53" t="n">
        <f aca="false">G313*I313*J313</f>
        <v>0</v>
      </c>
      <c r="L313" s="53" t="n">
        <f aca="false">F313*I313*J313</f>
        <v>0</v>
      </c>
      <c r="M313" s="54" t="n">
        <f aca="false">H313*I313*J313</f>
        <v>0</v>
      </c>
      <c r="N313" s="54" t="n">
        <f aca="false">E313*I313*J313</f>
        <v>-0</v>
      </c>
      <c r="O313" s="53" t="n">
        <f aca="false">G313*J313</f>
        <v>4</v>
      </c>
      <c r="P313" s="53" t="n">
        <f aca="false">F313*J313</f>
        <v>0</v>
      </c>
    </row>
    <row r="314" customFormat="false" ht="15" hidden="false" customHeight="false" outlineLevel="0" collapsed="false">
      <c r="A314" s="53" t="s">
        <v>93</v>
      </c>
      <c r="B314" s="53" t="s">
        <v>121</v>
      </c>
      <c r="C314" s="53" t="s">
        <v>154</v>
      </c>
      <c r="D314" s="53" t="s">
        <v>42</v>
      </c>
      <c r="E314" s="54" t="n">
        <v>92.05</v>
      </c>
      <c r="F314" s="53" t="n">
        <v>1</v>
      </c>
      <c r="G314" s="53" t="n">
        <v>14</v>
      </c>
      <c r="H314" s="54" t="n">
        <v>1094.94</v>
      </c>
      <c r="I314" s="53" t="n">
        <f aca="false">IF(B314&gt;=Settings!$B$13,1,0)</f>
        <v>0</v>
      </c>
      <c r="J314" s="53" t="n">
        <v>1</v>
      </c>
      <c r="K314" s="53" t="n">
        <f aca="false">G314*I314*J314</f>
        <v>0</v>
      </c>
      <c r="L314" s="53" t="n">
        <f aca="false">F314*I314*J314</f>
        <v>0</v>
      </c>
      <c r="M314" s="54" t="n">
        <f aca="false">H314*I314*J314</f>
        <v>0</v>
      </c>
      <c r="N314" s="54" t="n">
        <f aca="false">E314*I314*J314</f>
        <v>0</v>
      </c>
      <c r="O314" s="53" t="n">
        <f aca="false">G314*J314</f>
        <v>14</v>
      </c>
      <c r="P314" s="53" t="n">
        <f aca="false">F314*J314</f>
        <v>1</v>
      </c>
    </row>
    <row r="315" customFormat="false" ht="15" hidden="false" customHeight="false" outlineLevel="0" collapsed="false">
      <c r="A315" s="53" t="s">
        <v>89</v>
      </c>
      <c r="B315" s="53" t="s">
        <v>121</v>
      </c>
      <c r="C315" s="53" t="s">
        <v>318</v>
      </c>
      <c r="D315" s="53" t="s">
        <v>58</v>
      </c>
      <c r="E315" s="54" t="n">
        <v>0</v>
      </c>
      <c r="F315" s="53" t="n">
        <v>0</v>
      </c>
      <c r="G315" s="53" t="n">
        <v>1</v>
      </c>
      <c r="H315" s="54" t="n">
        <v>224.6</v>
      </c>
      <c r="I315" s="53" t="n">
        <f aca="false">IF(B315&gt;=Settings!$B$13,1,0)</f>
        <v>0</v>
      </c>
      <c r="J315" s="53" t="n">
        <v>1</v>
      </c>
      <c r="K315" s="53" t="n">
        <f aca="false">G315*I315*J315</f>
        <v>0</v>
      </c>
      <c r="L315" s="53" t="n">
        <f aca="false">F315*I315*J315</f>
        <v>0</v>
      </c>
      <c r="M315" s="54" t="n">
        <f aca="false">H315*I315*J315</f>
        <v>0</v>
      </c>
      <c r="N315" s="54" t="n">
        <f aca="false">E315*I315*J315</f>
        <v>-0</v>
      </c>
      <c r="O315" s="53" t="n">
        <f aca="false">G315*J315</f>
        <v>1</v>
      </c>
      <c r="P315" s="53" t="n">
        <f aca="false">F315*J315</f>
        <v>0</v>
      </c>
    </row>
    <row r="316" customFormat="false" ht="15" hidden="false" customHeight="false" outlineLevel="0" collapsed="false">
      <c r="A316" s="53" t="s">
        <v>89</v>
      </c>
      <c r="B316" s="53" t="s">
        <v>121</v>
      </c>
      <c r="C316" s="53" t="s">
        <v>316</v>
      </c>
      <c r="D316" s="53" t="s">
        <v>62</v>
      </c>
      <c r="E316" s="54" t="n">
        <v>0</v>
      </c>
      <c r="F316" s="53" t="n">
        <v>0</v>
      </c>
      <c r="G316" s="53" t="n">
        <v>1</v>
      </c>
      <c r="H316" s="54" t="n">
        <v>150.92</v>
      </c>
      <c r="I316" s="53" t="n">
        <f aca="false">IF(B316&gt;=Settings!$B$13,1,0)</f>
        <v>0</v>
      </c>
      <c r="J316" s="53" t="n">
        <v>1</v>
      </c>
      <c r="K316" s="53" t="n">
        <f aca="false">G316*I316*J316</f>
        <v>0</v>
      </c>
      <c r="L316" s="53" t="n">
        <f aca="false">F316*I316*J316</f>
        <v>0</v>
      </c>
      <c r="M316" s="54" t="n">
        <f aca="false">H316*I316*J316</f>
        <v>0</v>
      </c>
      <c r="N316" s="54" t="n">
        <f aca="false">E316*I316*J316</f>
        <v>-0</v>
      </c>
      <c r="O316" s="53" t="n">
        <f aca="false">G316*J316</f>
        <v>1</v>
      </c>
      <c r="P316" s="53" t="n">
        <f aca="false">F316*J316</f>
        <v>0</v>
      </c>
    </row>
    <row r="317" customFormat="false" ht="15" hidden="false" customHeight="false" outlineLevel="0" collapsed="false">
      <c r="A317" s="53" t="s">
        <v>89</v>
      </c>
      <c r="B317" s="53" t="s">
        <v>121</v>
      </c>
      <c r="C317" s="53" t="s">
        <v>158</v>
      </c>
      <c r="D317" s="53" t="s">
        <v>42</v>
      </c>
      <c r="E317" s="54" t="n">
        <v>0</v>
      </c>
      <c r="F317" s="53" t="n">
        <v>0</v>
      </c>
      <c r="G317" s="53" t="n">
        <v>46</v>
      </c>
      <c r="H317" s="54" t="n">
        <v>5427.69</v>
      </c>
      <c r="I317" s="53" t="n">
        <f aca="false">IF(B317&gt;=Settings!$B$13,1,0)</f>
        <v>0</v>
      </c>
      <c r="J317" s="53" t="n">
        <v>1</v>
      </c>
      <c r="K317" s="53" t="n">
        <f aca="false">G317*I317*J317</f>
        <v>0</v>
      </c>
      <c r="L317" s="53" t="n">
        <f aca="false">F317*I317*J317</f>
        <v>0</v>
      </c>
      <c r="M317" s="54" t="n">
        <f aca="false">H317*I317*J317</f>
        <v>0</v>
      </c>
      <c r="N317" s="54" t="n">
        <f aca="false">E317*I317*J317</f>
        <v>-0</v>
      </c>
      <c r="O317" s="53" t="n">
        <f aca="false">G317*J317</f>
        <v>46</v>
      </c>
      <c r="P317" s="53" t="n">
        <f aca="false">F317*J317</f>
        <v>0</v>
      </c>
    </row>
    <row r="318" customFormat="false" ht="15" hidden="false" customHeight="false" outlineLevel="0" collapsed="false">
      <c r="A318" s="53" t="s">
        <v>89</v>
      </c>
      <c r="B318" s="53" t="s">
        <v>121</v>
      </c>
      <c r="C318" s="53" t="s">
        <v>347</v>
      </c>
      <c r="D318" s="53" t="s">
        <v>62</v>
      </c>
      <c r="E318" s="54" t="n">
        <v>0</v>
      </c>
      <c r="F318" s="53" t="n">
        <v>0</v>
      </c>
      <c r="G318" s="53" t="n">
        <v>58</v>
      </c>
      <c r="H318" s="54" t="n">
        <v>5018.242</v>
      </c>
      <c r="I318" s="53" t="n">
        <f aca="false">IF(B318&gt;=Settings!$B$13,1,0)</f>
        <v>0</v>
      </c>
      <c r="J318" s="53" t="n">
        <v>1</v>
      </c>
      <c r="K318" s="53" t="n">
        <f aca="false">G318*I318*J318</f>
        <v>0</v>
      </c>
      <c r="L318" s="53" t="n">
        <f aca="false">F318*I318*J318</f>
        <v>0</v>
      </c>
      <c r="M318" s="54" t="n">
        <f aca="false">H318*I318*J318</f>
        <v>0</v>
      </c>
      <c r="N318" s="54" t="n">
        <f aca="false">E318*I318*J318</f>
        <v>-0</v>
      </c>
      <c r="O318" s="53" t="n">
        <f aca="false">G318*J318</f>
        <v>58</v>
      </c>
      <c r="P318" s="53" t="n">
        <f aca="false">F318*J318</f>
        <v>0</v>
      </c>
    </row>
    <row r="319" customFormat="false" ht="15" hidden="false" customHeight="false" outlineLevel="0" collapsed="false">
      <c r="A319" s="53" t="s">
        <v>89</v>
      </c>
      <c r="B319" s="53" t="s">
        <v>121</v>
      </c>
      <c r="C319" s="53" t="s">
        <v>160</v>
      </c>
      <c r="D319" s="53" t="s">
        <v>58</v>
      </c>
      <c r="E319" s="54" t="n">
        <v>0</v>
      </c>
      <c r="F319" s="53" t="n">
        <v>0</v>
      </c>
      <c r="G319" s="53" t="n">
        <v>5</v>
      </c>
      <c r="H319" s="54" t="n">
        <v>574.75</v>
      </c>
      <c r="I319" s="53" t="n">
        <f aca="false">IF(B319&gt;=Settings!$B$13,1,0)</f>
        <v>0</v>
      </c>
      <c r="J319" s="53" t="n">
        <v>1</v>
      </c>
      <c r="K319" s="53" t="n">
        <f aca="false">G319*I319*J319</f>
        <v>0</v>
      </c>
      <c r="L319" s="53" t="n">
        <f aca="false">F319*I319*J319</f>
        <v>0</v>
      </c>
      <c r="M319" s="54" t="n">
        <f aca="false">H319*I319*J319</f>
        <v>0</v>
      </c>
      <c r="N319" s="54" t="n">
        <f aca="false">E319*I319*J319</f>
        <v>-0</v>
      </c>
      <c r="O319" s="53" t="n">
        <f aca="false">G319*J319</f>
        <v>5</v>
      </c>
      <c r="P319" s="53" t="n">
        <f aca="false">F319*J319</f>
        <v>0</v>
      </c>
    </row>
    <row r="320" customFormat="false" ht="15" hidden="false" customHeight="false" outlineLevel="0" collapsed="false">
      <c r="A320" s="53" t="s">
        <v>89</v>
      </c>
      <c r="B320" s="53" t="s">
        <v>121</v>
      </c>
      <c r="C320" s="53" t="s">
        <v>154</v>
      </c>
      <c r="D320" s="53" t="s">
        <v>42</v>
      </c>
      <c r="E320" s="54" t="n">
        <v>0</v>
      </c>
      <c r="F320" s="53" t="n">
        <v>0</v>
      </c>
      <c r="G320" s="53" t="n">
        <v>70</v>
      </c>
      <c r="H320" s="54" t="n">
        <v>6334.99</v>
      </c>
      <c r="I320" s="53" t="n">
        <f aca="false">IF(B320&gt;=Settings!$B$13,1,0)</f>
        <v>0</v>
      </c>
      <c r="J320" s="53" t="n">
        <v>1</v>
      </c>
      <c r="K320" s="53" t="n">
        <f aca="false">G320*I320*J320</f>
        <v>0</v>
      </c>
      <c r="L320" s="53" t="n">
        <f aca="false">F320*I320*J320</f>
        <v>0</v>
      </c>
      <c r="M320" s="54" t="n">
        <f aca="false">H320*I320*J320</f>
        <v>0</v>
      </c>
      <c r="N320" s="54" t="n">
        <f aca="false">E320*I320*J320</f>
        <v>-0</v>
      </c>
      <c r="O320" s="53" t="n">
        <f aca="false">G320*J320</f>
        <v>70</v>
      </c>
      <c r="P320" s="53" t="n">
        <f aca="false">F320*J320</f>
        <v>0</v>
      </c>
    </row>
    <row r="321" customFormat="false" ht="15" hidden="false" customHeight="false" outlineLevel="0" collapsed="false">
      <c r="A321" s="53" t="s">
        <v>93</v>
      </c>
      <c r="B321" s="53" t="s">
        <v>121</v>
      </c>
      <c r="C321" s="53" t="s">
        <v>357</v>
      </c>
      <c r="D321" s="53" t="s">
        <v>54</v>
      </c>
      <c r="E321" s="54" t="n">
        <v>0</v>
      </c>
      <c r="F321" s="53" t="n">
        <v>0</v>
      </c>
      <c r="G321" s="53" t="n">
        <v>23</v>
      </c>
      <c r="H321" s="54" t="n">
        <v>1950.5</v>
      </c>
      <c r="I321" s="53" t="n">
        <f aca="false">IF(B321&gt;=Settings!$B$13,1,0)</f>
        <v>0</v>
      </c>
      <c r="J321" s="53" t="n">
        <v>1</v>
      </c>
      <c r="K321" s="53" t="n">
        <f aca="false">G321*I321*J321</f>
        <v>0</v>
      </c>
      <c r="L321" s="53" t="n">
        <f aca="false">F321*I321*J321</f>
        <v>0</v>
      </c>
      <c r="M321" s="54" t="n">
        <f aca="false">H321*I321*J321</f>
        <v>0</v>
      </c>
      <c r="N321" s="54" t="n">
        <f aca="false">E321*I321*J321</f>
        <v>-0</v>
      </c>
      <c r="O321" s="53" t="n">
        <f aca="false">G321*J321</f>
        <v>23</v>
      </c>
      <c r="P321" s="53" t="n">
        <f aca="false">F321*J321</f>
        <v>0</v>
      </c>
    </row>
    <row r="322" customFormat="false" ht="15" hidden="false" customHeight="false" outlineLevel="0" collapsed="false">
      <c r="A322" s="53" t="s">
        <v>89</v>
      </c>
      <c r="B322" s="53" t="s">
        <v>121</v>
      </c>
      <c r="C322" s="53" t="s">
        <v>344</v>
      </c>
      <c r="D322" s="53" t="s">
        <v>50</v>
      </c>
      <c r="E322" s="54" t="n">
        <v>0</v>
      </c>
      <c r="F322" s="53" t="n">
        <v>0</v>
      </c>
      <c r="G322" s="53" t="n">
        <v>4</v>
      </c>
      <c r="H322" s="54" t="n">
        <v>479.8</v>
      </c>
      <c r="I322" s="53" t="n">
        <f aca="false">IF(B322&gt;=Settings!$B$13,1,0)</f>
        <v>0</v>
      </c>
      <c r="J322" s="53" t="n">
        <v>1</v>
      </c>
      <c r="K322" s="53" t="n">
        <f aca="false">G322*I322*J322</f>
        <v>0</v>
      </c>
      <c r="L322" s="53" t="n">
        <f aca="false">F322*I322*J322</f>
        <v>0</v>
      </c>
      <c r="M322" s="54" t="n">
        <f aca="false">H322*I322*J322</f>
        <v>0</v>
      </c>
      <c r="N322" s="54" t="n">
        <f aca="false">E322*I322*J322</f>
        <v>-0</v>
      </c>
      <c r="O322" s="53" t="n">
        <f aca="false">G322*J322</f>
        <v>4</v>
      </c>
      <c r="P322" s="53" t="n">
        <f aca="false">F322*J322</f>
        <v>0</v>
      </c>
    </row>
    <row r="323" customFormat="false" ht="15" hidden="false" customHeight="false" outlineLevel="0" collapsed="false">
      <c r="A323" s="53" t="s">
        <v>100</v>
      </c>
      <c r="B323" s="53" t="s">
        <v>121</v>
      </c>
      <c r="C323" s="53" t="s">
        <v>322</v>
      </c>
      <c r="D323" s="53" t="s">
        <v>54</v>
      </c>
      <c r="E323" s="54" t="n">
        <v>0</v>
      </c>
      <c r="F323" s="53" t="n">
        <v>0</v>
      </c>
      <c r="G323" s="53" t="n">
        <v>9</v>
      </c>
      <c r="H323" s="54" t="n">
        <v>593.05</v>
      </c>
      <c r="I323" s="53" t="n">
        <f aca="false">IF(B323&gt;=Settings!$B$13,1,0)</f>
        <v>0</v>
      </c>
      <c r="J323" s="53" t="n">
        <v>1</v>
      </c>
      <c r="K323" s="53" t="n">
        <f aca="false">G323*I323*J323</f>
        <v>0</v>
      </c>
      <c r="L323" s="53" t="n">
        <f aca="false">F323*I323*J323</f>
        <v>0</v>
      </c>
      <c r="M323" s="54" t="n">
        <f aca="false">H323*I323*J323</f>
        <v>0</v>
      </c>
      <c r="N323" s="54" t="n">
        <f aca="false">E323*I323*J323</f>
        <v>-0</v>
      </c>
      <c r="O323" s="53" t="n">
        <f aca="false">G323*J323</f>
        <v>9</v>
      </c>
      <c r="P323" s="53" t="n">
        <f aca="false">F323*J323</f>
        <v>0</v>
      </c>
    </row>
    <row r="324" customFormat="false" ht="15" hidden="false" customHeight="false" outlineLevel="0" collapsed="false">
      <c r="A324" s="53" t="s">
        <v>89</v>
      </c>
      <c r="B324" s="53" t="s">
        <v>121</v>
      </c>
      <c r="C324" s="53" t="s">
        <v>390</v>
      </c>
      <c r="D324" s="53" t="s">
        <v>54</v>
      </c>
      <c r="E324" s="54" t="n">
        <v>0</v>
      </c>
      <c r="F324" s="53" t="n">
        <v>0</v>
      </c>
      <c r="G324" s="53" t="n">
        <v>1</v>
      </c>
      <c r="H324" s="54" t="n">
        <v>74.95</v>
      </c>
      <c r="I324" s="53" t="n">
        <f aca="false">IF(B324&gt;=Settings!$B$13,1,0)</f>
        <v>0</v>
      </c>
      <c r="J324" s="53" t="n">
        <v>1</v>
      </c>
      <c r="K324" s="53" t="n">
        <f aca="false">G324*I324*J324</f>
        <v>0</v>
      </c>
      <c r="L324" s="53" t="n">
        <f aca="false">F324*I324*J324</f>
        <v>0</v>
      </c>
      <c r="M324" s="54" t="n">
        <f aca="false">H324*I324*J324</f>
        <v>0</v>
      </c>
      <c r="N324" s="54" t="n">
        <f aca="false">E324*I324*J324</f>
        <v>-0</v>
      </c>
      <c r="O324" s="53" t="n">
        <f aca="false">G324*J324</f>
        <v>1</v>
      </c>
      <c r="P324" s="53" t="n">
        <f aca="false">F324*J324</f>
        <v>0</v>
      </c>
    </row>
    <row r="325" customFormat="false" ht="15" hidden="false" customHeight="false" outlineLevel="0" collapsed="false">
      <c r="A325" s="53" t="s">
        <v>89</v>
      </c>
      <c r="B325" s="53" t="s">
        <v>121</v>
      </c>
      <c r="C325" s="53" t="s">
        <v>338</v>
      </c>
      <c r="D325" s="53" t="s">
        <v>50</v>
      </c>
      <c r="E325" s="54" t="n">
        <v>0</v>
      </c>
      <c r="F325" s="53" t="n">
        <v>0</v>
      </c>
      <c r="G325" s="53" t="n">
        <v>1</v>
      </c>
      <c r="H325" s="54" t="n">
        <v>94.95</v>
      </c>
      <c r="I325" s="53" t="n">
        <f aca="false">IF(B325&gt;=Settings!$B$13,1,0)</f>
        <v>0</v>
      </c>
      <c r="J325" s="53" t="n">
        <v>1</v>
      </c>
      <c r="K325" s="53" t="n">
        <f aca="false">G325*I325*J325</f>
        <v>0</v>
      </c>
      <c r="L325" s="53" t="n">
        <f aca="false">F325*I325*J325</f>
        <v>0</v>
      </c>
      <c r="M325" s="54" t="n">
        <f aca="false">H325*I325*J325</f>
        <v>0</v>
      </c>
      <c r="N325" s="54" t="n">
        <f aca="false">E325*I325*J325</f>
        <v>-0</v>
      </c>
      <c r="O325" s="53" t="n">
        <f aca="false">G325*J325</f>
        <v>1</v>
      </c>
      <c r="P325" s="53" t="n">
        <f aca="false">F325*J325</f>
        <v>0</v>
      </c>
    </row>
    <row r="326" customFormat="false" ht="15" hidden="false" customHeight="false" outlineLevel="0" collapsed="false">
      <c r="A326" s="53" t="s">
        <v>89</v>
      </c>
      <c r="B326" s="53" t="s">
        <v>122</v>
      </c>
      <c r="C326" s="53" t="s">
        <v>323</v>
      </c>
      <c r="D326" s="53" t="s">
        <v>62</v>
      </c>
      <c r="E326" s="54" t="n">
        <v>0</v>
      </c>
      <c r="F326" s="53" t="n">
        <v>0</v>
      </c>
      <c r="G326" s="53" t="n">
        <v>5</v>
      </c>
      <c r="H326" s="54" t="n">
        <v>727.53</v>
      </c>
      <c r="I326" s="53" t="n">
        <f aca="false">IF(B326&gt;=Settings!$B$13,1,0)</f>
        <v>0</v>
      </c>
      <c r="J326" s="53" t="n">
        <v>1</v>
      </c>
      <c r="K326" s="53" t="n">
        <f aca="false">G326*I326*J326</f>
        <v>0</v>
      </c>
      <c r="L326" s="53" t="n">
        <f aca="false">F326*I326*J326</f>
        <v>0</v>
      </c>
      <c r="M326" s="54" t="n">
        <f aca="false">H326*I326*J326</f>
        <v>0</v>
      </c>
      <c r="N326" s="54" t="n">
        <f aca="false">E326*I326*J326</f>
        <v>-0</v>
      </c>
      <c r="O326" s="53" t="n">
        <f aca="false">G326*J326</f>
        <v>5</v>
      </c>
      <c r="P326" s="53" t="n">
        <f aca="false">F326*J326</f>
        <v>0</v>
      </c>
    </row>
    <row r="327" customFormat="false" ht="15" hidden="false" customHeight="false" outlineLevel="0" collapsed="false">
      <c r="A327" s="53" t="s">
        <v>93</v>
      </c>
      <c r="B327" s="53" t="s">
        <v>122</v>
      </c>
      <c r="C327" s="53" t="s">
        <v>165</v>
      </c>
      <c r="D327" s="53" t="s">
        <v>42</v>
      </c>
      <c r="E327" s="54" t="n">
        <v>0</v>
      </c>
      <c r="F327" s="53" t="n">
        <v>0</v>
      </c>
      <c r="G327" s="53" t="n">
        <v>12</v>
      </c>
      <c r="H327" s="54" t="n">
        <v>1861.88</v>
      </c>
      <c r="I327" s="53" t="n">
        <f aca="false">IF(B327&gt;=Settings!$B$13,1,0)</f>
        <v>0</v>
      </c>
      <c r="J327" s="53" t="n">
        <v>1</v>
      </c>
      <c r="K327" s="53" t="n">
        <f aca="false">G327*I327*J327</f>
        <v>0</v>
      </c>
      <c r="L327" s="53" t="n">
        <f aca="false">F327*I327*J327</f>
        <v>0</v>
      </c>
      <c r="M327" s="54" t="n">
        <f aca="false">H327*I327*J327</f>
        <v>0</v>
      </c>
      <c r="N327" s="54" t="n">
        <f aca="false">E327*I327*J327</f>
        <v>-0</v>
      </c>
      <c r="O327" s="53" t="n">
        <f aca="false">G327*J327</f>
        <v>12</v>
      </c>
      <c r="P327" s="53" t="n">
        <f aca="false">F327*J327</f>
        <v>0</v>
      </c>
    </row>
    <row r="328" customFormat="false" ht="15" hidden="false" customHeight="false" outlineLevel="0" collapsed="false">
      <c r="A328" s="53" t="s">
        <v>97</v>
      </c>
      <c r="B328" s="53" t="s">
        <v>122</v>
      </c>
      <c r="C328" s="53" t="s">
        <v>383</v>
      </c>
      <c r="D328" s="53" t="s">
        <v>66</v>
      </c>
      <c r="E328" s="54" t="n">
        <v>142.92</v>
      </c>
      <c r="F328" s="53" t="n">
        <v>1</v>
      </c>
      <c r="G328" s="53" t="n">
        <v>2</v>
      </c>
      <c r="H328" s="54" t="n">
        <v>317.18</v>
      </c>
      <c r="I328" s="53" t="n">
        <f aca="false">IF(B328&gt;=Settings!$B$13,1,0)</f>
        <v>0</v>
      </c>
      <c r="J328" s="53" t="n">
        <v>1</v>
      </c>
      <c r="K328" s="53" t="n">
        <f aca="false">G328*I328*J328</f>
        <v>0</v>
      </c>
      <c r="L328" s="53" t="n">
        <f aca="false">F328*I328*J328</f>
        <v>0</v>
      </c>
      <c r="M328" s="54" t="n">
        <f aca="false">H328*I328*J328</f>
        <v>0</v>
      </c>
      <c r="N328" s="54" t="n">
        <f aca="false">E328*I328*J328</f>
        <v>0</v>
      </c>
      <c r="O328" s="53" t="n">
        <f aca="false">G328*J328</f>
        <v>2</v>
      </c>
      <c r="P328" s="53" t="n">
        <f aca="false">F328*J328</f>
        <v>1</v>
      </c>
    </row>
    <row r="329" customFormat="false" ht="15" hidden="false" customHeight="false" outlineLevel="0" collapsed="false">
      <c r="A329" s="53" t="s">
        <v>97</v>
      </c>
      <c r="B329" s="53" t="s">
        <v>122</v>
      </c>
      <c r="C329" s="53" t="s">
        <v>344</v>
      </c>
      <c r="D329" s="53" t="s">
        <v>50</v>
      </c>
      <c r="E329" s="54" t="n">
        <v>117.23</v>
      </c>
      <c r="F329" s="53" t="n">
        <v>1</v>
      </c>
      <c r="G329" s="53" t="n">
        <v>12</v>
      </c>
      <c r="H329" s="54" t="n">
        <v>1471.72</v>
      </c>
      <c r="I329" s="53" t="n">
        <f aca="false">IF(B329&gt;=Settings!$B$13,1,0)</f>
        <v>0</v>
      </c>
      <c r="J329" s="53" t="n">
        <v>1</v>
      </c>
      <c r="K329" s="53" t="n">
        <f aca="false">G329*I329*J329</f>
        <v>0</v>
      </c>
      <c r="L329" s="53" t="n">
        <f aca="false">F329*I329*J329</f>
        <v>0</v>
      </c>
      <c r="M329" s="54" t="n">
        <f aca="false">H329*I329*J329</f>
        <v>0</v>
      </c>
      <c r="N329" s="54" t="n">
        <f aca="false">E329*I329*J329</f>
        <v>0</v>
      </c>
      <c r="O329" s="53" t="n">
        <f aca="false">G329*J329</f>
        <v>12</v>
      </c>
      <c r="P329" s="53" t="n">
        <f aca="false">F329*J329</f>
        <v>1</v>
      </c>
    </row>
    <row r="330" customFormat="false" ht="15" hidden="false" customHeight="false" outlineLevel="0" collapsed="false">
      <c r="A330" s="53" t="s">
        <v>100</v>
      </c>
      <c r="B330" s="53" t="s">
        <v>122</v>
      </c>
      <c r="C330" s="53" t="s">
        <v>322</v>
      </c>
      <c r="D330" s="53" t="s">
        <v>54</v>
      </c>
      <c r="E330" s="54" t="n">
        <v>54.95</v>
      </c>
      <c r="F330" s="53" t="n">
        <v>1</v>
      </c>
      <c r="G330" s="53" t="n">
        <v>22</v>
      </c>
      <c r="H330" s="54" t="n">
        <v>1297.29</v>
      </c>
      <c r="I330" s="53" t="n">
        <f aca="false">IF(B330&gt;=Settings!$B$13,1,0)</f>
        <v>0</v>
      </c>
      <c r="J330" s="53" t="n">
        <v>1</v>
      </c>
      <c r="K330" s="53" t="n">
        <f aca="false">G330*I330*J330</f>
        <v>0</v>
      </c>
      <c r="L330" s="53" t="n">
        <f aca="false">F330*I330*J330</f>
        <v>0</v>
      </c>
      <c r="M330" s="54" t="n">
        <f aca="false">H330*I330*J330</f>
        <v>0</v>
      </c>
      <c r="N330" s="54" t="n">
        <f aca="false">E330*I330*J330</f>
        <v>0</v>
      </c>
      <c r="O330" s="53" t="n">
        <f aca="false">G330*J330</f>
        <v>22</v>
      </c>
      <c r="P330" s="53" t="n">
        <f aca="false">F330*J330</f>
        <v>1</v>
      </c>
    </row>
    <row r="331" customFormat="false" ht="15" hidden="false" customHeight="false" outlineLevel="0" collapsed="false">
      <c r="A331" s="53" t="s">
        <v>89</v>
      </c>
      <c r="B331" s="53" t="s">
        <v>122</v>
      </c>
      <c r="C331" s="53" t="s">
        <v>163</v>
      </c>
      <c r="D331" s="53" t="s">
        <v>50</v>
      </c>
      <c r="E331" s="54" t="n">
        <v>0</v>
      </c>
      <c r="F331" s="53" t="n">
        <v>0</v>
      </c>
      <c r="G331" s="53" t="n">
        <v>1</v>
      </c>
      <c r="H331" s="54" t="n">
        <v>154.95</v>
      </c>
      <c r="I331" s="53" t="n">
        <f aca="false">IF(B331&gt;=Settings!$B$13,1,0)</f>
        <v>0</v>
      </c>
      <c r="J331" s="53" t="n">
        <v>1</v>
      </c>
      <c r="K331" s="53" t="n">
        <f aca="false">G331*I331*J331</f>
        <v>0</v>
      </c>
      <c r="L331" s="53" t="n">
        <f aca="false">F331*I331*J331</f>
        <v>0</v>
      </c>
      <c r="M331" s="54" t="n">
        <f aca="false">H331*I331*J331</f>
        <v>0</v>
      </c>
      <c r="N331" s="54" t="n">
        <f aca="false">E331*I331*J331</f>
        <v>-0</v>
      </c>
      <c r="O331" s="53" t="n">
        <f aca="false">G331*J331</f>
        <v>1</v>
      </c>
      <c r="P331" s="53" t="n">
        <f aca="false">F331*J331</f>
        <v>0</v>
      </c>
    </row>
    <row r="332" customFormat="false" ht="15" hidden="false" customHeight="false" outlineLevel="0" collapsed="false">
      <c r="A332" s="53" t="s">
        <v>97</v>
      </c>
      <c r="B332" s="53" t="s">
        <v>122</v>
      </c>
      <c r="C332" s="53" t="s">
        <v>380</v>
      </c>
      <c r="D332" s="53" t="s">
        <v>50</v>
      </c>
      <c r="E332" s="54" t="n">
        <v>0</v>
      </c>
      <c r="F332" s="53" t="n">
        <v>0</v>
      </c>
      <c r="G332" s="53" t="n">
        <v>5</v>
      </c>
      <c r="H332" s="54" t="n">
        <v>647.94</v>
      </c>
      <c r="I332" s="53" t="n">
        <f aca="false">IF(B332&gt;=Settings!$B$13,1,0)</f>
        <v>0</v>
      </c>
      <c r="J332" s="53" t="n">
        <v>1</v>
      </c>
      <c r="K332" s="53" t="n">
        <f aca="false">G332*I332*J332</f>
        <v>0</v>
      </c>
      <c r="L332" s="53" t="n">
        <f aca="false">F332*I332*J332</f>
        <v>0</v>
      </c>
      <c r="M332" s="54" t="n">
        <f aca="false">H332*I332*J332</f>
        <v>0</v>
      </c>
      <c r="N332" s="54" t="n">
        <f aca="false">E332*I332*J332</f>
        <v>-0</v>
      </c>
      <c r="O332" s="53" t="n">
        <f aca="false">G332*J332</f>
        <v>5</v>
      </c>
      <c r="P332" s="53" t="n">
        <f aca="false">F332*J332</f>
        <v>0</v>
      </c>
    </row>
    <row r="333" customFormat="false" ht="15" hidden="false" customHeight="false" outlineLevel="0" collapsed="false">
      <c r="A333" s="53" t="s">
        <v>89</v>
      </c>
      <c r="B333" s="53" t="s">
        <v>122</v>
      </c>
      <c r="C333" s="53" t="s">
        <v>317</v>
      </c>
      <c r="D333" s="53" t="s">
        <v>46</v>
      </c>
      <c r="E333" s="54" t="n">
        <v>113.59</v>
      </c>
      <c r="F333" s="53" t="n">
        <v>1</v>
      </c>
      <c r="G333" s="53" t="n">
        <v>21</v>
      </c>
      <c r="H333" s="54" t="n">
        <v>2349.01</v>
      </c>
      <c r="I333" s="53" t="n">
        <f aca="false">IF(B333&gt;=Settings!$B$13,1,0)</f>
        <v>0</v>
      </c>
      <c r="J333" s="53" t="n">
        <v>1</v>
      </c>
      <c r="K333" s="53" t="n">
        <f aca="false">G333*I333*J333</f>
        <v>0</v>
      </c>
      <c r="L333" s="53" t="n">
        <f aca="false">F333*I333*J333</f>
        <v>0</v>
      </c>
      <c r="M333" s="54" t="n">
        <f aca="false">H333*I333*J333</f>
        <v>0</v>
      </c>
      <c r="N333" s="54" t="n">
        <f aca="false">E333*I333*J333</f>
        <v>0</v>
      </c>
      <c r="O333" s="53" t="n">
        <f aca="false">G333*J333</f>
        <v>21</v>
      </c>
      <c r="P333" s="53" t="n">
        <f aca="false">F333*J333</f>
        <v>1</v>
      </c>
    </row>
    <row r="334" customFormat="false" ht="15" hidden="false" customHeight="false" outlineLevel="0" collapsed="false">
      <c r="A334" s="53" t="s">
        <v>93</v>
      </c>
      <c r="B334" s="53" t="s">
        <v>122</v>
      </c>
      <c r="C334" s="53" t="s">
        <v>357</v>
      </c>
      <c r="D334" s="53" t="s">
        <v>54</v>
      </c>
      <c r="E334" s="54" t="n">
        <v>0</v>
      </c>
      <c r="F334" s="53" t="n">
        <v>0</v>
      </c>
      <c r="G334" s="53" t="n">
        <v>12</v>
      </c>
      <c r="H334" s="54" t="n">
        <v>983.08</v>
      </c>
      <c r="I334" s="53" t="n">
        <f aca="false">IF(B334&gt;=Settings!$B$13,1,0)</f>
        <v>0</v>
      </c>
      <c r="J334" s="53" t="n">
        <v>1</v>
      </c>
      <c r="K334" s="53" t="n">
        <f aca="false">G334*I334*J334</f>
        <v>0</v>
      </c>
      <c r="L334" s="53" t="n">
        <f aca="false">F334*I334*J334</f>
        <v>0</v>
      </c>
      <c r="M334" s="54" t="n">
        <f aca="false">H334*I334*J334</f>
        <v>0</v>
      </c>
      <c r="N334" s="54" t="n">
        <f aca="false">E334*I334*J334</f>
        <v>-0</v>
      </c>
      <c r="O334" s="53" t="n">
        <f aca="false">G334*J334</f>
        <v>12</v>
      </c>
      <c r="P334" s="53" t="n">
        <f aca="false">F334*J334</f>
        <v>0</v>
      </c>
    </row>
    <row r="335" customFormat="false" ht="15" hidden="false" customHeight="false" outlineLevel="0" collapsed="false">
      <c r="A335" s="53" t="s">
        <v>93</v>
      </c>
      <c r="B335" s="53" t="s">
        <v>122</v>
      </c>
      <c r="C335" s="53" t="s">
        <v>360</v>
      </c>
      <c r="D335" s="53" t="s">
        <v>54</v>
      </c>
      <c r="E335" s="54" t="n">
        <v>0</v>
      </c>
      <c r="F335" s="53" t="n">
        <v>0</v>
      </c>
      <c r="G335" s="53" t="n">
        <v>5</v>
      </c>
      <c r="H335" s="54" t="n">
        <v>438.85</v>
      </c>
      <c r="I335" s="53" t="n">
        <f aca="false">IF(B335&gt;=Settings!$B$13,1,0)</f>
        <v>0</v>
      </c>
      <c r="J335" s="53" t="n">
        <v>1</v>
      </c>
      <c r="K335" s="53" t="n">
        <f aca="false">G335*I335*J335</f>
        <v>0</v>
      </c>
      <c r="L335" s="53" t="n">
        <f aca="false">F335*I335*J335</f>
        <v>0</v>
      </c>
      <c r="M335" s="54" t="n">
        <f aca="false">H335*I335*J335</f>
        <v>0</v>
      </c>
      <c r="N335" s="54" t="n">
        <f aca="false">E335*I335*J335</f>
        <v>-0</v>
      </c>
      <c r="O335" s="53" t="n">
        <f aca="false">G335*J335</f>
        <v>5</v>
      </c>
      <c r="P335" s="53" t="n">
        <f aca="false">F335*J335</f>
        <v>0</v>
      </c>
    </row>
    <row r="336" customFormat="false" ht="15" hidden="false" customHeight="false" outlineLevel="0" collapsed="false">
      <c r="A336" s="53" t="s">
        <v>89</v>
      </c>
      <c r="B336" s="53" t="s">
        <v>122</v>
      </c>
      <c r="C336" s="53" t="s">
        <v>144</v>
      </c>
      <c r="D336" s="53" t="s">
        <v>58</v>
      </c>
      <c r="E336" s="54" t="n">
        <v>0</v>
      </c>
      <c r="F336" s="53" t="n">
        <v>0</v>
      </c>
      <c r="G336" s="53" t="n">
        <v>3</v>
      </c>
      <c r="H336" s="54" t="n">
        <v>396.3</v>
      </c>
      <c r="I336" s="53" t="n">
        <f aca="false">IF(B336&gt;=Settings!$B$13,1,0)</f>
        <v>0</v>
      </c>
      <c r="J336" s="53" t="n">
        <v>1</v>
      </c>
      <c r="K336" s="53" t="n">
        <f aca="false">G336*I336*J336</f>
        <v>0</v>
      </c>
      <c r="L336" s="53" t="n">
        <f aca="false">F336*I336*J336</f>
        <v>0</v>
      </c>
      <c r="M336" s="54" t="n">
        <f aca="false">H336*I336*J336</f>
        <v>0</v>
      </c>
      <c r="N336" s="54" t="n">
        <f aca="false">E336*I336*J336</f>
        <v>-0</v>
      </c>
      <c r="O336" s="53" t="n">
        <f aca="false">G336*J336</f>
        <v>3</v>
      </c>
      <c r="P336" s="53" t="n">
        <f aca="false">F336*J336</f>
        <v>0</v>
      </c>
    </row>
    <row r="337" customFormat="false" ht="15" hidden="false" customHeight="false" outlineLevel="0" collapsed="false">
      <c r="A337" s="53" t="s">
        <v>93</v>
      </c>
      <c r="B337" s="53" t="s">
        <v>122</v>
      </c>
      <c r="C337" s="53" t="s">
        <v>144</v>
      </c>
      <c r="D337" s="53" t="s">
        <v>58</v>
      </c>
      <c r="E337" s="54" t="n">
        <v>0</v>
      </c>
      <c r="F337" s="53" t="n">
        <v>0</v>
      </c>
      <c r="G337" s="53" t="n">
        <v>4</v>
      </c>
      <c r="H337" s="54" t="n">
        <v>501.64</v>
      </c>
      <c r="I337" s="53" t="n">
        <f aca="false">IF(B337&gt;=Settings!$B$13,1,0)</f>
        <v>0</v>
      </c>
      <c r="J337" s="53" t="n">
        <v>1</v>
      </c>
      <c r="K337" s="53" t="n">
        <f aca="false">G337*I337*J337</f>
        <v>0</v>
      </c>
      <c r="L337" s="53" t="n">
        <f aca="false">F337*I337*J337</f>
        <v>0</v>
      </c>
      <c r="M337" s="54" t="n">
        <f aca="false">H337*I337*J337</f>
        <v>0</v>
      </c>
      <c r="N337" s="54" t="n">
        <f aca="false">E337*I337*J337</f>
        <v>-0</v>
      </c>
      <c r="O337" s="53" t="n">
        <f aca="false">G337*J337</f>
        <v>4</v>
      </c>
      <c r="P337" s="53" t="n">
        <f aca="false">F337*J337</f>
        <v>0</v>
      </c>
    </row>
    <row r="338" customFormat="false" ht="15" hidden="false" customHeight="false" outlineLevel="0" collapsed="false">
      <c r="A338" s="53" t="s">
        <v>97</v>
      </c>
      <c r="B338" s="53" t="s">
        <v>122</v>
      </c>
      <c r="C338" s="53" t="s">
        <v>372</v>
      </c>
      <c r="D338" s="53" t="s">
        <v>42</v>
      </c>
      <c r="E338" s="54" t="n">
        <v>0</v>
      </c>
      <c r="F338" s="53" t="n">
        <v>0</v>
      </c>
      <c r="G338" s="53" t="n">
        <v>22</v>
      </c>
      <c r="H338" s="54" t="n">
        <v>2700.79</v>
      </c>
      <c r="I338" s="53" t="n">
        <f aca="false">IF(B338&gt;=Settings!$B$13,1,0)</f>
        <v>0</v>
      </c>
      <c r="J338" s="53" t="n">
        <v>1</v>
      </c>
      <c r="K338" s="53" t="n">
        <f aca="false">G338*I338*J338</f>
        <v>0</v>
      </c>
      <c r="L338" s="53" t="n">
        <f aca="false">F338*I338*J338</f>
        <v>0</v>
      </c>
      <c r="M338" s="54" t="n">
        <f aca="false">H338*I338*J338</f>
        <v>0</v>
      </c>
      <c r="N338" s="54" t="n">
        <f aca="false">E338*I338*J338</f>
        <v>-0</v>
      </c>
      <c r="O338" s="53" t="n">
        <f aca="false">G338*J338</f>
        <v>22</v>
      </c>
      <c r="P338" s="53" t="n">
        <f aca="false">F338*J338</f>
        <v>0</v>
      </c>
    </row>
    <row r="339" customFormat="false" ht="15" hidden="false" customHeight="false" outlineLevel="0" collapsed="false">
      <c r="A339" s="53" t="s">
        <v>89</v>
      </c>
      <c r="B339" s="53" t="s">
        <v>122</v>
      </c>
      <c r="C339" s="53" t="s">
        <v>162</v>
      </c>
      <c r="D339" s="53" t="s">
        <v>42</v>
      </c>
      <c r="E339" s="54" t="n">
        <v>0</v>
      </c>
      <c r="F339" s="53" t="n">
        <v>0</v>
      </c>
      <c r="G339" s="53" t="n">
        <v>33</v>
      </c>
      <c r="H339" s="54" t="n">
        <v>4890.658</v>
      </c>
      <c r="I339" s="53" t="n">
        <f aca="false">IF(B339&gt;=Settings!$B$13,1,0)</f>
        <v>0</v>
      </c>
      <c r="J339" s="53" t="n">
        <v>1</v>
      </c>
      <c r="K339" s="53" t="n">
        <f aca="false">G339*I339*J339</f>
        <v>0</v>
      </c>
      <c r="L339" s="53" t="n">
        <f aca="false">F339*I339*J339</f>
        <v>0</v>
      </c>
      <c r="M339" s="54" t="n">
        <f aca="false">H339*I339*J339</f>
        <v>0</v>
      </c>
      <c r="N339" s="54" t="n">
        <f aca="false">E339*I339*J339</f>
        <v>-0</v>
      </c>
      <c r="O339" s="53" t="n">
        <f aca="false">G339*J339</f>
        <v>33</v>
      </c>
      <c r="P339" s="53" t="n">
        <f aca="false">F339*J339</f>
        <v>0</v>
      </c>
    </row>
    <row r="340" customFormat="false" ht="15" hidden="false" customHeight="false" outlineLevel="0" collapsed="false">
      <c r="A340" s="53" t="s">
        <v>89</v>
      </c>
      <c r="B340" s="53" t="s">
        <v>122</v>
      </c>
      <c r="C340" s="53" t="s">
        <v>166</v>
      </c>
      <c r="D340" s="53" t="s">
        <v>50</v>
      </c>
      <c r="E340" s="54" t="n">
        <v>0</v>
      </c>
      <c r="F340" s="53" t="n">
        <v>0</v>
      </c>
      <c r="G340" s="53" t="n">
        <v>5</v>
      </c>
      <c r="H340" s="54" t="n">
        <v>908.095</v>
      </c>
      <c r="I340" s="53" t="n">
        <f aca="false">IF(B340&gt;=Settings!$B$13,1,0)</f>
        <v>0</v>
      </c>
      <c r="J340" s="53" t="n">
        <v>1</v>
      </c>
      <c r="K340" s="53" t="n">
        <f aca="false">G340*I340*J340</f>
        <v>0</v>
      </c>
      <c r="L340" s="53" t="n">
        <f aca="false">F340*I340*J340</f>
        <v>0</v>
      </c>
      <c r="M340" s="54" t="n">
        <f aca="false">H340*I340*J340</f>
        <v>0</v>
      </c>
      <c r="N340" s="54" t="n">
        <f aca="false">E340*I340*J340</f>
        <v>-0</v>
      </c>
      <c r="O340" s="53" t="n">
        <f aca="false">G340*J340</f>
        <v>5</v>
      </c>
      <c r="P340" s="53" t="n">
        <f aca="false">F340*J340</f>
        <v>0</v>
      </c>
    </row>
    <row r="341" customFormat="false" ht="15" hidden="false" customHeight="false" outlineLevel="0" collapsed="false">
      <c r="A341" s="53" t="s">
        <v>89</v>
      </c>
      <c r="B341" s="53" t="s">
        <v>122</v>
      </c>
      <c r="C341" s="53" t="s">
        <v>374</v>
      </c>
      <c r="D341" s="53" t="s">
        <v>66</v>
      </c>
      <c r="E341" s="54" t="n">
        <v>0</v>
      </c>
      <c r="F341" s="53" t="n">
        <v>0</v>
      </c>
      <c r="G341" s="53" t="n">
        <v>9</v>
      </c>
      <c r="H341" s="54" t="n">
        <v>1058.55</v>
      </c>
      <c r="I341" s="53" t="n">
        <f aca="false">IF(B341&gt;=Settings!$B$13,1,0)</f>
        <v>0</v>
      </c>
      <c r="J341" s="53" t="n">
        <v>1</v>
      </c>
      <c r="K341" s="53" t="n">
        <f aca="false">G341*I341*J341</f>
        <v>0</v>
      </c>
      <c r="L341" s="53" t="n">
        <f aca="false">F341*I341*J341</f>
        <v>0</v>
      </c>
      <c r="M341" s="54" t="n">
        <f aca="false">H341*I341*J341</f>
        <v>0</v>
      </c>
      <c r="N341" s="54" t="n">
        <f aca="false">E341*I341*J341</f>
        <v>-0</v>
      </c>
      <c r="O341" s="53" t="n">
        <f aca="false">G341*J341</f>
        <v>9</v>
      </c>
      <c r="P341" s="53" t="n">
        <f aca="false">F341*J341</f>
        <v>0</v>
      </c>
    </row>
    <row r="342" customFormat="false" ht="15" hidden="false" customHeight="false" outlineLevel="0" collapsed="false">
      <c r="A342" s="53" t="s">
        <v>89</v>
      </c>
      <c r="B342" s="53" t="s">
        <v>122</v>
      </c>
      <c r="C342" s="53" t="s">
        <v>357</v>
      </c>
      <c r="D342" s="53" t="s">
        <v>54</v>
      </c>
      <c r="E342" s="54" t="n">
        <v>0</v>
      </c>
      <c r="F342" s="53" t="n">
        <v>0</v>
      </c>
      <c r="G342" s="53" t="n">
        <v>3</v>
      </c>
      <c r="H342" s="54" t="n">
        <v>287.97</v>
      </c>
      <c r="I342" s="53" t="n">
        <f aca="false">IF(B342&gt;=Settings!$B$13,1,0)</f>
        <v>0</v>
      </c>
      <c r="J342" s="53" t="n">
        <v>1</v>
      </c>
      <c r="K342" s="53" t="n">
        <f aca="false">G342*I342*J342</f>
        <v>0</v>
      </c>
      <c r="L342" s="53" t="n">
        <f aca="false">F342*I342*J342</f>
        <v>0</v>
      </c>
      <c r="M342" s="54" t="n">
        <f aca="false">H342*I342*J342</f>
        <v>0</v>
      </c>
      <c r="N342" s="54" t="n">
        <f aca="false">E342*I342*J342</f>
        <v>-0</v>
      </c>
      <c r="O342" s="53" t="n">
        <f aca="false">G342*J342</f>
        <v>3</v>
      </c>
      <c r="P342" s="53" t="n">
        <f aca="false">F342*J342</f>
        <v>0</v>
      </c>
    </row>
    <row r="343" customFormat="false" ht="15" hidden="false" customHeight="false" outlineLevel="0" collapsed="false">
      <c r="A343" s="53" t="s">
        <v>93</v>
      </c>
      <c r="B343" s="53" t="s">
        <v>122</v>
      </c>
      <c r="C343" s="53" t="s">
        <v>330</v>
      </c>
      <c r="D343" s="53" t="s">
        <v>46</v>
      </c>
      <c r="E343" s="54" t="n">
        <v>0</v>
      </c>
      <c r="F343" s="53" t="n">
        <v>0</v>
      </c>
      <c r="G343" s="53" t="n">
        <v>27</v>
      </c>
      <c r="H343" s="54" t="n">
        <v>3501.24</v>
      </c>
      <c r="I343" s="53" t="n">
        <f aca="false">IF(B343&gt;=Settings!$B$13,1,0)</f>
        <v>0</v>
      </c>
      <c r="J343" s="53" t="n">
        <v>1</v>
      </c>
      <c r="K343" s="53" t="n">
        <f aca="false">G343*I343*J343</f>
        <v>0</v>
      </c>
      <c r="L343" s="53" t="n">
        <f aca="false">F343*I343*J343</f>
        <v>0</v>
      </c>
      <c r="M343" s="54" t="n">
        <f aca="false">H343*I343*J343</f>
        <v>0</v>
      </c>
      <c r="N343" s="54" t="n">
        <f aca="false">E343*I343*J343</f>
        <v>-0</v>
      </c>
      <c r="O343" s="53" t="n">
        <f aca="false">G343*J343</f>
        <v>27</v>
      </c>
      <c r="P343" s="53" t="n">
        <f aca="false">F343*J343</f>
        <v>0</v>
      </c>
    </row>
    <row r="344" customFormat="false" ht="15" hidden="false" customHeight="false" outlineLevel="0" collapsed="false">
      <c r="A344" s="53" t="s">
        <v>89</v>
      </c>
      <c r="B344" s="53" t="s">
        <v>122</v>
      </c>
      <c r="C344" s="53" t="s">
        <v>344</v>
      </c>
      <c r="D344" s="53" t="s">
        <v>50</v>
      </c>
      <c r="E344" s="54" t="n">
        <v>0</v>
      </c>
      <c r="F344" s="53" t="n">
        <v>0</v>
      </c>
      <c r="G344" s="53" t="n">
        <v>5</v>
      </c>
      <c r="H344" s="54" t="n">
        <v>598.17</v>
      </c>
      <c r="I344" s="53" t="n">
        <f aca="false">IF(B344&gt;=Settings!$B$13,1,0)</f>
        <v>0</v>
      </c>
      <c r="J344" s="53" t="n">
        <v>1</v>
      </c>
      <c r="K344" s="53" t="n">
        <f aca="false">G344*I344*J344</f>
        <v>0</v>
      </c>
      <c r="L344" s="53" t="n">
        <f aca="false">F344*I344*J344</f>
        <v>0</v>
      </c>
      <c r="M344" s="54" t="n">
        <f aca="false">H344*I344*J344</f>
        <v>0</v>
      </c>
      <c r="N344" s="54" t="n">
        <f aca="false">E344*I344*J344</f>
        <v>-0</v>
      </c>
      <c r="O344" s="53" t="n">
        <f aca="false">G344*J344</f>
        <v>5</v>
      </c>
      <c r="P344" s="53" t="n">
        <f aca="false">F344*J344</f>
        <v>0</v>
      </c>
    </row>
    <row r="345" customFormat="false" ht="15" hidden="false" customHeight="false" outlineLevel="0" collapsed="false">
      <c r="A345" s="53" t="s">
        <v>93</v>
      </c>
      <c r="B345" s="53" t="s">
        <v>122</v>
      </c>
      <c r="C345" s="53" t="s">
        <v>162</v>
      </c>
      <c r="D345" s="53" t="s">
        <v>42</v>
      </c>
      <c r="E345" s="54" t="n">
        <v>273.78</v>
      </c>
      <c r="F345" s="53" t="n">
        <v>2</v>
      </c>
      <c r="G345" s="53" t="n">
        <v>23</v>
      </c>
      <c r="H345" s="54" t="n">
        <v>2985.88</v>
      </c>
      <c r="I345" s="53" t="n">
        <f aca="false">IF(B345&gt;=Settings!$B$13,1,0)</f>
        <v>0</v>
      </c>
      <c r="J345" s="53" t="n">
        <v>1</v>
      </c>
      <c r="K345" s="53" t="n">
        <f aca="false">G345*I345*J345</f>
        <v>0</v>
      </c>
      <c r="L345" s="53" t="n">
        <f aca="false">F345*I345*J345</f>
        <v>0</v>
      </c>
      <c r="M345" s="54" t="n">
        <f aca="false">H345*I345*J345</f>
        <v>0</v>
      </c>
      <c r="N345" s="54" t="n">
        <f aca="false">E345*I345*J345</f>
        <v>0</v>
      </c>
      <c r="O345" s="53" t="n">
        <f aca="false">G345*J345</f>
        <v>23</v>
      </c>
      <c r="P345" s="53" t="n">
        <f aca="false">F345*J345</f>
        <v>2</v>
      </c>
    </row>
    <row r="346" customFormat="false" ht="15" hidden="false" customHeight="false" outlineLevel="0" collapsed="false">
      <c r="A346" s="53" t="s">
        <v>93</v>
      </c>
      <c r="B346" s="53" t="s">
        <v>122</v>
      </c>
      <c r="C346" s="53" t="s">
        <v>316</v>
      </c>
      <c r="D346" s="53" t="s">
        <v>62</v>
      </c>
      <c r="E346" s="54" t="n">
        <v>0</v>
      </c>
      <c r="F346" s="53" t="n">
        <v>0</v>
      </c>
      <c r="G346" s="53" t="n">
        <v>1</v>
      </c>
      <c r="H346" s="54" t="n">
        <v>104.5</v>
      </c>
      <c r="I346" s="53" t="n">
        <f aca="false">IF(B346&gt;=Settings!$B$13,1,0)</f>
        <v>0</v>
      </c>
      <c r="J346" s="53" t="n">
        <v>1</v>
      </c>
      <c r="K346" s="53" t="n">
        <f aca="false">G346*I346*J346</f>
        <v>0</v>
      </c>
      <c r="L346" s="53" t="n">
        <f aca="false">F346*I346*J346</f>
        <v>0</v>
      </c>
      <c r="M346" s="54" t="n">
        <f aca="false">H346*I346*J346</f>
        <v>0</v>
      </c>
      <c r="N346" s="54" t="n">
        <f aca="false">E346*I346*J346</f>
        <v>-0</v>
      </c>
      <c r="O346" s="53" t="n">
        <f aca="false">G346*J346</f>
        <v>1</v>
      </c>
      <c r="P346" s="53" t="n">
        <f aca="false">F346*J346</f>
        <v>0</v>
      </c>
    </row>
    <row r="347" customFormat="false" ht="15" hidden="false" customHeight="false" outlineLevel="0" collapsed="false">
      <c r="A347" s="53" t="s">
        <v>89</v>
      </c>
      <c r="B347" s="53" t="s">
        <v>122</v>
      </c>
      <c r="C347" s="53" t="s">
        <v>142</v>
      </c>
      <c r="D347" s="53" t="s">
        <v>66</v>
      </c>
      <c r="E347" s="54" t="n">
        <v>0</v>
      </c>
      <c r="F347" s="53" t="n">
        <v>0</v>
      </c>
      <c r="G347" s="53" t="n">
        <v>1</v>
      </c>
      <c r="H347" s="54" t="n">
        <v>86.95</v>
      </c>
      <c r="I347" s="53" t="n">
        <f aca="false">IF(B347&gt;=Settings!$B$13,1,0)</f>
        <v>0</v>
      </c>
      <c r="J347" s="53" t="n">
        <v>1</v>
      </c>
      <c r="K347" s="53" t="n">
        <f aca="false">G347*I347*J347</f>
        <v>0</v>
      </c>
      <c r="L347" s="53" t="n">
        <f aca="false">F347*I347*J347</f>
        <v>0</v>
      </c>
      <c r="M347" s="54" t="n">
        <f aca="false">H347*I347*J347</f>
        <v>0</v>
      </c>
      <c r="N347" s="54" t="n">
        <f aca="false">E347*I347*J347</f>
        <v>-0</v>
      </c>
      <c r="O347" s="53" t="n">
        <f aca="false">G347*J347</f>
        <v>1</v>
      </c>
      <c r="P347" s="53" t="n">
        <f aca="false">F347*J347</f>
        <v>0</v>
      </c>
    </row>
    <row r="348" customFormat="false" ht="15" hidden="false" customHeight="false" outlineLevel="0" collapsed="false">
      <c r="A348" s="53" t="s">
        <v>89</v>
      </c>
      <c r="B348" s="53" t="s">
        <v>122</v>
      </c>
      <c r="C348" s="53" t="s">
        <v>155</v>
      </c>
      <c r="D348" s="53" t="s">
        <v>50</v>
      </c>
      <c r="E348" s="54" t="n">
        <v>0</v>
      </c>
      <c r="F348" s="53" t="n">
        <v>0</v>
      </c>
      <c r="G348" s="53" t="n">
        <v>25</v>
      </c>
      <c r="H348" s="54" t="n">
        <v>2232.593</v>
      </c>
      <c r="I348" s="53" t="n">
        <f aca="false">IF(B348&gt;=Settings!$B$13,1,0)</f>
        <v>0</v>
      </c>
      <c r="J348" s="53" t="n">
        <v>1</v>
      </c>
      <c r="K348" s="53" t="n">
        <f aca="false">G348*I348*J348</f>
        <v>0</v>
      </c>
      <c r="L348" s="53" t="n">
        <f aca="false">F348*I348*J348</f>
        <v>0</v>
      </c>
      <c r="M348" s="54" t="n">
        <f aca="false">H348*I348*J348</f>
        <v>0</v>
      </c>
      <c r="N348" s="54" t="n">
        <f aca="false">E348*I348*J348</f>
        <v>-0</v>
      </c>
      <c r="O348" s="53" t="n">
        <f aca="false">G348*J348</f>
        <v>25</v>
      </c>
      <c r="P348" s="53" t="n">
        <f aca="false">F348*J348</f>
        <v>0</v>
      </c>
    </row>
    <row r="349" customFormat="false" ht="15" hidden="false" customHeight="false" outlineLevel="0" collapsed="false">
      <c r="A349" s="53" t="s">
        <v>89</v>
      </c>
      <c r="B349" s="53" t="s">
        <v>122</v>
      </c>
      <c r="C349" s="53" t="s">
        <v>318</v>
      </c>
      <c r="D349" s="53" t="s">
        <v>58</v>
      </c>
      <c r="E349" s="54" t="n">
        <v>0</v>
      </c>
      <c r="F349" s="53" t="n">
        <v>0</v>
      </c>
      <c r="G349" s="53" t="n">
        <v>4</v>
      </c>
      <c r="H349" s="54" t="n">
        <v>765.92</v>
      </c>
      <c r="I349" s="53" t="n">
        <f aca="false">IF(B349&gt;=Settings!$B$13,1,0)</f>
        <v>0</v>
      </c>
      <c r="J349" s="53" t="n">
        <v>1</v>
      </c>
      <c r="K349" s="53" t="n">
        <f aca="false">G349*I349*J349</f>
        <v>0</v>
      </c>
      <c r="L349" s="53" t="n">
        <f aca="false">F349*I349*J349</f>
        <v>0</v>
      </c>
      <c r="M349" s="54" t="n">
        <f aca="false">H349*I349*J349</f>
        <v>0</v>
      </c>
      <c r="N349" s="54" t="n">
        <f aca="false">E349*I349*J349</f>
        <v>-0</v>
      </c>
      <c r="O349" s="53" t="n">
        <f aca="false">G349*J349</f>
        <v>4</v>
      </c>
      <c r="P349" s="53" t="n">
        <f aca="false">F349*J349</f>
        <v>0</v>
      </c>
    </row>
    <row r="350" customFormat="false" ht="15" hidden="false" customHeight="false" outlineLevel="0" collapsed="false">
      <c r="A350" s="53" t="s">
        <v>97</v>
      </c>
      <c r="B350" s="53" t="s">
        <v>122</v>
      </c>
      <c r="C350" s="53" t="s">
        <v>385</v>
      </c>
      <c r="D350" s="53" t="s">
        <v>54</v>
      </c>
      <c r="E350" s="54" t="n">
        <v>0</v>
      </c>
      <c r="F350" s="53" t="n">
        <v>0</v>
      </c>
      <c r="G350" s="53" t="n">
        <v>5</v>
      </c>
      <c r="H350" s="54" t="n">
        <v>340.74</v>
      </c>
      <c r="I350" s="53" t="n">
        <f aca="false">IF(B350&gt;=Settings!$B$13,1,0)</f>
        <v>0</v>
      </c>
      <c r="J350" s="53" t="n">
        <v>1</v>
      </c>
      <c r="K350" s="53" t="n">
        <f aca="false">G350*I350*J350</f>
        <v>0</v>
      </c>
      <c r="L350" s="53" t="n">
        <f aca="false">F350*I350*J350</f>
        <v>0</v>
      </c>
      <c r="M350" s="54" t="n">
        <f aca="false">H350*I350*J350</f>
        <v>0</v>
      </c>
      <c r="N350" s="54" t="n">
        <f aca="false">E350*I350*J350</f>
        <v>-0</v>
      </c>
      <c r="O350" s="53" t="n">
        <f aca="false">G350*J350</f>
        <v>5</v>
      </c>
      <c r="P350" s="53" t="n">
        <f aca="false">F350*J350</f>
        <v>0</v>
      </c>
    </row>
    <row r="351" customFormat="false" ht="15" hidden="false" customHeight="false" outlineLevel="0" collapsed="false">
      <c r="A351" s="53" t="s">
        <v>89</v>
      </c>
      <c r="B351" s="53" t="s">
        <v>122</v>
      </c>
      <c r="C351" s="53" t="s">
        <v>347</v>
      </c>
      <c r="D351" s="53" t="s">
        <v>62</v>
      </c>
      <c r="E351" s="54" t="n">
        <v>0</v>
      </c>
      <c r="F351" s="53" t="n">
        <v>0</v>
      </c>
      <c r="G351" s="53" t="n">
        <v>15</v>
      </c>
      <c r="H351" s="54" t="n">
        <v>1323.11</v>
      </c>
      <c r="I351" s="53" t="n">
        <f aca="false">IF(B351&gt;=Settings!$B$13,1,0)</f>
        <v>0</v>
      </c>
      <c r="J351" s="53" t="n">
        <v>1</v>
      </c>
      <c r="K351" s="53" t="n">
        <f aca="false">G351*I351*J351</f>
        <v>0</v>
      </c>
      <c r="L351" s="53" t="n">
        <f aca="false">F351*I351*J351</f>
        <v>0</v>
      </c>
      <c r="M351" s="54" t="n">
        <f aca="false">H351*I351*J351</f>
        <v>0</v>
      </c>
      <c r="N351" s="54" t="n">
        <f aca="false">E351*I351*J351</f>
        <v>-0</v>
      </c>
      <c r="O351" s="53" t="n">
        <f aca="false">G351*J351</f>
        <v>15</v>
      </c>
      <c r="P351" s="53" t="n">
        <f aca="false">F351*J351</f>
        <v>0</v>
      </c>
    </row>
    <row r="352" customFormat="false" ht="15" hidden="false" customHeight="false" outlineLevel="0" collapsed="false">
      <c r="A352" s="53" t="s">
        <v>89</v>
      </c>
      <c r="B352" s="53" t="s">
        <v>122</v>
      </c>
      <c r="C352" s="53" t="s">
        <v>158</v>
      </c>
      <c r="D352" s="53" t="s">
        <v>42</v>
      </c>
      <c r="E352" s="54" t="n">
        <v>0</v>
      </c>
      <c r="F352" s="53" t="n">
        <v>0</v>
      </c>
      <c r="G352" s="53" t="n">
        <v>45</v>
      </c>
      <c r="H352" s="54" t="n">
        <v>5204.88</v>
      </c>
      <c r="I352" s="53" t="n">
        <f aca="false">IF(B352&gt;=Settings!$B$13,1,0)</f>
        <v>0</v>
      </c>
      <c r="J352" s="53" t="n">
        <v>1</v>
      </c>
      <c r="K352" s="53" t="n">
        <f aca="false">G352*I352*J352</f>
        <v>0</v>
      </c>
      <c r="L352" s="53" t="n">
        <f aca="false">F352*I352*J352</f>
        <v>0</v>
      </c>
      <c r="M352" s="54" t="n">
        <f aca="false">H352*I352*J352</f>
        <v>0</v>
      </c>
      <c r="N352" s="54" t="n">
        <f aca="false">E352*I352*J352</f>
        <v>-0</v>
      </c>
      <c r="O352" s="53" t="n">
        <f aca="false">G352*J352</f>
        <v>45</v>
      </c>
      <c r="P352" s="53" t="n">
        <f aca="false">F352*J352</f>
        <v>0</v>
      </c>
    </row>
    <row r="353" customFormat="false" ht="15" hidden="false" customHeight="false" outlineLevel="0" collapsed="false">
      <c r="A353" s="53" t="s">
        <v>93</v>
      </c>
      <c r="B353" s="53" t="s">
        <v>122</v>
      </c>
      <c r="C353" s="53" t="s">
        <v>332</v>
      </c>
      <c r="D353" s="53" t="s">
        <v>46</v>
      </c>
      <c r="E353" s="54" t="n">
        <v>57.92</v>
      </c>
      <c r="F353" s="53" t="n">
        <v>1</v>
      </c>
      <c r="G353" s="53" t="n">
        <v>16</v>
      </c>
      <c r="H353" s="54" t="n">
        <v>1272.98</v>
      </c>
      <c r="I353" s="53" t="n">
        <f aca="false">IF(B353&gt;=Settings!$B$13,1,0)</f>
        <v>0</v>
      </c>
      <c r="J353" s="53" t="n">
        <v>1</v>
      </c>
      <c r="K353" s="53" t="n">
        <f aca="false">G353*I353*J353</f>
        <v>0</v>
      </c>
      <c r="L353" s="53" t="n">
        <f aca="false">F353*I353*J353</f>
        <v>0</v>
      </c>
      <c r="M353" s="54" t="n">
        <f aca="false">H353*I353*J353</f>
        <v>0</v>
      </c>
      <c r="N353" s="54" t="n">
        <f aca="false">E353*I353*J353</f>
        <v>0</v>
      </c>
      <c r="O353" s="53" t="n">
        <f aca="false">G353*J353</f>
        <v>16</v>
      </c>
      <c r="P353" s="53" t="n">
        <f aca="false">F353*J353</f>
        <v>1</v>
      </c>
    </row>
    <row r="354" customFormat="false" ht="15" hidden="false" customHeight="false" outlineLevel="0" collapsed="false">
      <c r="A354" s="53" t="s">
        <v>97</v>
      </c>
      <c r="B354" s="53" t="s">
        <v>122</v>
      </c>
      <c r="C354" s="53" t="s">
        <v>375</v>
      </c>
      <c r="D354" s="53" t="s">
        <v>42</v>
      </c>
      <c r="E354" s="54" t="n">
        <v>0</v>
      </c>
      <c r="F354" s="53" t="n">
        <v>0</v>
      </c>
      <c r="G354" s="53" t="n">
        <v>21</v>
      </c>
      <c r="H354" s="54" t="n">
        <v>1756.8</v>
      </c>
      <c r="I354" s="53" t="n">
        <f aca="false">IF(B354&gt;=Settings!$B$13,1,0)</f>
        <v>0</v>
      </c>
      <c r="J354" s="53" t="n">
        <v>1</v>
      </c>
      <c r="K354" s="53" t="n">
        <f aca="false">G354*I354*J354</f>
        <v>0</v>
      </c>
      <c r="L354" s="53" t="n">
        <f aca="false">F354*I354*J354</f>
        <v>0</v>
      </c>
      <c r="M354" s="54" t="n">
        <f aca="false">H354*I354*J354</f>
        <v>0</v>
      </c>
      <c r="N354" s="54" t="n">
        <f aca="false">E354*I354*J354</f>
        <v>-0</v>
      </c>
      <c r="O354" s="53" t="n">
        <f aca="false">G354*J354</f>
        <v>21</v>
      </c>
      <c r="P354" s="53" t="n">
        <f aca="false">F354*J354</f>
        <v>0</v>
      </c>
    </row>
    <row r="355" customFormat="false" ht="15" hidden="false" customHeight="false" outlineLevel="0" collapsed="false">
      <c r="A355" s="53" t="s">
        <v>89</v>
      </c>
      <c r="B355" s="53" t="s">
        <v>122</v>
      </c>
      <c r="C355" s="53" t="s">
        <v>330</v>
      </c>
      <c r="D355" s="53" t="s">
        <v>46</v>
      </c>
      <c r="E355" s="54" t="n">
        <v>0</v>
      </c>
      <c r="F355" s="53" t="n">
        <v>0</v>
      </c>
      <c r="G355" s="53" t="n">
        <v>17</v>
      </c>
      <c r="H355" s="54" t="n">
        <v>2305.77</v>
      </c>
      <c r="I355" s="53" t="n">
        <f aca="false">IF(B355&gt;=Settings!$B$13,1,0)</f>
        <v>0</v>
      </c>
      <c r="J355" s="53" t="n">
        <v>1</v>
      </c>
      <c r="K355" s="53" t="n">
        <f aca="false">G355*I355*J355</f>
        <v>0</v>
      </c>
      <c r="L355" s="53" t="n">
        <f aca="false">F355*I355*J355</f>
        <v>0</v>
      </c>
      <c r="M355" s="54" t="n">
        <f aca="false">H355*I355*J355</f>
        <v>0</v>
      </c>
      <c r="N355" s="54" t="n">
        <f aca="false">E355*I355*J355</f>
        <v>-0</v>
      </c>
      <c r="O355" s="53" t="n">
        <f aca="false">G355*J355</f>
        <v>17</v>
      </c>
      <c r="P355" s="53" t="n">
        <f aca="false">F355*J355</f>
        <v>0</v>
      </c>
    </row>
    <row r="356" customFormat="false" ht="15" hidden="false" customHeight="false" outlineLevel="0" collapsed="false">
      <c r="A356" s="53" t="s">
        <v>89</v>
      </c>
      <c r="B356" s="53" t="s">
        <v>122</v>
      </c>
      <c r="C356" s="53" t="s">
        <v>156</v>
      </c>
      <c r="D356" s="53" t="s">
        <v>58</v>
      </c>
      <c r="E356" s="54" t="n">
        <v>72.68</v>
      </c>
      <c r="F356" s="53" t="n">
        <v>1</v>
      </c>
      <c r="G356" s="53" t="n">
        <v>53</v>
      </c>
      <c r="H356" s="54" t="n">
        <v>4679.072</v>
      </c>
      <c r="I356" s="53" t="n">
        <f aca="false">IF(B356&gt;=Settings!$B$13,1,0)</f>
        <v>0</v>
      </c>
      <c r="J356" s="53" t="n">
        <v>1</v>
      </c>
      <c r="K356" s="53" t="n">
        <f aca="false">G356*I356*J356</f>
        <v>0</v>
      </c>
      <c r="L356" s="53" t="n">
        <f aca="false">F356*I356*J356</f>
        <v>0</v>
      </c>
      <c r="M356" s="54" t="n">
        <f aca="false">H356*I356*J356</f>
        <v>0</v>
      </c>
      <c r="N356" s="54" t="n">
        <f aca="false">E356*I356*J356</f>
        <v>0</v>
      </c>
      <c r="O356" s="53" t="n">
        <f aca="false">G356*J356</f>
        <v>53</v>
      </c>
      <c r="P356" s="53" t="n">
        <f aca="false">F356*J356</f>
        <v>1</v>
      </c>
    </row>
    <row r="357" customFormat="false" ht="15" hidden="false" customHeight="false" outlineLevel="0" collapsed="false">
      <c r="A357" s="53" t="s">
        <v>89</v>
      </c>
      <c r="B357" s="53" t="s">
        <v>122</v>
      </c>
      <c r="C357" s="53" t="s">
        <v>159</v>
      </c>
      <c r="D357" s="53" t="s">
        <v>50</v>
      </c>
      <c r="E357" s="54" t="n">
        <v>0</v>
      </c>
      <c r="F357" s="53" t="n">
        <v>0</v>
      </c>
      <c r="G357" s="53" t="n">
        <v>9</v>
      </c>
      <c r="H357" s="54" t="n">
        <v>1006.78</v>
      </c>
      <c r="I357" s="53" t="n">
        <f aca="false">IF(B357&gt;=Settings!$B$13,1,0)</f>
        <v>0</v>
      </c>
      <c r="J357" s="53" t="n">
        <v>1</v>
      </c>
      <c r="K357" s="53" t="n">
        <f aca="false">G357*I357*J357</f>
        <v>0</v>
      </c>
      <c r="L357" s="53" t="n">
        <f aca="false">F357*I357*J357</f>
        <v>0</v>
      </c>
      <c r="M357" s="54" t="n">
        <f aca="false">H357*I357*J357</f>
        <v>0</v>
      </c>
      <c r="N357" s="54" t="n">
        <f aca="false">E357*I357*J357</f>
        <v>-0</v>
      </c>
      <c r="O357" s="53" t="n">
        <f aca="false">G357*J357</f>
        <v>9</v>
      </c>
      <c r="P357" s="53" t="n">
        <f aca="false">F357*J357</f>
        <v>0</v>
      </c>
    </row>
    <row r="358" customFormat="false" ht="15" hidden="false" customHeight="false" outlineLevel="0" collapsed="false">
      <c r="A358" s="53" t="s">
        <v>93</v>
      </c>
      <c r="B358" s="53" t="s">
        <v>122</v>
      </c>
      <c r="C358" s="53" t="s">
        <v>156</v>
      </c>
      <c r="D358" s="53" t="s">
        <v>58</v>
      </c>
      <c r="E358" s="54" t="n">
        <v>0</v>
      </c>
      <c r="F358" s="53" t="n">
        <v>0</v>
      </c>
      <c r="G358" s="53" t="n">
        <v>5</v>
      </c>
      <c r="H358" s="54" t="n">
        <v>382.77</v>
      </c>
      <c r="I358" s="53" t="n">
        <f aca="false">IF(B358&gt;=Settings!$B$13,1,0)</f>
        <v>0</v>
      </c>
      <c r="J358" s="53" t="n">
        <v>1</v>
      </c>
      <c r="K358" s="53" t="n">
        <f aca="false">G358*I358*J358</f>
        <v>0</v>
      </c>
      <c r="L358" s="53" t="n">
        <f aca="false">F358*I358*J358</f>
        <v>0</v>
      </c>
      <c r="M358" s="54" t="n">
        <f aca="false">H358*I358*J358</f>
        <v>0</v>
      </c>
      <c r="N358" s="54" t="n">
        <f aca="false">E358*I358*J358</f>
        <v>-0</v>
      </c>
      <c r="O358" s="53" t="n">
        <f aca="false">G358*J358</f>
        <v>5</v>
      </c>
      <c r="P358" s="53" t="n">
        <f aca="false">F358*J358</f>
        <v>0</v>
      </c>
    </row>
    <row r="359" customFormat="false" ht="15" hidden="false" customHeight="false" outlineLevel="0" collapsed="false">
      <c r="A359" s="53" t="s">
        <v>97</v>
      </c>
      <c r="B359" s="53" t="s">
        <v>122</v>
      </c>
      <c r="C359" s="53" t="s">
        <v>141</v>
      </c>
      <c r="D359" s="53" t="s">
        <v>50</v>
      </c>
      <c r="E359" s="54" t="n">
        <v>0</v>
      </c>
      <c r="F359" s="53" t="n">
        <v>0</v>
      </c>
      <c r="G359" s="53" t="n">
        <v>6</v>
      </c>
      <c r="H359" s="54" t="n">
        <v>959.71</v>
      </c>
      <c r="I359" s="53" t="n">
        <f aca="false">IF(B359&gt;=Settings!$B$13,1,0)</f>
        <v>0</v>
      </c>
      <c r="J359" s="53" t="n">
        <v>1</v>
      </c>
      <c r="K359" s="53" t="n">
        <f aca="false">G359*I359*J359</f>
        <v>0</v>
      </c>
      <c r="L359" s="53" t="n">
        <f aca="false">F359*I359*J359</f>
        <v>0</v>
      </c>
      <c r="M359" s="54" t="n">
        <f aca="false">H359*I359*J359</f>
        <v>0</v>
      </c>
      <c r="N359" s="54" t="n">
        <f aca="false">E359*I359*J359</f>
        <v>-0</v>
      </c>
      <c r="O359" s="53" t="n">
        <f aca="false">G359*J359</f>
        <v>6</v>
      </c>
      <c r="P359" s="53" t="n">
        <f aca="false">F359*J359</f>
        <v>0</v>
      </c>
    </row>
    <row r="360" customFormat="false" ht="15" hidden="false" customHeight="false" outlineLevel="0" collapsed="false">
      <c r="A360" s="53" t="s">
        <v>97</v>
      </c>
      <c r="B360" s="53" t="s">
        <v>122</v>
      </c>
      <c r="C360" s="53" t="s">
        <v>373</v>
      </c>
      <c r="D360" s="53" t="s">
        <v>42</v>
      </c>
      <c r="E360" s="54" t="n">
        <v>161.64</v>
      </c>
      <c r="F360" s="53" t="n">
        <v>1</v>
      </c>
      <c r="G360" s="53" t="n">
        <v>9</v>
      </c>
      <c r="H360" s="54" t="n">
        <v>1575.11</v>
      </c>
      <c r="I360" s="53" t="n">
        <f aca="false">IF(B360&gt;=Settings!$B$13,1,0)</f>
        <v>0</v>
      </c>
      <c r="J360" s="53" t="n">
        <v>1</v>
      </c>
      <c r="K360" s="53" t="n">
        <f aca="false">G360*I360*J360</f>
        <v>0</v>
      </c>
      <c r="L360" s="53" t="n">
        <f aca="false">F360*I360*J360</f>
        <v>0</v>
      </c>
      <c r="M360" s="54" t="n">
        <f aca="false">H360*I360*J360</f>
        <v>0</v>
      </c>
      <c r="N360" s="54" t="n">
        <f aca="false">E360*I360*J360</f>
        <v>0</v>
      </c>
      <c r="O360" s="53" t="n">
        <f aca="false">G360*J360</f>
        <v>9</v>
      </c>
      <c r="P360" s="53" t="n">
        <f aca="false">F360*J360</f>
        <v>1</v>
      </c>
    </row>
    <row r="361" customFormat="false" ht="15" hidden="false" customHeight="false" outlineLevel="0" collapsed="false">
      <c r="A361" s="53" t="s">
        <v>97</v>
      </c>
      <c r="B361" s="53" t="s">
        <v>122</v>
      </c>
      <c r="C361" s="53" t="s">
        <v>338</v>
      </c>
      <c r="D361" s="53" t="s">
        <v>50</v>
      </c>
      <c r="E361" s="54" t="n">
        <v>67.96</v>
      </c>
      <c r="F361" s="53" t="n">
        <v>1</v>
      </c>
      <c r="G361" s="53" t="n">
        <v>16</v>
      </c>
      <c r="H361" s="54" t="n">
        <v>1350.15</v>
      </c>
      <c r="I361" s="53" t="n">
        <f aca="false">IF(B361&gt;=Settings!$B$13,1,0)</f>
        <v>0</v>
      </c>
      <c r="J361" s="53" t="n">
        <v>1</v>
      </c>
      <c r="K361" s="53" t="n">
        <f aca="false">G361*I361*J361</f>
        <v>0</v>
      </c>
      <c r="L361" s="53" t="n">
        <f aca="false">F361*I361*J361</f>
        <v>0</v>
      </c>
      <c r="M361" s="54" t="n">
        <f aca="false">H361*I361*J361</f>
        <v>0</v>
      </c>
      <c r="N361" s="54" t="n">
        <f aca="false">E361*I361*J361</f>
        <v>0</v>
      </c>
      <c r="O361" s="53" t="n">
        <f aca="false">G361*J361</f>
        <v>16</v>
      </c>
      <c r="P361" s="53" t="n">
        <f aca="false">F361*J361</f>
        <v>1</v>
      </c>
    </row>
    <row r="362" customFormat="false" ht="15" hidden="false" customHeight="false" outlineLevel="0" collapsed="false">
      <c r="A362" s="53" t="s">
        <v>89</v>
      </c>
      <c r="B362" s="53" t="s">
        <v>122</v>
      </c>
      <c r="C362" s="53" t="s">
        <v>333</v>
      </c>
      <c r="D362" s="53" t="s">
        <v>54</v>
      </c>
      <c r="E362" s="54" t="n">
        <v>0</v>
      </c>
      <c r="F362" s="53" t="n">
        <v>0</v>
      </c>
      <c r="G362" s="53" t="n">
        <v>8</v>
      </c>
      <c r="H362" s="54" t="n">
        <v>673.22</v>
      </c>
      <c r="I362" s="53" t="n">
        <f aca="false">IF(B362&gt;=Settings!$B$13,1,0)</f>
        <v>0</v>
      </c>
      <c r="J362" s="53" t="n">
        <v>1</v>
      </c>
      <c r="K362" s="53" t="n">
        <f aca="false">G362*I362*J362</f>
        <v>0</v>
      </c>
      <c r="L362" s="53" t="n">
        <f aca="false">F362*I362*J362</f>
        <v>0</v>
      </c>
      <c r="M362" s="54" t="n">
        <f aca="false">H362*I362*J362</f>
        <v>0</v>
      </c>
      <c r="N362" s="54" t="n">
        <f aca="false">E362*I362*J362</f>
        <v>-0</v>
      </c>
      <c r="O362" s="53" t="n">
        <f aca="false">G362*J362</f>
        <v>8</v>
      </c>
      <c r="P362" s="53" t="n">
        <f aca="false">F362*J362</f>
        <v>0</v>
      </c>
    </row>
    <row r="363" customFormat="false" ht="15" hidden="false" customHeight="false" outlineLevel="0" collapsed="false">
      <c r="A363" s="53" t="s">
        <v>89</v>
      </c>
      <c r="B363" s="53" t="s">
        <v>122</v>
      </c>
      <c r="C363" s="53" t="s">
        <v>332</v>
      </c>
      <c r="D363" s="53" t="s">
        <v>46</v>
      </c>
      <c r="E363" s="54" t="n">
        <v>0</v>
      </c>
      <c r="F363" s="53" t="n">
        <v>0</v>
      </c>
      <c r="G363" s="53" t="n">
        <v>21</v>
      </c>
      <c r="H363" s="54" t="n">
        <v>1785.991</v>
      </c>
      <c r="I363" s="53" t="n">
        <f aca="false">IF(B363&gt;=Settings!$B$13,1,0)</f>
        <v>0</v>
      </c>
      <c r="J363" s="53" t="n">
        <v>1</v>
      </c>
      <c r="K363" s="53" t="n">
        <f aca="false">G363*I363*J363</f>
        <v>0</v>
      </c>
      <c r="L363" s="53" t="n">
        <f aca="false">F363*I363*J363</f>
        <v>0</v>
      </c>
      <c r="M363" s="54" t="n">
        <f aca="false">H363*I363*J363</f>
        <v>0</v>
      </c>
      <c r="N363" s="54" t="n">
        <f aca="false">E363*I363*J363</f>
        <v>-0</v>
      </c>
      <c r="O363" s="53" t="n">
        <f aca="false">G363*J363</f>
        <v>21</v>
      </c>
      <c r="P363" s="53" t="n">
        <f aca="false">F363*J363</f>
        <v>0</v>
      </c>
    </row>
    <row r="364" customFormat="false" ht="15" hidden="false" customHeight="false" outlineLevel="0" collapsed="false">
      <c r="A364" s="53" t="s">
        <v>93</v>
      </c>
      <c r="B364" s="53" t="s">
        <v>122</v>
      </c>
      <c r="C364" s="53" t="s">
        <v>158</v>
      </c>
      <c r="D364" s="53" t="s">
        <v>42</v>
      </c>
      <c r="E364" s="54" t="n">
        <v>0</v>
      </c>
      <c r="F364" s="53" t="n">
        <v>0</v>
      </c>
      <c r="G364" s="53" t="n">
        <v>11</v>
      </c>
      <c r="H364" s="54" t="n">
        <v>1201.13</v>
      </c>
      <c r="I364" s="53" t="n">
        <f aca="false">IF(B364&gt;=Settings!$B$13,1,0)</f>
        <v>0</v>
      </c>
      <c r="J364" s="53" t="n">
        <v>1</v>
      </c>
      <c r="K364" s="53" t="n">
        <f aca="false">G364*I364*J364</f>
        <v>0</v>
      </c>
      <c r="L364" s="53" t="n">
        <f aca="false">F364*I364*J364</f>
        <v>0</v>
      </c>
      <c r="M364" s="54" t="n">
        <f aca="false">H364*I364*J364</f>
        <v>0</v>
      </c>
      <c r="N364" s="54" t="n">
        <f aca="false">E364*I364*J364</f>
        <v>-0</v>
      </c>
      <c r="O364" s="53" t="n">
        <f aca="false">G364*J364</f>
        <v>11</v>
      </c>
      <c r="P364" s="53" t="n">
        <f aca="false">F364*J364</f>
        <v>0</v>
      </c>
    </row>
    <row r="365" customFormat="false" ht="15" hidden="false" customHeight="false" outlineLevel="0" collapsed="false">
      <c r="A365" s="53" t="s">
        <v>89</v>
      </c>
      <c r="B365" s="53" t="s">
        <v>122</v>
      </c>
      <c r="C365" s="53" t="s">
        <v>385</v>
      </c>
      <c r="D365" s="53" t="s">
        <v>54</v>
      </c>
      <c r="E365" s="54" t="n">
        <v>0</v>
      </c>
      <c r="F365" s="53" t="n">
        <v>0</v>
      </c>
      <c r="G365" s="53" t="n">
        <v>1</v>
      </c>
      <c r="H365" s="54" t="n">
        <v>85.75</v>
      </c>
      <c r="I365" s="53" t="n">
        <f aca="false">IF(B365&gt;=Settings!$B$13,1,0)</f>
        <v>0</v>
      </c>
      <c r="J365" s="53" t="n">
        <v>1</v>
      </c>
      <c r="K365" s="53" t="n">
        <f aca="false">G365*I365*J365</f>
        <v>0</v>
      </c>
      <c r="L365" s="53" t="n">
        <f aca="false">F365*I365*J365</f>
        <v>0</v>
      </c>
      <c r="M365" s="54" t="n">
        <f aca="false">H365*I365*J365</f>
        <v>0</v>
      </c>
      <c r="N365" s="54" t="n">
        <f aca="false">E365*I365*J365</f>
        <v>-0</v>
      </c>
      <c r="O365" s="53" t="n">
        <f aca="false">G365*J365</f>
        <v>1</v>
      </c>
      <c r="P365" s="53" t="n">
        <f aca="false">F365*J365</f>
        <v>0</v>
      </c>
    </row>
    <row r="366" customFormat="false" ht="15" hidden="false" customHeight="false" outlineLevel="0" collapsed="false">
      <c r="A366" s="53" t="s">
        <v>89</v>
      </c>
      <c r="B366" s="53" t="s">
        <v>122</v>
      </c>
      <c r="C366" s="53" t="s">
        <v>316</v>
      </c>
      <c r="D366" s="53" t="s">
        <v>62</v>
      </c>
      <c r="E366" s="54" t="n">
        <v>0</v>
      </c>
      <c r="F366" s="53" t="n">
        <v>0</v>
      </c>
      <c r="G366" s="53" t="n">
        <v>3</v>
      </c>
      <c r="H366" s="54" t="n">
        <v>329.85</v>
      </c>
      <c r="I366" s="53" t="n">
        <f aca="false">IF(B366&gt;=Settings!$B$13,1,0)</f>
        <v>0</v>
      </c>
      <c r="J366" s="53" t="n">
        <v>1</v>
      </c>
      <c r="K366" s="53" t="n">
        <f aca="false">G366*I366*J366</f>
        <v>0</v>
      </c>
      <c r="L366" s="53" t="n">
        <f aca="false">F366*I366*J366</f>
        <v>0</v>
      </c>
      <c r="M366" s="54" t="n">
        <f aca="false">H366*I366*J366</f>
        <v>0</v>
      </c>
      <c r="N366" s="54" t="n">
        <f aca="false">E366*I366*J366</f>
        <v>-0</v>
      </c>
      <c r="O366" s="53" t="n">
        <f aca="false">G366*J366</f>
        <v>3</v>
      </c>
      <c r="P366" s="53" t="n">
        <f aca="false">F366*J366</f>
        <v>0</v>
      </c>
    </row>
    <row r="367" customFormat="false" ht="15" hidden="false" customHeight="false" outlineLevel="0" collapsed="false">
      <c r="A367" s="53" t="s">
        <v>97</v>
      </c>
      <c r="B367" s="53" t="s">
        <v>122</v>
      </c>
      <c r="C367" s="53" t="s">
        <v>369</v>
      </c>
      <c r="D367" s="53" t="s">
        <v>54</v>
      </c>
      <c r="E367" s="54" t="n">
        <v>107.18</v>
      </c>
      <c r="F367" s="53" t="n">
        <v>2</v>
      </c>
      <c r="G367" s="53" t="n">
        <v>17</v>
      </c>
      <c r="H367" s="54" t="n">
        <v>933.27</v>
      </c>
      <c r="I367" s="53" t="n">
        <f aca="false">IF(B367&gt;=Settings!$B$13,1,0)</f>
        <v>0</v>
      </c>
      <c r="J367" s="53" t="n">
        <v>1</v>
      </c>
      <c r="K367" s="53" t="n">
        <f aca="false">G367*I367*J367</f>
        <v>0</v>
      </c>
      <c r="L367" s="53" t="n">
        <f aca="false">F367*I367*J367</f>
        <v>0</v>
      </c>
      <c r="M367" s="54" t="n">
        <f aca="false">H367*I367*J367</f>
        <v>0</v>
      </c>
      <c r="N367" s="54" t="n">
        <f aca="false">E367*I367*J367</f>
        <v>0</v>
      </c>
      <c r="O367" s="53" t="n">
        <f aca="false">G367*J367</f>
        <v>17</v>
      </c>
      <c r="P367" s="53" t="n">
        <f aca="false">F367*J367</f>
        <v>2</v>
      </c>
    </row>
    <row r="368" customFormat="false" ht="15" hidden="false" customHeight="false" outlineLevel="0" collapsed="false">
      <c r="A368" s="53" t="s">
        <v>97</v>
      </c>
      <c r="B368" s="53" t="s">
        <v>122</v>
      </c>
      <c r="C368" s="53" t="s">
        <v>386</v>
      </c>
      <c r="D368" s="53" t="s">
        <v>54</v>
      </c>
      <c r="E368" s="54" t="n">
        <v>70.86</v>
      </c>
      <c r="F368" s="53" t="n">
        <v>1</v>
      </c>
      <c r="G368" s="53" t="n">
        <v>9</v>
      </c>
      <c r="H368" s="54" t="n">
        <v>650.47</v>
      </c>
      <c r="I368" s="53" t="n">
        <f aca="false">IF(B368&gt;=Settings!$B$13,1,0)</f>
        <v>0</v>
      </c>
      <c r="J368" s="53" t="n">
        <v>1</v>
      </c>
      <c r="K368" s="53" t="n">
        <f aca="false">G368*I368*J368</f>
        <v>0</v>
      </c>
      <c r="L368" s="53" t="n">
        <f aca="false">F368*I368*J368</f>
        <v>0</v>
      </c>
      <c r="M368" s="54" t="n">
        <f aca="false">H368*I368*J368</f>
        <v>0</v>
      </c>
      <c r="N368" s="54" t="n">
        <f aca="false">E368*I368*J368</f>
        <v>0</v>
      </c>
      <c r="O368" s="53" t="n">
        <f aca="false">G368*J368</f>
        <v>9</v>
      </c>
      <c r="P368" s="53" t="n">
        <f aca="false">F368*J368</f>
        <v>1</v>
      </c>
    </row>
    <row r="369" customFormat="false" ht="15" hidden="false" customHeight="false" outlineLevel="0" collapsed="false">
      <c r="A369" s="53" t="s">
        <v>93</v>
      </c>
      <c r="B369" s="53" t="s">
        <v>122</v>
      </c>
      <c r="C369" s="53" t="s">
        <v>322</v>
      </c>
      <c r="D369" s="53" t="s">
        <v>54</v>
      </c>
      <c r="E369" s="54" t="n">
        <v>0</v>
      </c>
      <c r="F369" s="53" t="n">
        <v>0</v>
      </c>
      <c r="G369" s="53" t="n">
        <v>15</v>
      </c>
      <c r="H369" s="54" t="n">
        <v>840.16</v>
      </c>
      <c r="I369" s="53" t="n">
        <f aca="false">IF(B369&gt;=Settings!$B$13,1,0)</f>
        <v>0</v>
      </c>
      <c r="J369" s="53" t="n">
        <v>1</v>
      </c>
      <c r="K369" s="53" t="n">
        <f aca="false">G369*I369*J369</f>
        <v>0</v>
      </c>
      <c r="L369" s="53" t="n">
        <f aca="false">F369*I369*J369</f>
        <v>0</v>
      </c>
      <c r="M369" s="54" t="n">
        <f aca="false">H369*I369*J369</f>
        <v>0</v>
      </c>
      <c r="N369" s="54" t="n">
        <f aca="false">E369*I369*J369</f>
        <v>-0</v>
      </c>
      <c r="O369" s="53" t="n">
        <f aca="false">G369*J369</f>
        <v>15</v>
      </c>
      <c r="P369" s="53" t="n">
        <f aca="false">F369*J369</f>
        <v>0</v>
      </c>
    </row>
    <row r="370" customFormat="false" ht="15" hidden="false" customHeight="false" outlineLevel="0" collapsed="false">
      <c r="A370" s="53" t="s">
        <v>89</v>
      </c>
      <c r="B370" s="53" t="s">
        <v>122</v>
      </c>
      <c r="C370" s="53" t="s">
        <v>145</v>
      </c>
      <c r="D370" s="53" t="s">
        <v>62</v>
      </c>
      <c r="E370" s="54" t="n">
        <v>0</v>
      </c>
      <c r="F370" s="53" t="n">
        <v>0</v>
      </c>
      <c r="G370" s="53" t="n">
        <v>4</v>
      </c>
      <c r="H370" s="54" t="n">
        <v>625.08</v>
      </c>
      <c r="I370" s="53" t="n">
        <f aca="false">IF(B370&gt;=Settings!$B$13,1,0)</f>
        <v>0</v>
      </c>
      <c r="J370" s="53" t="n">
        <v>1</v>
      </c>
      <c r="K370" s="53" t="n">
        <f aca="false">G370*I370*J370</f>
        <v>0</v>
      </c>
      <c r="L370" s="53" t="n">
        <f aca="false">F370*I370*J370</f>
        <v>0</v>
      </c>
      <c r="M370" s="54" t="n">
        <f aca="false">H370*I370*J370</f>
        <v>0</v>
      </c>
      <c r="N370" s="54" t="n">
        <f aca="false">E370*I370*J370</f>
        <v>-0</v>
      </c>
      <c r="O370" s="53" t="n">
        <f aca="false">G370*J370</f>
        <v>4</v>
      </c>
      <c r="P370" s="53" t="n">
        <f aca="false">F370*J370</f>
        <v>0</v>
      </c>
    </row>
    <row r="371" customFormat="false" ht="15" hidden="false" customHeight="false" outlineLevel="0" collapsed="false">
      <c r="A371" s="53" t="s">
        <v>100</v>
      </c>
      <c r="B371" s="53" t="s">
        <v>122</v>
      </c>
      <c r="C371" s="53" t="s">
        <v>333</v>
      </c>
      <c r="D371" s="53" t="s">
        <v>54</v>
      </c>
      <c r="E371" s="54" t="n">
        <v>88.87</v>
      </c>
      <c r="F371" s="53" t="n">
        <v>1</v>
      </c>
      <c r="G371" s="53" t="n">
        <v>5</v>
      </c>
      <c r="H371" s="54" t="n">
        <v>405.51</v>
      </c>
      <c r="I371" s="53" t="n">
        <f aca="false">IF(B371&gt;=Settings!$B$13,1,0)</f>
        <v>0</v>
      </c>
      <c r="J371" s="53" t="n">
        <v>1</v>
      </c>
      <c r="K371" s="53" t="n">
        <f aca="false">G371*I371*J371</f>
        <v>0</v>
      </c>
      <c r="L371" s="53" t="n">
        <f aca="false">F371*I371*J371</f>
        <v>0</v>
      </c>
      <c r="M371" s="54" t="n">
        <f aca="false">H371*I371*J371</f>
        <v>0</v>
      </c>
      <c r="N371" s="54" t="n">
        <f aca="false">E371*I371*J371</f>
        <v>0</v>
      </c>
      <c r="O371" s="53" t="n">
        <f aca="false">G371*J371</f>
        <v>5</v>
      </c>
      <c r="P371" s="53" t="n">
        <f aca="false">F371*J371</f>
        <v>1</v>
      </c>
    </row>
    <row r="372" customFormat="false" ht="15" hidden="false" customHeight="false" outlineLevel="0" collapsed="false">
      <c r="A372" s="53" t="s">
        <v>89</v>
      </c>
      <c r="B372" s="53" t="s">
        <v>122</v>
      </c>
      <c r="C372" s="53" t="s">
        <v>165</v>
      </c>
      <c r="D372" s="53" t="s">
        <v>42</v>
      </c>
      <c r="E372" s="54" t="n">
        <v>0</v>
      </c>
      <c r="F372" s="53" t="n">
        <v>0</v>
      </c>
      <c r="G372" s="53" t="n">
        <v>31</v>
      </c>
      <c r="H372" s="54" t="n">
        <v>4747.24</v>
      </c>
      <c r="I372" s="53" t="n">
        <f aca="false">IF(B372&gt;=Settings!$B$13,1,0)</f>
        <v>0</v>
      </c>
      <c r="J372" s="53" t="n">
        <v>1</v>
      </c>
      <c r="K372" s="53" t="n">
        <f aca="false">G372*I372*J372</f>
        <v>0</v>
      </c>
      <c r="L372" s="53" t="n">
        <f aca="false">F372*I372*J372</f>
        <v>0</v>
      </c>
      <c r="M372" s="54" t="n">
        <f aca="false">H372*I372*J372</f>
        <v>0</v>
      </c>
      <c r="N372" s="54" t="n">
        <f aca="false">E372*I372*J372</f>
        <v>-0</v>
      </c>
      <c r="O372" s="53" t="n">
        <f aca="false">G372*J372</f>
        <v>31</v>
      </c>
      <c r="P372" s="53" t="n">
        <f aca="false">F372*J372</f>
        <v>0</v>
      </c>
    </row>
    <row r="373" customFormat="false" ht="15" hidden="false" customHeight="false" outlineLevel="0" collapsed="false">
      <c r="A373" s="53" t="s">
        <v>89</v>
      </c>
      <c r="B373" s="53" t="s">
        <v>122</v>
      </c>
      <c r="C373" s="53" t="s">
        <v>154</v>
      </c>
      <c r="D373" s="53" t="s">
        <v>42</v>
      </c>
      <c r="E373" s="54" t="n">
        <v>0</v>
      </c>
      <c r="F373" s="53" t="n">
        <v>0</v>
      </c>
      <c r="G373" s="53" t="n">
        <v>78</v>
      </c>
      <c r="H373" s="54" t="n">
        <v>6970.86</v>
      </c>
      <c r="I373" s="53" t="n">
        <f aca="false">IF(B373&gt;=Settings!$B$13,1,0)</f>
        <v>0</v>
      </c>
      <c r="J373" s="53" t="n">
        <v>1</v>
      </c>
      <c r="K373" s="53" t="n">
        <f aca="false">G373*I373*J373</f>
        <v>0</v>
      </c>
      <c r="L373" s="53" t="n">
        <f aca="false">F373*I373*J373</f>
        <v>0</v>
      </c>
      <c r="M373" s="54" t="n">
        <f aca="false">H373*I373*J373</f>
        <v>0</v>
      </c>
      <c r="N373" s="54" t="n">
        <f aca="false">E373*I373*J373</f>
        <v>-0</v>
      </c>
      <c r="O373" s="53" t="n">
        <f aca="false">G373*J373</f>
        <v>78</v>
      </c>
      <c r="P373" s="53" t="n">
        <f aca="false">F373*J373</f>
        <v>0</v>
      </c>
    </row>
    <row r="374" customFormat="false" ht="15" hidden="false" customHeight="false" outlineLevel="0" collapsed="false">
      <c r="A374" s="53" t="s">
        <v>93</v>
      </c>
      <c r="B374" s="53" t="s">
        <v>122</v>
      </c>
      <c r="C374" s="53" t="s">
        <v>317</v>
      </c>
      <c r="D374" s="53" t="s">
        <v>46</v>
      </c>
      <c r="E374" s="54" t="n">
        <v>0</v>
      </c>
      <c r="F374" s="53" t="n">
        <v>0</v>
      </c>
      <c r="G374" s="53" t="n">
        <v>21</v>
      </c>
      <c r="H374" s="54" t="n">
        <v>2227.47</v>
      </c>
      <c r="I374" s="53" t="n">
        <f aca="false">IF(B374&gt;=Settings!$B$13,1,0)</f>
        <v>0</v>
      </c>
      <c r="J374" s="53" t="n">
        <v>1</v>
      </c>
      <c r="K374" s="53" t="n">
        <f aca="false">G374*I374*J374</f>
        <v>0</v>
      </c>
      <c r="L374" s="53" t="n">
        <f aca="false">F374*I374*J374</f>
        <v>0</v>
      </c>
      <c r="M374" s="54" t="n">
        <f aca="false">H374*I374*J374</f>
        <v>0</v>
      </c>
      <c r="N374" s="54" t="n">
        <f aca="false">E374*I374*J374</f>
        <v>-0</v>
      </c>
      <c r="O374" s="53" t="n">
        <f aca="false">G374*J374</f>
        <v>21</v>
      </c>
      <c r="P374" s="53" t="n">
        <f aca="false">F374*J374</f>
        <v>0</v>
      </c>
    </row>
    <row r="375" customFormat="false" ht="15" hidden="false" customHeight="false" outlineLevel="0" collapsed="false">
      <c r="A375" s="53" t="s">
        <v>93</v>
      </c>
      <c r="B375" s="53" t="s">
        <v>122</v>
      </c>
      <c r="C375" s="53" t="s">
        <v>154</v>
      </c>
      <c r="D375" s="53" t="s">
        <v>42</v>
      </c>
      <c r="E375" s="54" t="n">
        <v>0</v>
      </c>
      <c r="F375" s="53" t="n">
        <v>0</v>
      </c>
      <c r="G375" s="53" t="n">
        <v>29</v>
      </c>
      <c r="H375" s="54" t="n">
        <v>2327.46</v>
      </c>
      <c r="I375" s="53" t="n">
        <f aca="false">IF(B375&gt;=Settings!$B$13,1,0)</f>
        <v>0</v>
      </c>
      <c r="J375" s="53" t="n">
        <v>1</v>
      </c>
      <c r="K375" s="53" t="n">
        <f aca="false">G375*I375*J375</f>
        <v>0</v>
      </c>
      <c r="L375" s="53" t="n">
        <f aca="false">F375*I375*J375</f>
        <v>0</v>
      </c>
      <c r="M375" s="54" t="n">
        <f aca="false">H375*I375*J375</f>
        <v>0</v>
      </c>
      <c r="N375" s="54" t="n">
        <f aca="false">E375*I375*J375</f>
        <v>-0</v>
      </c>
      <c r="O375" s="53" t="n">
        <f aca="false">G375*J375</f>
        <v>29</v>
      </c>
      <c r="P375" s="53" t="n">
        <f aca="false">F375*J375</f>
        <v>0</v>
      </c>
    </row>
    <row r="376" customFormat="false" ht="15" hidden="false" customHeight="false" outlineLevel="0" collapsed="false">
      <c r="A376" s="53" t="s">
        <v>89</v>
      </c>
      <c r="B376" s="53" t="s">
        <v>122</v>
      </c>
      <c r="C376" s="53" t="s">
        <v>328</v>
      </c>
      <c r="D376" s="53" t="s">
        <v>50</v>
      </c>
      <c r="E376" s="54" t="n">
        <v>0</v>
      </c>
      <c r="F376" s="53" t="n">
        <v>0</v>
      </c>
      <c r="G376" s="53" t="n">
        <v>13</v>
      </c>
      <c r="H376" s="54" t="n">
        <v>1273.24</v>
      </c>
      <c r="I376" s="53" t="n">
        <f aca="false">IF(B376&gt;=Settings!$B$13,1,0)</f>
        <v>0</v>
      </c>
      <c r="J376" s="53" t="n">
        <v>1</v>
      </c>
      <c r="K376" s="53" t="n">
        <f aca="false">G376*I376*J376</f>
        <v>0</v>
      </c>
      <c r="L376" s="53" t="n">
        <f aca="false">F376*I376*J376</f>
        <v>0</v>
      </c>
      <c r="M376" s="54" t="n">
        <f aca="false">H376*I376*J376</f>
        <v>0</v>
      </c>
      <c r="N376" s="54" t="n">
        <f aca="false">E376*I376*J376</f>
        <v>-0</v>
      </c>
      <c r="O376" s="53" t="n">
        <f aca="false">G376*J376</f>
        <v>13</v>
      </c>
      <c r="P376" s="53" t="n">
        <f aca="false">F376*J376</f>
        <v>0</v>
      </c>
    </row>
    <row r="377" customFormat="false" ht="15" hidden="false" customHeight="false" outlineLevel="0" collapsed="false">
      <c r="A377" s="53" t="s">
        <v>89</v>
      </c>
      <c r="B377" s="53" t="s">
        <v>122</v>
      </c>
      <c r="C377" s="53" t="s">
        <v>360</v>
      </c>
      <c r="D377" s="53" t="s">
        <v>54</v>
      </c>
      <c r="E377" s="54" t="n">
        <v>0</v>
      </c>
      <c r="F377" s="53" t="n">
        <v>0</v>
      </c>
      <c r="G377" s="53" t="n">
        <v>7</v>
      </c>
      <c r="H377" s="54" t="n">
        <v>705.53</v>
      </c>
      <c r="I377" s="53" t="n">
        <f aca="false">IF(B377&gt;=Settings!$B$13,1,0)</f>
        <v>0</v>
      </c>
      <c r="J377" s="53" t="n">
        <v>1</v>
      </c>
      <c r="K377" s="53" t="n">
        <f aca="false">G377*I377*J377</f>
        <v>0</v>
      </c>
      <c r="L377" s="53" t="n">
        <f aca="false">F377*I377*J377</f>
        <v>0</v>
      </c>
      <c r="M377" s="54" t="n">
        <f aca="false">H377*I377*J377</f>
        <v>0</v>
      </c>
      <c r="N377" s="54" t="n">
        <f aca="false">E377*I377*J377</f>
        <v>-0</v>
      </c>
      <c r="O377" s="53" t="n">
        <f aca="false">G377*J377</f>
        <v>7</v>
      </c>
      <c r="P377" s="53" t="n">
        <f aca="false">F377*J377</f>
        <v>0</v>
      </c>
    </row>
    <row r="378" customFormat="false" ht="15" hidden="false" customHeight="false" outlineLevel="0" collapsed="false">
      <c r="A378" s="53" t="s">
        <v>89</v>
      </c>
      <c r="B378" s="53" t="s">
        <v>122</v>
      </c>
      <c r="C378" s="53" t="s">
        <v>381</v>
      </c>
      <c r="D378" s="53" t="s">
        <v>66</v>
      </c>
      <c r="E378" s="54" t="n">
        <v>0</v>
      </c>
      <c r="F378" s="53" t="n">
        <v>0</v>
      </c>
      <c r="G378" s="53" t="n">
        <v>1</v>
      </c>
      <c r="H378" s="54" t="n">
        <v>291.181</v>
      </c>
      <c r="I378" s="53" t="n">
        <f aca="false">IF(B378&gt;=Settings!$B$13,1,0)</f>
        <v>0</v>
      </c>
      <c r="J378" s="53" t="n">
        <v>1</v>
      </c>
      <c r="K378" s="53" t="n">
        <f aca="false">G378*I378*J378</f>
        <v>0</v>
      </c>
      <c r="L378" s="53" t="n">
        <f aca="false">F378*I378*J378</f>
        <v>0</v>
      </c>
      <c r="M378" s="54" t="n">
        <f aca="false">H378*I378*J378</f>
        <v>0</v>
      </c>
      <c r="N378" s="54" t="n">
        <f aca="false">E378*I378*J378</f>
        <v>-0</v>
      </c>
      <c r="O378" s="53" t="n">
        <f aca="false">G378*J378</f>
        <v>1</v>
      </c>
      <c r="P378" s="53" t="n">
        <f aca="false">F378*J378</f>
        <v>0</v>
      </c>
    </row>
    <row r="379" customFormat="false" ht="15" hidden="false" customHeight="false" outlineLevel="0" collapsed="false">
      <c r="A379" s="53" t="s">
        <v>93</v>
      </c>
      <c r="B379" s="53" t="s">
        <v>122</v>
      </c>
      <c r="C379" s="53" t="s">
        <v>333</v>
      </c>
      <c r="D379" s="53" t="s">
        <v>54</v>
      </c>
      <c r="E379" s="54" t="n">
        <v>0</v>
      </c>
      <c r="F379" s="53" t="n">
        <v>0</v>
      </c>
      <c r="G379" s="53" t="n">
        <v>20</v>
      </c>
      <c r="H379" s="54" t="n">
        <v>1419.14</v>
      </c>
      <c r="I379" s="53" t="n">
        <f aca="false">IF(B379&gt;=Settings!$B$13,1,0)</f>
        <v>0</v>
      </c>
      <c r="J379" s="53" t="n">
        <v>1</v>
      </c>
      <c r="K379" s="53" t="n">
        <f aca="false">G379*I379*J379</f>
        <v>0</v>
      </c>
      <c r="L379" s="53" t="n">
        <f aca="false">F379*I379*J379</f>
        <v>0</v>
      </c>
      <c r="M379" s="54" t="n">
        <f aca="false">H379*I379*J379</f>
        <v>0</v>
      </c>
      <c r="N379" s="54" t="n">
        <f aca="false">E379*I379*J379</f>
        <v>-0</v>
      </c>
      <c r="O379" s="53" t="n">
        <f aca="false">G379*J379</f>
        <v>20</v>
      </c>
      <c r="P379" s="53" t="n">
        <f aca="false">F379*J379</f>
        <v>0</v>
      </c>
    </row>
    <row r="380" customFormat="false" ht="15" hidden="false" customHeight="false" outlineLevel="0" collapsed="false">
      <c r="A380" s="53" t="s">
        <v>93</v>
      </c>
      <c r="B380" s="53" t="s">
        <v>122</v>
      </c>
      <c r="C380" s="53" t="s">
        <v>160</v>
      </c>
      <c r="D380" s="53" t="s">
        <v>58</v>
      </c>
      <c r="E380" s="54" t="n">
        <v>0</v>
      </c>
      <c r="F380" s="53" t="n">
        <v>0</v>
      </c>
      <c r="G380" s="53" t="n">
        <v>1</v>
      </c>
      <c r="H380" s="54" t="n">
        <v>77.23</v>
      </c>
      <c r="I380" s="53" t="n">
        <f aca="false">IF(B380&gt;=Settings!$B$13,1,0)</f>
        <v>0</v>
      </c>
      <c r="J380" s="53" t="n">
        <v>1</v>
      </c>
      <c r="K380" s="53" t="n">
        <f aca="false">G380*I380*J380</f>
        <v>0</v>
      </c>
      <c r="L380" s="53" t="n">
        <f aca="false">F380*I380*J380</f>
        <v>0</v>
      </c>
      <c r="M380" s="54" t="n">
        <f aca="false">H380*I380*J380</f>
        <v>0</v>
      </c>
      <c r="N380" s="54" t="n">
        <f aca="false">E380*I380*J380</f>
        <v>-0</v>
      </c>
      <c r="O380" s="53" t="n">
        <f aca="false">G380*J380</f>
        <v>1</v>
      </c>
      <c r="P380" s="53" t="n">
        <f aca="false">F380*J380</f>
        <v>0</v>
      </c>
    </row>
    <row r="381" customFormat="false" ht="15" hidden="false" customHeight="false" outlineLevel="0" collapsed="false">
      <c r="A381" s="53" t="s">
        <v>89</v>
      </c>
      <c r="B381" s="53" t="s">
        <v>122</v>
      </c>
      <c r="C381" s="53" t="s">
        <v>160</v>
      </c>
      <c r="D381" s="53" t="s">
        <v>58</v>
      </c>
      <c r="E381" s="54" t="n">
        <v>0</v>
      </c>
      <c r="F381" s="53" t="n">
        <v>0</v>
      </c>
      <c r="G381" s="53" t="n">
        <v>5</v>
      </c>
      <c r="H381" s="54" t="n">
        <v>414.77</v>
      </c>
      <c r="I381" s="53" t="n">
        <f aca="false">IF(B381&gt;=Settings!$B$13,1,0)</f>
        <v>0</v>
      </c>
      <c r="J381" s="53" t="n">
        <v>1</v>
      </c>
      <c r="K381" s="53" t="n">
        <f aca="false">G381*I381*J381</f>
        <v>0</v>
      </c>
      <c r="L381" s="53" t="n">
        <f aca="false">F381*I381*J381</f>
        <v>0</v>
      </c>
      <c r="M381" s="54" t="n">
        <f aca="false">H381*I381*J381</f>
        <v>0</v>
      </c>
      <c r="N381" s="54" t="n">
        <f aca="false">E381*I381*J381</f>
        <v>-0</v>
      </c>
      <c r="O381" s="53" t="n">
        <f aca="false">G381*J381</f>
        <v>5</v>
      </c>
      <c r="P381" s="53" t="n">
        <f aca="false">F381*J381</f>
        <v>0</v>
      </c>
    </row>
    <row r="382" customFormat="false" ht="15" hidden="false" customHeight="false" outlineLevel="0" collapsed="false">
      <c r="A382" s="53" t="s">
        <v>93</v>
      </c>
      <c r="B382" s="53" t="s">
        <v>122</v>
      </c>
      <c r="C382" s="53" t="s">
        <v>323</v>
      </c>
      <c r="D382" s="53" t="s">
        <v>62</v>
      </c>
      <c r="E382" s="54" t="n">
        <v>0</v>
      </c>
      <c r="F382" s="53" t="n">
        <v>0</v>
      </c>
      <c r="G382" s="53" t="n">
        <v>5</v>
      </c>
      <c r="H382" s="54" t="n">
        <v>613.39</v>
      </c>
      <c r="I382" s="53" t="n">
        <f aca="false">IF(B382&gt;=Settings!$B$13,1,0)</f>
        <v>0</v>
      </c>
      <c r="J382" s="53" t="n">
        <v>1</v>
      </c>
      <c r="K382" s="53" t="n">
        <f aca="false">G382*I382*J382</f>
        <v>0</v>
      </c>
      <c r="L382" s="53" t="n">
        <f aca="false">F382*I382*J382</f>
        <v>0</v>
      </c>
      <c r="M382" s="54" t="n">
        <f aca="false">H382*I382*J382</f>
        <v>0</v>
      </c>
      <c r="N382" s="54" t="n">
        <f aca="false">E382*I382*J382</f>
        <v>-0</v>
      </c>
      <c r="O382" s="53" t="n">
        <f aca="false">G382*J382</f>
        <v>5</v>
      </c>
      <c r="P382" s="53" t="n">
        <f aca="false">F382*J382</f>
        <v>0</v>
      </c>
    </row>
    <row r="383" customFormat="false" ht="15" hidden="false" customHeight="false" outlineLevel="0" collapsed="false">
      <c r="A383" s="53" t="s">
        <v>97</v>
      </c>
      <c r="B383" s="53" t="s">
        <v>122</v>
      </c>
      <c r="C383" s="53" t="s">
        <v>390</v>
      </c>
      <c r="D383" s="53" t="s">
        <v>54</v>
      </c>
      <c r="E383" s="54" t="n">
        <v>69.52</v>
      </c>
      <c r="F383" s="53" t="n">
        <v>1</v>
      </c>
      <c r="G383" s="53" t="n">
        <v>13</v>
      </c>
      <c r="H383" s="54" t="n">
        <v>1059.84</v>
      </c>
      <c r="I383" s="53" t="n">
        <f aca="false">IF(B383&gt;=Settings!$B$13,1,0)</f>
        <v>0</v>
      </c>
      <c r="J383" s="53" t="n">
        <v>1</v>
      </c>
      <c r="K383" s="53" t="n">
        <f aca="false">G383*I383*J383</f>
        <v>0</v>
      </c>
      <c r="L383" s="53" t="n">
        <f aca="false">F383*I383*J383</f>
        <v>0</v>
      </c>
      <c r="M383" s="54" t="n">
        <f aca="false">H383*I383*J383</f>
        <v>0</v>
      </c>
      <c r="N383" s="54" t="n">
        <f aca="false">E383*I383*J383</f>
        <v>0</v>
      </c>
      <c r="O383" s="53" t="n">
        <f aca="false">G383*J383</f>
        <v>13</v>
      </c>
      <c r="P383" s="53" t="n">
        <f aca="false">F383*J383</f>
        <v>1</v>
      </c>
    </row>
    <row r="384" customFormat="false" ht="15" hidden="false" customHeight="false" outlineLevel="0" collapsed="false">
      <c r="A384" s="53" t="s">
        <v>89</v>
      </c>
      <c r="B384" s="53" t="s">
        <v>122</v>
      </c>
      <c r="C384" s="53" t="s">
        <v>322</v>
      </c>
      <c r="D384" s="53" t="s">
        <v>54</v>
      </c>
      <c r="E384" s="54" t="n">
        <v>0</v>
      </c>
      <c r="F384" s="53" t="n">
        <v>0</v>
      </c>
      <c r="G384" s="53" t="n">
        <v>82</v>
      </c>
      <c r="H384" s="54" t="n">
        <v>4908.947</v>
      </c>
      <c r="I384" s="53" t="n">
        <f aca="false">IF(B384&gt;=Settings!$B$13,1,0)</f>
        <v>0</v>
      </c>
      <c r="J384" s="53" t="n">
        <v>1</v>
      </c>
      <c r="K384" s="53" t="n">
        <f aca="false">G384*I384*J384</f>
        <v>0</v>
      </c>
      <c r="L384" s="53" t="n">
        <f aca="false">F384*I384*J384</f>
        <v>0</v>
      </c>
      <c r="M384" s="54" t="n">
        <f aca="false">H384*I384*J384</f>
        <v>0</v>
      </c>
      <c r="N384" s="54" t="n">
        <f aca="false">E384*I384*J384</f>
        <v>-0</v>
      </c>
      <c r="O384" s="53" t="n">
        <f aca="false">G384*J384</f>
        <v>82</v>
      </c>
      <c r="P384" s="53" t="n">
        <f aca="false">F384*J384</f>
        <v>0</v>
      </c>
    </row>
    <row r="385" customFormat="false" ht="15" hidden="false" customHeight="false" outlineLevel="0" collapsed="false">
      <c r="A385" s="53" t="s">
        <v>100</v>
      </c>
      <c r="B385" s="53" t="s">
        <v>122</v>
      </c>
      <c r="C385" s="53" t="s">
        <v>360</v>
      </c>
      <c r="D385" s="53" t="s">
        <v>54</v>
      </c>
      <c r="E385" s="54" t="n">
        <v>102.67</v>
      </c>
      <c r="F385" s="53" t="n">
        <v>1</v>
      </c>
      <c r="G385" s="53" t="n">
        <v>31</v>
      </c>
      <c r="H385" s="54" t="n">
        <v>3150.38</v>
      </c>
      <c r="I385" s="53" t="n">
        <f aca="false">IF(B385&gt;=Settings!$B$13,1,0)</f>
        <v>0</v>
      </c>
      <c r="J385" s="53" t="n">
        <v>1</v>
      </c>
      <c r="K385" s="53" t="n">
        <f aca="false">G385*I385*J385</f>
        <v>0</v>
      </c>
      <c r="L385" s="53" t="n">
        <f aca="false">F385*I385*J385</f>
        <v>0</v>
      </c>
      <c r="M385" s="54" t="n">
        <f aca="false">H385*I385*J385</f>
        <v>0</v>
      </c>
      <c r="N385" s="54" t="n">
        <f aca="false">E385*I385*J385</f>
        <v>0</v>
      </c>
      <c r="O385" s="53" t="n">
        <f aca="false">G385*J385</f>
        <v>31</v>
      </c>
      <c r="P385" s="53" t="n">
        <f aca="false">F385*J385</f>
        <v>1</v>
      </c>
    </row>
    <row r="386" customFormat="false" ht="15" hidden="false" customHeight="false" outlineLevel="0" collapsed="false">
      <c r="A386" s="53" t="s">
        <v>100</v>
      </c>
      <c r="B386" s="53" t="s">
        <v>122</v>
      </c>
      <c r="C386" s="53" t="s">
        <v>357</v>
      </c>
      <c r="D386" s="53" t="s">
        <v>54</v>
      </c>
      <c r="E386" s="54" t="n">
        <v>87.23</v>
      </c>
      <c r="F386" s="53" t="n">
        <v>1</v>
      </c>
      <c r="G386" s="53" t="n">
        <v>7</v>
      </c>
      <c r="H386" s="54" t="n">
        <v>620.71</v>
      </c>
      <c r="I386" s="53" t="n">
        <f aca="false">IF(B386&gt;=Settings!$B$13,1,0)</f>
        <v>0</v>
      </c>
      <c r="J386" s="53" t="n">
        <v>1</v>
      </c>
      <c r="K386" s="53" t="n">
        <f aca="false">G386*I386*J386</f>
        <v>0</v>
      </c>
      <c r="L386" s="53" t="n">
        <f aca="false">F386*I386*J386</f>
        <v>0</v>
      </c>
      <c r="M386" s="54" t="n">
        <f aca="false">H386*I386*J386</f>
        <v>0</v>
      </c>
      <c r="N386" s="54" t="n">
        <f aca="false">E386*I386*J386</f>
        <v>0</v>
      </c>
      <c r="O386" s="53" t="n">
        <f aca="false">G386*J386</f>
        <v>7</v>
      </c>
      <c r="P386" s="53" t="n">
        <f aca="false">F386*J386</f>
        <v>1</v>
      </c>
    </row>
    <row r="387" customFormat="false" ht="15" hidden="false" customHeight="false" outlineLevel="0" collapsed="false">
      <c r="A387" s="53" t="s">
        <v>93</v>
      </c>
      <c r="B387" s="53" t="s">
        <v>123</v>
      </c>
      <c r="C387" s="53" t="s">
        <v>333</v>
      </c>
      <c r="D387" s="53" t="s">
        <v>54</v>
      </c>
      <c r="E387" s="54" t="n">
        <v>0</v>
      </c>
      <c r="F387" s="53" t="n">
        <v>0</v>
      </c>
      <c r="G387" s="53" t="n">
        <v>11</v>
      </c>
      <c r="H387" s="54" t="n">
        <v>790.41</v>
      </c>
      <c r="I387" s="53" t="n">
        <f aca="false">IF(B387&gt;=Settings!$B$13,1,0)</f>
        <v>0</v>
      </c>
      <c r="J387" s="53" t="n">
        <v>1</v>
      </c>
      <c r="K387" s="53" t="n">
        <f aca="false">G387*I387*J387</f>
        <v>0</v>
      </c>
      <c r="L387" s="53" t="n">
        <f aca="false">F387*I387*J387</f>
        <v>0</v>
      </c>
      <c r="M387" s="54" t="n">
        <f aca="false">H387*I387*J387</f>
        <v>0</v>
      </c>
      <c r="N387" s="54" t="n">
        <f aca="false">E387*I387*J387</f>
        <v>-0</v>
      </c>
      <c r="O387" s="53" t="n">
        <f aca="false">G387*J387</f>
        <v>11</v>
      </c>
      <c r="P387" s="53" t="n">
        <f aca="false">F387*J387</f>
        <v>0</v>
      </c>
    </row>
    <row r="388" customFormat="false" ht="15" hidden="false" customHeight="false" outlineLevel="0" collapsed="false">
      <c r="A388" s="53" t="s">
        <v>93</v>
      </c>
      <c r="B388" s="53" t="s">
        <v>123</v>
      </c>
      <c r="C388" s="53" t="s">
        <v>158</v>
      </c>
      <c r="D388" s="53" t="s">
        <v>42</v>
      </c>
      <c r="E388" s="54" t="n">
        <v>0</v>
      </c>
      <c r="F388" s="53" t="n">
        <v>0</v>
      </c>
      <c r="G388" s="53" t="n">
        <v>25</v>
      </c>
      <c r="H388" s="54" t="n">
        <v>2689.73</v>
      </c>
      <c r="I388" s="53" t="n">
        <f aca="false">IF(B388&gt;=Settings!$B$13,1,0)</f>
        <v>0</v>
      </c>
      <c r="J388" s="53" t="n">
        <v>1</v>
      </c>
      <c r="K388" s="53" t="n">
        <f aca="false">G388*I388*J388</f>
        <v>0</v>
      </c>
      <c r="L388" s="53" t="n">
        <f aca="false">F388*I388*J388</f>
        <v>0</v>
      </c>
      <c r="M388" s="54" t="n">
        <f aca="false">H388*I388*J388</f>
        <v>0</v>
      </c>
      <c r="N388" s="54" t="n">
        <f aca="false">E388*I388*J388</f>
        <v>-0</v>
      </c>
      <c r="O388" s="53" t="n">
        <f aca="false">G388*J388</f>
        <v>25</v>
      </c>
      <c r="P388" s="53" t="n">
        <f aca="false">F388*J388</f>
        <v>0</v>
      </c>
    </row>
    <row r="389" customFormat="false" ht="15" hidden="false" customHeight="false" outlineLevel="0" collapsed="false">
      <c r="A389" s="53" t="s">
        <v>93</v>
      </c>
      <c r="B389" s="53" t="s">
        <v>123</v>
      </c>
      <c r="C389" s="53" t="s">
        <v>160</v>
      </c>
      <c r="D389" s="53" t="s">
        <v>58</v>
      </c>
      <c r="E389" s="54" t="n">
        <v>0</v>
      </c>
      <c r="F389" s="53" t="n">
        <v>0</v>
      </c>
      <c r="G389" s="53" t="n">
        <v>3</v>
      </c>
      <c r="H389" s="54" t="n">
        <v>222.59</v>
      </c>
      <c r="I389" s="53" t="n">
        <f aca="false">IF(B389&gt;=Settings!$B$13,1,0)</f>
        <v>0</v>
      </c>
      <c r="J389" s="53" t="n">
        <v>1</v>
      </c>
      <c r="K389" s="53" t="n">
        <f aca="false">G389*I389*J389</f>
        <v>0</v>
      </c>
      <c r="L389" s="53" t="n">
        <f aca="false">F389*I389*J389</f>
        <v>0</v>
      </c>
      <c r="M389" s="54" t="n">
        <f aca="false">H389*I389*J389</f>
        <v>0</v>
      </c>
      <c r="N389" s="54" t="n">
        <f aca="false">E389*I389*J389</f>
        <v>-0</v>
      </c>
      <c r="O389" s="53" t="n">
        <f aca="false">G389*J389</f>
        <v>3</v>
      </c>
      <c r="P389" s="53" t="n">
        <f aca="false">F389*J389</f>
        <v>0</v>
      </c>
    </row>
    <row r="390" customFormat="false" ht="15" hidden="false" customHeight="false" outlineLevel="0" collapsed="false">
      <c r="A390" s="53" t="s">
        <v>93</v>
      </c>
      <c r="B390" s="53" t="s">
        <v>123</v>
      </c>
      <c r="C390" s="53" t="s">
        <v>357</v>
      </c>
      <c r="D390" s="53" t="s">
        <v>54</v>
      </c>
      <c r="E390" s="54" t="n">
        <v>0</v>
      </c>
      <c r="F390" s="53" t="n">
        <v>0</v>
      </c>
      <c r="G390" s="53" t="n">
        <v>22</v>
      </c>
      <c r="H390" s="54" t="n">
        <v>1758.09</v>
      </c>
      <c r="I390" s="53" t="n">
        <f aca="false">IF(B390&gt;=Settings!$B$13,1,0)</f>
        <v>0</v>
      </c>
      <c r="J390" s="53" t="n">
        <v>1</v>
      </c>
      <c r="K390" s="53" t="n">
        <f aca="false">G390*I390*J390</f>
        <v>0</v>
      </c>
      <c r="L390" s="53" t="n">
        <f aca="false">F390*I390*J390</f>
        <v>0</v>
      </c>
      <c r="M390" s="54" t="n">
        <f aca="false">H390*I390*J390</f>
        <v>0</v>
      </c>
      <c r="N390" s="54" t="n">
        <f aca="false">E390*I390*J390</f>
        <v>-0</v>
      </c>
      <c r="O390" s="53" t="n">
        <f aca="false">G390*J390</f>
        <v>22</v>
      </c>
      <c r="P390" s="53" t="n">
        <f aca="false">F390*J390</f>
        <v>0</v>
      </c>
    </row>
    <row r="391" customFormat="false" ht="15" hidden="false" customHeight="false" outlineLevel="0" collapsed="false">
      <c r="A391" s="53" t="s">
        <v>97</v>
      </c>
      <c r="B391" s="53" t="s">
        <v>123</v>
      </c>
      <c r="C391" s="53" t="s">
        <v>385</v>
      </c>
      <c r="D391" s="53" t="s">
        <v>54</v>
      </c>
      <c r="E391" s="54" t="n">
        <v>0</v>
      </c>
      <c r="F391" s="53" t="n">
        <v>0</v>
      </c>
      <c r="G391" s="53" t="n">
        <v>7</v>
      </c>
      <c r="H391" s="54" t="n">
        <v>512.94</v>
      </c>
      <c r="I391" s="53" t="n">
        <f aca="false">IF(B391&gt;=Settings!$B$13,1,0)</f>
        <v>0</v>
      </c>
      <c r="J391" s="53" t="n">
        <v>1</v>
      </c>
      <c r="K391" s="53" t="n">
        <f aca="false">G391*I391*J391</f>
        <v>0</v>
      </c>
      <c r="L391" s="53" t="n">
        <f aca="false">F391*I391*J391</f>
        <v>0</v>
      </c>
      <c r="M391" s="54" t="n">
        <f aca="false">H391*I391*J391</f>
        <v>0</v>
      </c>
      <c r="N391" s="54" t="n">
        <f aca="false">E391*I391*J391</f>
        <v>-0</v>
      </c>
      <c r="O391" s="53" t="n">
        <f aca="false">G391*J391</f>
        <v>7</v>
      </c>
      <c r="P391" s="53" t="n">
        <f aca="false">F391*J391</f>
        <v>0</v>
      </c>
    </row>
    <row r="392" customFormat="false" ht="15" hidden="false" customHeight="false" outlineLevel="0" collapsed="false">
      <c r="A392" s="53" t="s">
        <v>93</v>
      </c>
      <c r="B392" s="53" t="s">
        <v>123</v>
      </c>
      <c r="C392" s="53" t="s">
        <v>330</v>
      </c>
      <c r="D392" s="53" t="s">
        <v>46</v>
      </c>
      <c r="E392" s="54" t="n">
        <v>119.75</v>
      </c>
      <c r="F392" s="53" t="n">
        <v>1</v>
      </c>
      <c r="G392" s="53" t="n">
        <v>32</v>
      </c>
      <c r="H392" s="54" t="n">
        <v>4303.04</v>
      </c>
      <c r="I392" s="53" t="n">
        <f aca="false">IF(B392&gt;=Settings!$B$13,1,0)</f>
        <v>0</v>
      </c>
      <c r="J392" s="53" t="n">
        <v>1</v>
      </c>
      <c r="K392" s="53" t="n">
        <f aca="false">G392*I392*J392</f>
        <v>0</v>
      </c>
      <c r="L392" s="53" t="n">
        <f aca="false">F392*I392*J392</f>
        <v>0</v>
      </c>
      <c r="M392" s="54" t="n">
        <f aca="false">H392*I392*J392</f>
        <v>0</v>
      </c>
      <c r="N392" s="54" t="n">
        <f aca="false">E392*I392*J392</f>
        <v>0</v>
      </c>
      <c r="O392" s="53" t="n">
        <f aca="false">G392*J392</f>
        <v>32</v>
      </c>
      <c r="P392" s="53" t="n">
        <f aca="false">F392*J392</f>
        <v>1</v>
      </c>
    </row>
    <row r="393" customFormat="false" ht="15" hidden="false" customHeight="false" outlineLevel="0" collapsed="false">
      <c r="A393" s="53" t="s">
        <v>93</v>
      </c>
      <c r="B393" s="53" t="s">
        <v>123</v>
      </c>
      <c r="C393" s="53" t="s">
        <v>360</v>
      </c>
      <c r="D393" s="53" t="s">
        <v>54</v>
      </c>
      <c r="E393" s="54" t="n">
        <v>0</v>
      </c>
      <c r="F393" s="53" t="n">
        <v>0</v>
      </c>
      <c r="G393" s="53" t="n">
        <v>11</v>
      </c>
      <c r="H393" s="54" t="n">
        <v>954.01</v>
      </c>
      <c r="I393" s="53" t="n">
        <f aca="false">IF(B393&gt;=Settings!$B$13,1,0)</f>
        <v>0</v>
      </c>
      <c r="J393" s="53" t="n">
        <v>1</v>
      </c>
      <c r="K393" s="53" t="n">
        <f aca="false">G393*I393*J393</f>
        <v>0</v>
      </c>
      <c r="L393" s="53" t="n">
        <f aca="false">F393*I393*J393</f>
        <v>0</v>
      </c>
      <c r="M393" s="54" t="n">
        <f aca="false">H393*I393*J393</f>
        <v>0</v>
      </c>
      <c r="N393" s="54" t="n">
        <f aca="false">E393*I393*J393</f>
        <v>-0</v>
      </c>
      <c r="O393" s="53" t="n">
        <f aca="false">G393*J393</f>
        <v>11</v>
      </c>
      <c r="P393" s="53" t="n">
        <f aca="false">F393*J393</f>
        <v>0</v>
      </c>
    </row>
    <row r="394" customFormat="false" ht="15" hidden="false" customHeight="false" outlineLevel="0" collapsed="false">
      <c r="A394" s="53" t="s">
        <v>89</v>
      </c>
      <c r="B394" s="53" t="s">
        <v>123</v>
      </c>
      <c r="C394" s="53" t="s">
        <v>360</v>
      </c>
      <c r="D394" s="53" t="s">
        <v>54</v>
      </c>
      <c r="E394" s="54" t="n">
        <v>90.86</v>
      </c>
      <c r="F394" s="53" t="n">
        <v>1</v>
      </c>
      <c r="G394" s="53" t="n">
        <v>27</v>
      </c>
      <c r="H394" s="54" t="n">
        <v>2371.44</v>
      </c>
      <c r="I394" s="53" t="n">
        <f aca="false">IF(B394&gt;=Settings!$B$13,1,0)</f>
        <v>0</v>
      </c>
      <c r="J394" s="53" t="n">
        <v>1</v>
      </c>
      <c r="K394" s="53" t="n">
        <f aca="false">G394*I394*J394</f>
        <v>0</v>
      </c>
      <c r="L394" s="53" t="n">
        <f aca="false">F394*I394*J394</f>
        <v>0</v>
      </c>
      <c r="M394" s="54" t="n">
        <f aca="false">H394*I394*J394</f>
        <v>0</v>
      </c>
      <c r="N394" s="54" t="n">
        <f aca="false">E394*I394*J394</f>
        <v>0</v>
      </c>
      <c r="O394" s="53" t="n">
        <f aca="false">G394*J394</f>
        <v>27</v>
      </c>
      <c r="P394" s="53" t="n">
        <f aca="false">F394*J394</f>
        <v>1</v>
      </c>
    </row>
    <row r="395" customFormat="false" ht="15" hidden="false" customHeight="false" outlineLevel="0" collapsed="false">
      <c r="A395" s="53" t="s">
        <v>100</v>
      </c>
      <c r="B395" s="53" t="s">
        <v>123</v>
      </c>
      <c r="C395" s="53" t="s">
        <v>333</v>
      </c>
      <c r="D395" s="53" t="s">
        <v>54</v>
      </c>
      <c r="E395" s="54" t="n">
        <v>0</v>
      </c>
      <c r="F395" s="53" t="n">
        <v>0</v>
      </c>
      <c r="G395" s="53" t="n">
        <v>6</v>
      </c>
      <c r="H395" s="54" t="n">
        <v>452.88</v>
      </c>
      <c r="I395" s="53" t="n">
        <f aca="false">IF(B395&gt;=Settings!$B$13,1,0)</f>
        <v>0</v>
      </c>
      <c r="J395" s="53" t="n">
        <v>1</v>
      </c>
      <c r="K395" s="53" t="n">
        <f aca="false">G395*I395*J395</f>
        <v>0</v>
      </c>
      <c r="L395" s="53" t="n">
        <f aca="false">F395*I395*J395</f>
        <v>0</v>
      </c>
      <c r="M395" s="54" t="n">
        <f aca="false">H395*I395*J395</f>
        <v>0</v>
      </c>
      <c r="N395" s="54" t="n">
        <f aca="false">E395*I395*J395</f>
        <v>-0</v>
      </c>
      <c r="O395" s="53" t="n">
        <f aca="false">G395*J395</f>
        <v>6</v>
      </c>
      <c r="P395" s="53" t="n">
        <f aca="false">F395*J395</f>
        <v>0</v>
      </c>
    </row>
    <row r="396" customFormat="false" ht="15" hidden="false" customHeight="false" outlineLevel="0" collapsed="false">
      <c r="A396" s="53" t="s">
        <v>93</v>
      </c>
      <c r="B396" s="53" t="s">
        <v>123</v>
      </c>
      <c r="C396" s="53" t="s">
        <v>391</v>
      </c>
      <c r="D396" s="53" t="s">
        <v>50</v>
      </c>
      <c r="E396" s="54" t="n">
        <v>0</v>
      </c>
      <c r="F396" s="53" t="n">
        <v>0</v>
      </c>
      <c r="G396" s="53" t="n">
        <v>1</v>
      </c>
      <c r="H396" s="54" t="n">
        <v>159.04</v>
      </c>
      <c r="I396" s="53" t="n">
        <f aca="false">IF(B396&gt;=Settings!$B$13,1,0)</f>
        <v>0</v>
      </c>
      <c r="J396" s="53" t="n">
        <v>1</v>
      </c>
      <c r="K396" s="53" t="n">
        <f aca="false">G396*I396*J396</f>
        <v>0</v>
      </c>
      <c r="L396" s="53" t="n">
        <f aca="false">F396*I396*J396</f>
        <v>0</v>
      </c>
      <c r="M396" s="54" t="n">
        <f aca="false">H396*I396*J396</f>
        <v>0</v>
      </c>
      <c r="N396" s="54" t="n">
        <f aca="false">E396*I396*J396</f>
        <v>-0</v>
      </c>
      <c r="O396" s="53" t="n">
        <f aca="false">G396*J396</f>
        <v>1</v>
      </c>
      <c r="P396" s="53" t="n">
        <f aca="false">F396*J396</f>
        <v>0</v>
      </c>
    </row>
    <row r="397" customFormat="false" ht="15" hidden="false" customHeight="false" outlineLevel="0" collapsed="false">
      <c r="A397" s="53" t="s">
        <v>89</v>
      </c>
      <c r="B397" s="53" t="s">
        <v>123</v>
      </c>
      <c r="C397" s="53" t="s">
        <v>317</v>
      </c>
      <c r="D397" s="53" t="s">
        <v>46</v>
      </c>
      <c r="E397" s="54" t="n">
        <v>419.13</v>
      </c>
      <c r="F397" s="53" t="n">
        <v>4</v>
      </c>
      <c r="G397" s="53" t="n">
        <v>139</v>
      </c>
      <c r="H397" s="54" t="n">
        <v>14879.52</v>
      </c>
      <c r="I397" s="53" t="n">
        <f aca="false">IF(B397&gt;=Settings!$B$13,1,0)</f>
        <v>0</v>
      </c>
      <c r="J397" s="53" t="n">
        <v>1</v>
      </c>
      <c r="K397" s="53" t="n">
        <f aca="false">G397*I397*J397</f>
        <v>0</v>
      </c>
      <c r="L397" s="53" t="n">
        <f aca="false">F397*I397*J397</f>
        <v>0</v>
      </c>
      <c r="M397" s="54" t="n">
        <f aca="false">H397*I397*J397</f>
        <v>0</v>
      </c>
      <c r="N397" s="54" t="n">
        <f aca="false">E397*I397*J397</f>
        <v>0</v>
      </c>
      <c r="O397" s="53" t="n">
        <f aca="false">G397*J397</f>
        <v>139</v>
      </c>
      <c r="P397" s="53" t="n">
        <f aca="false">F397*J397</f>
        <v>4</v>
      </c>
    </row>
    <row r="398" customFormat="false" ht="15" hidden="false" customHeight="false" outlineLevel="0" collapsed="false">
      <c r="A398" s="53" t="s">
        <v>89</v>
      </c>
      <c r="B398" s="53" t="s">
        <v>123</v>
      </c>
      <c r="C398" s="53" t="s">
        <v>154</v>
      </c>
      <c r="D398" s="53" t="s">
        <v>42</v>
      </c>
      <c r="E398" s="54" t="n">
        <v>313.45</v>
      </c>
      <c r="F398" s="53" t="n">
        <v>4</v>
      </c>
      <c r="G398" s="53" t="n">
        <v>278</v>
      </c>
      <c r="H398" s="54" t="n">
        <v>20855.31</v>
      </c>
      <c r="I398" s="53" t="n">
        <f aca="false">IF(B398&gt;=Settings!$B$13,1,0)</f>
        <v>0</v>
      </c>
      <c r="J398" s="53" t="n">
        <v>1</v>
      </c>
      <c r="K398" s="53" t="n">
        <f aca="false">G398*I398*J398</f>
        <v>0</v>
      </c>
      <c r="L398" s="53" t="n">
        <f aca="false">F398*I398*J398</f>
        <v>0</v>
      </c>
      <c r="M398" s="54" t="n">
        <f aca="false">H398*I398*J398</f>
        <v>0</v>
      </c>
      <c r="N398" s="54" t="n">
        <f aca="false">E398*I398*J398</f>
        <v>0</v>
      </c>
      <c r="O398" s="53" t="n">
        <f aca="false">G398*J398</f>
        <v>278</v>
      </c>
      <c r="P398" s="53" t="n">
        <f aca="false">F398*J398</f>
        <v>4</v>
      </c>
    </row>
    <row r="399" customFormat="false" ht="15" hidden="false" customHeight="false" outlineLevel="0" collapsed="false">
      <c r="A399" s="53" t="s">
        <v>93</v>
      </c>
      <c r="B399" s="53" t="s">
        <v>123</v>
      </c>
      <c r="C399" s="53" t="s">
        <v>347</v>
      </c>
      <c r="D399" s="53" t="s">
        <v>62</v>
      </c>
      <c r="E399" s="54" t="n">
        <v>0</v>
      </c>
      <c r="F399" s="53" t="n">
        <v>0</v>
      </c>
      <c r="G399" s="53" t="n">
        <v>5</v>
      </c>
      <c r="H399" s="54" t="n">
        <v>340.69</v>
      </c>
      <c r="I399" s="53" t="n">
        <f aca="false">IF(B399&gt;=Settings!$B$13,1,0)</f>
        <v>0</v>
      </c>
      <c r="J399" s="53" t="n">
        <v>1</v>
      </c>
      <c r="K399" s="53" t="n">
        <f aca="false">G399*I399*J399</f>
        <v>0</v>
      </c>
      <c r="L399" s="53" t="n">
        <f aca="false">F399*I399*J399</f>
        <v>0</v>
      </c>
      <c r="M399" s="54" t="n">
        <f aca="false">H399*I399*J399</f>
        <v>0</v>
      </c>
      <c r="N399" s="54" t="n">
        <f aca="false">E399*I399*J399</f>
        <v>-0</v>
      </c>
      <c r="O399" s="53" t="n">
        <f aca="false">G399*J399</f>
        <v>5</v>
      </c>
      <c r="P399" s="53" t="n">
        <f aca="false">F399*J399</f>
        <v>0</v>
      </c>
    </row>
    <row r="400" customFormat="false" ht="15" hidden="false" customHeight="false" outlineLevel="0" collapsed="false">
      <c r="A400" s="53" t="s">
        <v>100</v>
      </c>
      <c r="B400" s="53" t="s">
        <v>123</v>
      </c>
      <c r="C400" s="53" t="s">
        <v>357</v>
      </c>
      <c r="D400" s="53" t="s">
        <v>54</v>
      </c>
      <c r="E400" s="54" t="n">
        <v>0</v>
      </c>
      <c r="F400" s="53" t="n">
        <v>0</v>
      </c>
      <c r="G400" s="53" t="n">
        <v>7</v>
      </c>
      <c r="H400" s="54" t="n">
        <v>654.31</v>
      </c>
      <c r="I400" s="53" t="n">
        <f aca="false">IF(B400&gt;=Settings!$B$13,1,0)</f>
        <v>0</v>
      </c>
      <c r="J400" s="53" t="n">
        <v>1</v>
      </c>
      <c r="K400" s="53" t="n">
        <f aca="false">G400*I400*J400</f>
        <v>0</v>
      </c>
      <c r="L400" s="53" t="n">
        <f aca="false">F400*I400*J400</f>
        <v>0</v>
      </c>
      <c r="M400" s="54" t="n">
        <f aca="false">H400*I400*J400</f>
        <v>0</v>
      </c>
      <c r="N400" s="54" t="n">
        <f aca="false">E400*I400*J400</f>
        <v>-0</v>
      </c>
      <c r="O400" s="53" t="n">
        <f aca="false">G400*J400</f>
        <v>7</v>
      </c>
      <c r="P400" s="53" t="n">
        <f aca="false">F400*J400</f>
        <v>0</v>
      </c>
    </row>
    <row r="401" customFormat="false" ht="15" hidden="false" customHeight="false" outlineLevel="0" collapsed="false">
      <c r="A401" s="53" t="s">
        <v>89</v>
      </c>
      <c r="B401" s="53" t="s">
        <v>123</v>
      </c>
      <c r="C401" s="53" t="s">
        <v>165</v>
      </c>
      <c r="D401" s="53" t="s">
        <v>42</v>
      </c>
      <c r="E401" s="54" t="n">
        <v>599.35</v>
      </c>
      <c r="F401" s="53" t="n">
        <v>5</v>
      </c>
      <c r="G401" s="53" t="n">
        <v>253</v>
      </c>
      <c r="H401" s="54" t="n">
        <v>31797.89</v>
      </c>
      <c r="I401" s="53" t="n">
        <f aca="false">IF(B401&gt;=Settings!$B$13,1,0)</f>
        <v>0</v>
      </c>
      <c r="J401" s="53" t="n">
        <v>1</v>
      </c>
      <c r="K401" s="53" t="n">
        <f aca="false">G401*I401*J401</f>
        <v>0</v>
      </c>
      <c r="L401" s="53" t="n">
        <f aca="false">F401*I401*J401</f>
        <v>0</v>
      </c>
      <c r="M401" s="54" t="n">
        <f aca="false">H401*I401*J401</f>
        <v>0</v>
      </c>
      <c r="N401" s="54" t="n">
        <f aca="false">E401*I401*J401</f>
        <v>0</v>
      </c>
      <c r="O401" s="53" t="n">
        <f aca="false">G401*J401</f>
        <v>253</v>
      </c>
      <c r="P401" s="53" t="n">
        <f aca="false">F401*J401</f>
        <v>5</v>
      </c>
    </row>
    <row r="402" customFormat="false" ht="15" hidden="false" customHeight="false" outlineLevel="0" collapsed="false">
      <c r="A402" s="53" t="s">
        <v>89</v>
      </c>
      <c r="B402" s="53" t="s">
        <v>123</v>
      </c>
      <c r="C402" s="53" t="s">
        <v>156</v>
      </c>
      <c r="D402" s="53" t="s">
        <v>58</v>
      </c>
      <c r="E402" s="54" t="n">
        <v>0</v>
      </c>
      <c r="F402" s="53" t="n">
        <v>0</v>
      </c>
      <c r="G402" s="53" t="n">
        <v>34</v>
      </c>
      <c r="H402" s="54" t="n">
        <v>2747.51</v>
      </c>
      <c r="I402" s="53" t="n">
        <f aca="false">IF(B402&gt;=Settings!$B$13,1,0)</f>
        <v>0</v>
      </c>
      <c r="J402" s="53" t="n">
        <v>1</v>
      </c>
      <c r="K402" s="53" t="n">
        <f aca="false">G402*I402*J402</f>
        <v>0</v>
      </c>
      <c r="L402" s="53" t="n">
        <f aca="false">F402*I402*J402</f>
        <v>0</v>
      </c>
      <c r="M402" s="54" t="n">
        <f aca="false">H402*I402*J402</f>
        <v>0</v>
      </c>
      <c r="N402" s="54" t="n">
        <f aca="false">E402*I402*J402</f>
        <v>-0</v>
      </c>
      <c r="O402" s="53" t="n">
        <f aca="false">G402*J402</f>
        <v>34</v>
      </c>
      <c r="P402" s="53" t="n">
        <f aca="false">F402*J402</f>
        <v>0</v>
      </c>
    </row>
    <row r="403" customFormat="false" ht="15" hidden="false" customHeight="false" outlineLevel="0" collapsed="false">
      <c r="A403" s="53" t="s">
        <v>89</v>
      </c>
      <c r="B403" s="53" t="s">
        <v>123</v>
      </c>
      <c r="C403" s="53" t="s">
        <v>316</v>
      </c>
      <c r="D403" s="53" t="s">
        <v>62</v>
      </c>
      <c r="E403" s="54" t="n">
        <v>0</v>
      </c>
      <c r="F403" s="53" t="n">
        <v>0</v>
      </c>
      <c r="G403" s="53" t="n">
        <v>21</v>
      </c>
      <c r="H403" s="54" t="n">
        <v>2239.89</v>
      </c>
      <c r="I403" s="53" t="n">
        <f aca="false">IF(B403&gt;=Settings!$B$13,1,0)</f>
        <v>0</v>
      </c>
      <c r="J403" s="53" t="n">
        <v>1</v>
      </c>
      <c r="K403" s="53" t="n">
        <f aca="false">G403*I403*J403</f>
        <v>0</v>
      </c>
      <c r="L403" s="53" t="n">
        <f aca="false">F403*I403*J403</f>
        <v>0</v>
      </c>
      <c r="M403" s="54" t="n">
        <f aca="false">H403*I403*J403</f>
        <v>0</v>
      </c>
      <c r="N403" s="54" t="n">
        <f aca="false">E403*I403*J403</f>
        <v>-0</v>
      </c>
      <c r="O403" s="53" t="n">
        <f aca="false">G403*J403</f>
        <v>21</v>
      </c>
      <c r="P403" s="53" t="n">
        <f aca="false">F403*J403</f>
        <v>0</v>
      </c>
    </row>
    <row r="404" customFormat="false" ht="15" hidden="false" customHeight="false" outlineLevel="0" collapsed="false">
      <c r="A404" s="53" t="s">
        <v>89</v>
      </c>
      <c r="B404" s="53" t="s">
        <v>123</v>
      </c>
      <c r="C404" s="53" t="s">
        <v>318</v>
      </c>
      <c r="D404" s="53" t="s">
        <v>58</v>
      </c>
      <c r="E404" s="54" t="n">
        <v>0</v>
      </c>
      <c r="F404" s="53" t="n">
        <v>0</v>
      </c>
      <c r="G404" s="53" t="n">
        <v>11</v>
      </c>
      <c r="H404" s="54" t="n">
        <v>1572.23</v>
      </c>
      <c r="I404" s="53" t="n">
        <f aca="false">IF(B404&gt;=Settings!$B$13,1,0)</f>
        <v>0</v>
      </c>
      <c r="J404" s="53" t="n">
        <v>1</v>
      </c>
      <c r="K404" s="53" t="n">
        <f aca="false">G404*I404*J404</f>
        <v>0</v>
      </c>
      <c r="L404" s="53" t="n">
        <f aca="false">F404*I404*J404</f>
        <v>0</v>
      </c>
      <c r="M404" s="54" t="n">
        <f aca="false">H404*I404*J404</f>
        <v>0</v>
      </c>
      <c r="N404" s="54" t="n">
        <f aca="false">E404*I404*J404</f>
        <v>-0</v>
      </c>
      <c r="O404" s="53" t="n">
        <f aca="false">G404*J404</f>
        <v>11</v>
      </c>
      <c r="P404" s="53" t="n">
        <f aca="false">F404*J404</f>
        <v>0</v>
      </c>
    </row>
    <row r="405" customFormat="false" ht="15" hidden="false" customHeight="false" outlineLevel="0" collapsed="false">
      <c r="A405" s="53" t="s">
        <v>89</v>
      </c>
      <c r="B405" s="53" t="s">
        <v>123</v>
      </c>
      <c r="C405" s="53" t="s">
        <v>159</v>
      </c>
      <c r="D405" s="53" t="s">
        <v>50</v>
      </c>
      <c r="E405" s="54" t="n">
        <v>327.62</v>
      </c>
      <c r="F405" s="53" t="n">
        <v>3</v>
      </c>
      <c r="G405" s="53" t="n">
        <v>50</v>
      </c>
      <c r="H405" s="54" t="n">
        <v>5361.29</v>
      </c>
      <c r="I405" s="53" t="n">
        <f aca="false">IF(B405&gt;=Settings!$B$13,1,0)</f>
        <v>0</v>
      </c>
      <c r="J405" s="53" t="n">
        <v>1</v>
      </c>
      <c r="K405" s="53" t="n">
        <f aca="false">G405*I405*J405</f>
        <v>0</v>
      </c>
      <c r="L405" s="53" t="n">
        <f aca="false">F405*I405*J405</f>
        <v>0</v>
      </c>
      <c r="M405" s="54" t="n">
        <f aca="false">H405*I405*J405</f>
        <v>0</v>
      </c>
      <c r="N405" s="54" t="n">
        <f aca="false">E405*I405*J405</f>
        <v>0</v>
      </c>
      <c r="O405" s="53" t="n">
        <f aca="false">G405*J405</f>
        <v>50</v>
      </c>
      <c r="P405" s="53" t="n">
        <f aca="false">F405*J405</f>
        <v>3</v>
      </c>
    </row>
    <row r="406" customFormat="false" ht="15" hidden="false" customHeight="false" outlineLevel="0" collapsed="false">
      <c r="A406" s="53" t="s">
        <v>93</v>
      </c>
      <c r="B406" s="53" t="s">
        <v>123</v>
      </c>
      <c r="C406" s="53" t="s">
        <v>323</v>
      </c>
      <c r="D406" s="53" t="s">
        <v>62</v>
      </c>
      <c r="E406" s="54" t="n">
        <v>0</v>
      </c>
      <c r="F406" s="53" t="n">
        <v>0</v>
      </c>
      <c r="G406" s="53" t="n">
        <v>2</v>
      </c>
      <c r="H406" s="54" t="n">
        <v>263.54</v>
      </c>
      <c r="I406" s="53" t="n">
        <f aca="false">IF(B406&gt;=Settings!$B$13,1,0)</f>
        <v>0</v>
      </c>
      <c r="J406" s="53" t="n">
        <v>1</v>
      </c>
      <c r="K406" s="53" t="n">
        <f aca="false">G406*I406*J406</f>
        <v>0</v>
      </c>
      <c r="L406" s="53" t="n">
        <f aca="false">F406*I406*J406</f>
        <v>0</v>
      </c>
      <c r="M406" s="54" t="n">
        <f aca="false">H406*I406*J406</f>
        <v>0</v>
      </c>
      <c r="N406" s="54" t="n">
        <f aca="false">E406*I406*J406</f>
        <v>-0</v>
      </c>
      <c r="O406" s="53" t="n">
        <f aca="false">G406*J406</f>
        <v>2</v>
      </c>
      <c r="P406" s="53" t="n">
        <f aca="false">F406*J406</f>
        <v>0</v>
      </c>
    </row>
    <row r="407" customFormat="false" ht="15" hidden="false" customHeight="false" outlineLevel="0" collapsed="false">
      <c r="A407" s="53" t="s">
        <v>100</v>
      </c>
      <c r="B407" s="53" t="s">
        <v>123</v>
      </c>
      <c r="C407" s="53" t="s">
        <v>143</v>
      </c>
      <c r="D407" s="53" t="s">
        <v>54</v>
      </c>
      <c r="E407" s="54" t="n">
        <v>0</v>
      </c>
      <c r="F407" s="53" t="n">
        <v>0</v>
      </c>
      <c r="G407" s="53" t="n">
        <v>6</v>
      </c>
      <c r="H407" s="54" t="n">
        <v>781.53</v>
      </c>
      <c r="I407" s="53" t="n">
        <f aca="false">IF(B407&gt;=Settings!$B$13,1,0)</f>
        <v>0</v>
      </c>
      <c r="J407" s="53" t="n">
        <v>1</v>
      </c>
      <c r="K407" s="53" t="n">
        <f aca="false">G407*I407*J407</f>
        <v>0</v>
      </c>
      <c r="L407" s="53" t="n">
        <f aca="false">F407*I407*J407</f>
        <v>0</v>
      </c>
      <c r="M407" s="54" t="n">
        <f aca="false">H407*I407*J407</f>
        <v>0</v>
      </c>
      <c r="N407" s="54" t="n">
        <f aca="false">E407*I407*J407</f>
        <v>-0</v>
      </c>
      <c r="O407" s="53" t="n">
        <f aca="false">G407*J407</f>
        <v>6</v>
      </c>
      <c r="P407" s="53" t="n">
        <f aca="false">F407*J407</f>
        <v>0</v>
      </c>
    </row>
    <row r="408" customFormat="false" ht="15" hidden="false" customHeight="false" outlineLevel="0" collapsed="false">
      <c r="A408" s="53" t="s">
        <v>97</v>
      </c>
      <c r="B408" s="53" t="s">
        <v>123</v>
      </c>
      <c r="C408" s="53" t="s">
        <v>390</v>
      </c>
      <c r="D408" s="53" t="s">
        <v>54</v>
      </c>
      <c r="E408" s="54" t="n">
        <v>89.95</v>
      </c>
      <c r="F408" s="53" t="n">
        <v>1</v>
      </c>
      <c r="G408" s="53" t="n">
        <v>23</v>
      </c>
      <c r="H408" s="54" t="n">
        <v>1785.31</v>
      </c>
      <c r="I408" s="53" t="n">
        <f aca="false">IF(B408&gt;=Settings!$B$13,1,0)</f>
        <v>0</v>
      </c>
      <c r="J408" s="53" t="n">
        <v>1</v>
      </c>
      <c r="K408" s="53" t="n">
        <f aca="false">G408*I408*J408</f>
        <v>0</v>
      </c>
      <c r="L408" s="53" t="n">
        <f aca="false">F408*I408*J408</f>
        <v>0</v>
      </c>
      <c r="M408" s="54" t="n">
        <f aca="false">H408*I408*J408</f>
        <v>0</v>
      </c>
      <c r="N408" s="54" t="n">
        <f aca="false">E408*I408*J408</f>
        <v>0</v>
      </c>
      <c r="O408" s="53" t="n">
        <f aca="false">G408*J408</f>
        <v>23</v>
      </c>
      <c r="P408" s="53" t="n">
        <f aca="false">F408*J408</f>
        <v>1</v>
      </c>
    </row>
    <row r="409" customFormat="false" ht="15" hidden="false" customHeight="false" outlineLevel="0" collapsed="false">
      <c r="A409" s="53" t="s">
        <v>89</v>
      </c>
      <c r="B409" s="53" t="s">
        <v>123</v>
      </c>
      <c r="C409" s="53" t="s">
        <v>322</v>
      </c>
      <c r="D409" s="53" t="s">
        <v>54</v>
      </c>
      <c r="E409" s="54" t="n">
        <v>0</v>
      </c>
      <c r="F409" s="53" t="n">
        <v>0</v>
      </c>
      <c r="G409" s="53" t="n">
        <v>31</v>
      </c>
      <c r="H409" s="54" t="n">
        <v>2307.7</v>
      </c>
      <c r="I409" s="53" t="n">
        <f aca="false">IF(B409&gt;=Settings!$B$13,1,0)</f>
        <v>0</v>
      </c>
      <c r="J409" s="53" t="n">
        <v>1</v>
      </c>
      <c r="K409" s="53" t="n">
        <f aca="false">G409*I409*J409</f>
        <v>0</v>
      </c>
      <c r="L409" s="53" t="n">
        <f aca="false">F409*I409*J409</f>
        <v>0</v>
      </c>
      <c r="M409" s="54" t="n">
        <f aca="false">H409*I409*J409</f>
        <v>0</v>
      </c>
      <c r="N409" s="54" t="n">
        <f aca="false">E409*I409*J409</f>
        <v>-0</v>
      </c>
      <c r="O409" s="53" t="n">
        <f aca="false">G409*J409</f>
        <v>31</v>
      </c>
      <c r="P409" s="53" t="n">
        <f aca="false">F409*J409</f>
        <v>0</v>
      </c>
    </row>
    <row r="410" customFormat="false" ht="15" hidden="false" customHeight="false" outlineLevel="0" collapsed="false">
      <c r="A410" s="53" t="s">
        <v>97</v>
      </c>
      <c r="B410" s="53" t="s">
        <v>123</v>
      </c>
      <c r="C410" s="53" t="s">
        <v>141</v>
      </c>
      <c r="D410" s="53" t="s">
        <v>50</v>
      </c>
      <c r="E410" s="54" t="n">
        <v>0</v>
      </c>
      <c r="F410" s="53" t="n">
        <v>0</v>
      </c>
      <c r="G410" s="53" t="n">
        <v>3</v>
      </c>
      <c r="H410" s="54" t="n">
        <v>447.14</v>
      </c>
      <c r="I410" s="53" t="n">
        <f aca="false">IF(B410&gt;=Settings!$B$13,1,0)</f>
        <v>0</v>
      </c>
      <c r="J410" s="53" t="n">
        <v>1</v>
      </c>
      <c r="K410" s="53" t="n">
        <f aca="false">G410*I410*J410</f>
        <v>0</v>
      </c>
      <c r="L410" s="53" t="n">
        <f aca="false">F410*I410*J410</f>
        <v>0</v>
      </c>
      <c r="M410" s="54" t="n">
        <f aca="false">H410*I410*J410</f>
        <v>0</v>
      </c>
      <c r="N410" s="54" t="n">
        <f aca="false">E410*I410*J410</f>
        <v>-0</v>
      </c>
      <c r="O410" s="53" t="n">
        <f aca="false">G410*J410</f>
        <v>3</v>
      </c>
      <c r="P410" s="53" t="n">
        <f aca="false">F410*J410</f>
        <v>0</v>
      </c>
    </row>
    <row r="411" customFormat="false" ht="15" hidden="false" customHeight="false" outlineLevel="0" collapsed="false">
      <c r="A411" s="53" t="s">
        <v>89</v>
      </c>
      <c r="B411" s="53" t="s">
        <v>123</v>
      </c>
      <c r="C411" s="53" t="s">
        <v>332</v>
      </c>
      <c r="D411" s="53" t="s">
        <v>46</v>
      </c>
      <c r="E411" s="54" t="n">
        <v>490.69</v>
      </c>
      <c r="F411" s="53" t="n">
        <v>5</v>
      </c>
      <c r="G411" s="53" t="n">
        <v>88</v>
      </c>
      <c r="H411" s="54" t="n">
        <v>8286.95</v>
      </c>
      <c r="I411" s="53" t="n">
        <f aca="false">IF(B411&gt;=Settings!$B$13,1,0)</f>
        <v>0</v>
      </c>
      <c r="J411" s="53" t="n">
        <v>1</v>
      </c>
      <c r="K411" s="53" t="n">
        <f aca="false">G411*I411*J411</f>
        <v>0</v>
      </c>
      <c r="L411" s="53" t="n">
        <f aca="false">F411*I411*J411</f>
        <v>0</v>
      </c>
      <c r="M411" s="54" t="n">
        <f aca="false">H411*I411*J411</f>
        <v>0</v>
      </c>
      <c r="N411" s="54" t="n">
        <f aca="false">E411*I411*J411</f>
        <v>0</v>
      </c>
      <c r="O411" s="53" t="n">
        <f aca="false">G411*J411</f>
        <v>88</v>
      </c>
      <c r="P411" s="53" t="n">
        <f aca="false">F411*J411</f>
        <v>5</v>
      </c>
    </row>
    <row r="412" customFormat="false" ht="15" hidden="false" customHeight="false" outlineLevel="0" collapsed="false">
      <c r="A412" s="53" t="s">
        <v>89</v>
      </c>
      <c r="B412" s="53" t="s">
        <v>123</v>
      </c>
      <c r="C412" s="53" t="s">
        <v>330</v>
      </c>
      <c r="D412" s="53" t="s">
        <v>46</v>
      </c>
      <c r="E412" s="54" t="n">
        <v>0</v>
      </c>
      <c r="F412" s="53" t="n">
        <v>0</v>
      </c>
      <c r="G412" s="53" t="n">
        <v>60</v>
      </c>
      <c r="H412" s="54" t="n">
        <v>8060.8</v>
      </c>
      <c r="I412" s="53" t="n">
        <f aca="false">IF(B412&gt;=Settings!$B$13,1,0)</f>
        <v>0</v>
      </c>
      <c r="J412" s="53" t="n">
        <v>1</v>
      </c>
      <c r="K412" s="53" t="n">
        <f aca="false">G412*I412*J412</f>
        <v>0</v>
      </c>
      <c r="L412" s="53" t="n">
        <f aca="false">F412*I412*J412</f>
        <v>0</v>
      </c>
      <c r="M412" s="54" t="n">
        <f aca="false">H412*I412*J412</f>
        <v>0</v>
      </c>
      <c r="N412" s="54" t="n">
        <f aca="false">E412*I412*J412</f>
        <v>-0</v>
      </c>
      <c r="O412" s="53" t="n">
        <f aca="false">G412*J412</f>
        <v>60</v>
      </c>
      <c r="P412" s="53" t="n">
        <f aca="false">F412*J412</f>
        <v>0</v>
      </c>
    </row>
    <row r="413" customFormat="false" ht="15" hidden="false" customHeight="false" outlineLevel="0" collapsed="false">
      <c r="A413" s="53" t="s">
        <v>93</v>
      </c>
      <c r="B413" s="53" t="s">
        <v>123</v>
      </c>
      <c r="C413" s="53" t="s">
        <v>344</v>
      </c>
      <c r="D413" s="53" t="s">
        <v>50</v>
      </c>
      <c r="E413" s="54" t="n">
        <v>0</v>
      </c>
      <c r="F413" s="53" t="n">
        <v>0</v>
      </c>
      <c r="G413" s="53" t="n">
        <v>3</v>
      </c>
      <c r="H413" s="54" t="n">
        <v>327.13</v>
      </c>
      <c r="I413" s="53" t="n">
        <f aca="false">IF(B413&gt;=Settings!$B$13,1,0)</f>
        <v>0</v>
      </c>
      <c r="J413" s="53" t="n">
        <v>1</v>
      </c>
      <c r="K413" s="53" t="n">
        <f aca="false">G413*I413*J413</f>
        <v>0</v>
      </c>
      <c r="L413" s="53" t="n">
        <f aca="false">F413*I413*J413</f>
        <v>0</v>
      </c>
      <c r="M413" s="54" t="n">
        <f aca="false">H413*I413*J413</f>
        <v>0</v>
      </c>
      <c r="N413" s="54" t="n">
        <f aca="false">E413*I413*J413</f>
        <v>-0</v>
      </c>
      <c r="O413" s="53" t="n">
        <f aca="false">G413*J413</f>
        <v>3</v>
      </c>
      <c r="P413" s="53" t="n">
        <f aca="false">F413*J413</f>
        <v>0</v>
      </c>
    </row>
    <row r="414" customFormat="false" ht="15" hidden="false" customHeight="false" outlineLevel="0" collapsed="false">
      <c r="A414" s="53" t="s">
        <v>89</v>
      </c>
      <c r="B414" s="53" t="s">
        <v>123</v>
      </c>
      <c r="C414" s="53" t="s">
        <v>328</v>
      </c>
      <c r="D414" s="53" t="s">
        <v>50</v>
      </c>
      <c r="E414" s="54" t="n">
        <v>168.78</v>
      </c>
      <c r="F414" s="53" t="n">
        <v>2</v>
      </c>
      <c r="G414" s="53" t="n">
        <v>32</v>
      </c>
      <c r="H414" s="54" t="n">
        <v>2734.87</v>
      </c>
      <c r="I414" s="53" t="n">
        <f aca="false">IF(B414&gt;=Settings!$B$13,1,0)</f>
        <v>0</v>
      </c>
      <c r="J414" s="53" t="n">
        <v>1</v>
      </c>
      <c r="K414" s="53" t="n">
        <f aca="false">G414*I414*J414</f>
        <v>0</v>
      </c>
      <c r="L414" s="53" t="n">
        <f aca="false">F414*I414*J414</f>
        <v>0</v>
      </c>
      <c r="M414" s="54" t="n">
        <f aca="false">H414*I414*J414</f>
        <v>0</v>
      </c>
      <c r="N414" s="54" t="n">
        <f aca="false">E414*I414*J414</f>
        <v>0</v>
      </c>
      <c r="O414" s="53" t="n">
        <f aca="false">G414*J414</f>
        <v>32</v>
      </c>
      <c r="P414" s="53" t="n">
        <f aca="false">F414*J414</f>
        <v>2</v>
      </c>
    </row>
    <row r="415" customFormat="false" ht="15" hidden="false" customHeight="false" outlineLevel="0" collapsed="false">
      <c r="A415" s="53" t="s">
        <v>93</v>
      </c>
      <c r="B415" s="53" t="s">
        <v>123</v>
      </c>
      <c r="C415" s="53" t="s">
        <v>156</v>
      </c>
      <c r="D415" s="53" t="s">
        <v>58</v>
      </c>
      <c r="E415" s="54" t="n">
        <v>0</v>
      </c>
      <c r="F415" s="53" t="n">
        <v>0</v>
      </c>
      <c r="G415" s="53" t="n">
        <v>1</v>
      </c>
      <c r="H415" s="54" t="n">
        <v>72.68</v>
      </c>
      <c r="I415" s="53" t="n">
        <f aca="false">IF(B415&gt;=Settings!$B$13,1,0)</f>
        <v>0</v>
      </c>
      <c r="J415" s="53" t="n">
        <v>1</v>
      </c>
      <c r="K415" s="53" t="n">
        <f aca="false">G415*I415*J415</f>
        <v>0</v>
      </c>
      <c r="L415" s="53" t="n">
        <f aca="false">F415*I415*J415</f>
        <v>0</v>
      </c>
      <c r="M415" s="54" t="n">
        <f aca="false">H415*I415*J415</f>
        <v>0</v>
      </c>
      <c r="N415" s="54" t="n">
        <f aca="false">E415*I415*J415</f>
        <v>-0</v>
      </c>
      <c r="O415" s="53" t="n">
        <f aca="false">G415*J415</f>
        <v>1</v>
      </c>
      <c r="P415" s="53" t="n">
        <f aca="false">F415*J415</f>
        <v>0</v>
      </c>
    </row>
    <row r="416" customFormat="false" ht="15" hidden="false" customHeight="false" outlineLevel="0" collapsed="false">
      <c r="A416" s="53" t="s">
        <v>100</v>
      </c>
      <c r="B416" s="53" t="s">
        <v>123</v>
      </c>
      <c r="C416" s="53" t="s">
        <v>392</v>
      </c>
      <c r="D416" s="53" t="s">
        <v>54</v>
      </c>
      <c r="E416" s="54" t="n">
        <v>0</v>
      </c>
      <c r="F416" s="53" t="n">
        <v>0</v>
      </c>
      <c r="G416" s="53" t="n">
        <v>12</v>
      </c>
      <c r="H416" s="54" t="n">
        <v>1240.31</v>
      </c>
      <c r="I416" s="53" t="n">
        <f aca="false">IF(B416&gt;=Settings!$B$13,1,0)</f>
        <v>0</v>
      </c>
      <c r="J416" s="53" t="n">
        <v>1</v>
      </c>
      <c r="K416" s="53" t="n">
        <f aca="false">G416*I416*J416</f>
        <v>0</v>
      </c>
      <c r="L416" s="53" t="n">
        <f aca="false">F416*I416*J416</f>
        <v>0</v>
      </c>
      <c r="M416" s="54" t="n">
        <f aca="false">H416*I416*J416</f>
        <v>0</v>
      </c>
      <c r="N416" s="54" t="n">
        <f aca="false">E416*I416*J416</f>
        <v>-0</v>
      </c>
      <c r="O416" s="53" t="n">
        <f aca="false">G416*J416</f>
        <v>12</v>
      </c>
      <c r="P416" s="53" t="n">
        <f aca="false">F416*J416</f>
        <v>0</v>
      </c>
    </row>
    <row r="417" customFormat="false" ht="15" hidden="false" customHeight="false" outlineLevel="0" collapsed="false">
      <c r="A417" s="53" t="s">
        <v>89</v>
      </c>
      <c r="B417" s="53" t="s">
        <v>123</v>
      </c>
      <c r="C417" s="53" t="s">
        <v>162</v>
      </c>
      <c r="D417" s="53" t="s">
        <v>42</v>
      </c>
      <c r="E417" s="54" t="n">
        <v>368.04</v>
      </c>
      <c r="F417" s="53" t="n">
        <v>3</v>
      </c>
      <c r="G417" s="53" t="n">
        <v>108</v>
      </c>
      <c r="H417" s="54" t="n">
        <v>13390.19</v>
      </c>
      <c r="I417" s="53" t="n">
        <f aca="false">IF(B417&gt;=Settings!$B$13,1,0)</f>
        <v>0</v>
      </c>
      <c r="J417" s="53" t="n">
        <v>1</v>
      </c>
      <c r="K417" s="53" t="n">
        <f aca="false">G417*I417*J417</f>
        <v>0</v>
      </c>
      <c r="L417" s="53" t="n">
        <f aca="false">F417*I417*J417</f>
        <v>0</v>
      </c>
      <c r="M417" s="54" t="n">
        <f aca="false">H417*I417*J417</f>
        <v>0</v>
      </c>
      <c r="N417" s="54" t="n">
        <f aca="false">E417*I417*J417</f>
        <v>0</v>
      </c>
      <c r="O417" s="53" t="n">
        <f aca="false">G417*J417</f>
        <v>108</v>
      </c>
      <c r="P417" s="53" t="n">
        <f aca="false">F417*J417</f>
        <v>3</v>
      </c>
    </row>
    <row r="418" customFormat="false" ht="15" hidden="false" customHeight="false" outlineLevel="0" collapsed="false">
      <c r="A418" s="53" t="s">
        <v>100</v>
      </c>
      <c r="B418" s="53" t="s">
        <v>123</v>
      </c>
      <c r="C418" s="53" t="s">
        <v>360</v>
      </c>
      <c r="D418" s="53" t="s">
        <v>54</v>
      </c>
      <c r="E418" s="54" t="n">
        <v>98.58</v>
      </c>
      <c r="F418" s="53" t="n">
        <v>1</v>
      </c>
      <c r="G418" s="53" t="n">
        <v>11</v>
      </c>
      <c r="H418" s="54" t="n">
        <v>1061.24</v>
      </c>
      <c r="I418" s="53" t="n">
        <f aca="false">IF(B418&gt;=Settings!$B$13,1,0)</f>
        <v>0</v>
      </c>
      <c r="J418" s="53" t="n">
        <v>1</v>
      </c>
      <c r="K418" s="53" t="n">
        <f aca="false">G418*I418*J418</f>
        <v>0</v>
      </c>
      <c r="L418" s="53" t="n">
        <f aca="false">F418*I418*J418</f>
        <v>0</v>
      </c>
      <c r="M418" s="54" t="n">
        <f aca="false">H418*I418*J418</f>
        <v>0</v>
      </c>
      <c r="N418" s="54" t="n">
        <f aca="false">E418*I418*J418</f>
        <v>0</v>
      </c>
      <c r="O418" s="53" t="n">
        <f aca="false">G418*J418</f>
        <v>11</v>
      </c>
      <c r="P418" s="53" t="n">
        <f aca="false">F418*J418</f>
        <v>1</v>
      </c>
    </row>
    <row r="419" customFormat="false" ht="15" hidden="false" customHeight="false" outlineLevel="0" collapsed="false">
      <c r="A419" s="53" t="s">
        <v>89</v>
      </c>
      <c r="B419" s="53" t="s">
        <v>123</v>
      </c>
      <c r="C419" s="53" t="s">
        <v>145</v>
      </c>
      <c r="D419" s="53" t="s">
        <v>62</v>
      </c>
      <c r="E419" s="54" t="n">
        <v>0</v>
      </c>
      <c r="F419" s="53" t="n">
        <v>0</v>
      </c>
      <c r="G419" s="53" t="n">
        <v>3</v>
      </c>
      <c r="H419" s="54" t="n">
        <v>399.86</v>
      </c>
      <c r="I419" s="53" t="n">
        <f aca="false">IF(B419&gt;=Settings!$B$13,1,0)</f>
        <v>0</v>
      </c>
      <c r="J419" s="53" t="n">
        <v>1</v>
      </c>
      <c r="K419" s="53" t="n">
        <f aca="false">G419*I419*J419</f>
        <v>0</v>
      </c>
      <c r="L419" s="53" t="n">
        <f aca="false">F419*I419*J419</f>
        <v>0</v>
      </c>
      <c r="M419" s="54" t="n">
        <f aca="false">H419*I419*J419</f>
        <v>0</v>
      </c>
      <c r="N419" s="54" t="n">
        <f aca="false">E419*I419*J419</f>
        <v>-0</v>
      </c>
      <c r="O419" s="53" t="n">
        <f aca="false">G419*J419</f>
        <v>3</v>
      </c>
      <c r="P419" s="53" t="n">
        <f aca="false">F419*J419</f>
        <v>0</v>
      </c>
    </row>
    <row r="420" customFormat="false" ht="15" hidden="false" customHeight="false" outlineLevel="0" collapsed="false">
      <c r="A420" s="53" t="s">
        <v>89</v>
      </c>
      <c r="B420" s="53" t="s">
        <v>123</v>
      </c>
      <c r="C420" s="53" t="s">
        <v>163</v>
      </c>
      <c r="D420" s="53" t="s">
        <v>50</v>
      </c>
      <c r="E420" s="54" t="n">
        <v>0</v>
      </c>
      <c r="F420" s="53" t="n">
        <v>0</v>
      </c>
      <c r="G420" s="53" t="n">
        <v>8</v>
      </c>
      <c r="H420" s="54" t="n">
        <v>1072.35</v>
      </c>
      <c r="I420" s="53" t="n">
        <f aca="false">IF(B420&gt;=Settings!$B$13,1,0)</f>
        <v>0</v>
      </c>
      <c r="J420" s="53" t="n">
        <v>1</v>
      </c>
      <c r="K420" s="53" t="n">
        <f aca="false">G420*I420*J420</f>
        <v>0</v>
      </c>
      <c r="L420" s="53" t="n">
        <f aca="false">F420*I420*J420</f>
        <v>0</v>
      </c>
      <c r="M420" s="54" t="n">
        <f aca="false">H420*I420*J420</f>
        <v>0</v>
      </c>
      <c r="N420" s="54" t="n">
        <f aca="false">E420*I420*J420</f>
        <v>-0</v>
      </c>
      <c r="O420" s="53" t="n">
        <f aca="false">G420*J420</f>
        <v>8</v>
      </c>
      <c r="P420" s="53" t="n">
        <f aca="false">F420*J420</f>
        <v>0</v>
      </c>
    </row>
    <row r="421" customFormat="false" ht="15" hidden="false" customHeight="false" outlineLevel="0" collapsed="false">
      <c r="A421" s="53" t="s">
        <v>97</v>
      </c>
      <c r="B421" s="53" t="s">
        <v>123</v>
      </c>
      <c r="C421" s="53" t="s">
        <v>344</v>
      </c>
      <c r="D421" s="53" t="s">
        <v>50</v>
      </c>
      <c r="E421" s="54" t="n">
        <v>0</v>
      </c>
      <c r="F421" s="53" t="n">
        <v>0</v>
      </c>
      <c r="G421" s="53" t="n">
        <v>57</v>
      </c>
      <c r="H421" s="54" t="n">
        <v>6699.25</v>
      </c>
      <c r="I421" s="53" t="n">
        <f aca="false">IF(B421&gt;=Settings!$B$13,1,0)</f>
        <v>0</v>
      </c>
      <c r="J421" s="53" t="n">
        <v>1</v>
      </c>
      <c r="K421" s="53" t="n">
        <f aca="false">G421*I421*J421</f>
        <v>0</v>
      </c>
      <c r="L421" s="53" t="n">
        <f aca="false">F421*I421*J421</f>
        <v>0</v>
      </c>
      <c r="M421" s="54" t="n">
        <f aca="false">H421*I421*J421</f>
        <v>0</v>
      </c>
      <c r="N421" s="54" t="n">
        <f aca="false">E421*I421*J421</f>
        <v>-0</v>
      </c>
      <c r="O421" s="53" t="n">
        <f aca="false">G421*J421</f>
        <v>57</v>
      </c>
      <c r="P421" s="53" t="n">
        <f aca="false">F421*J421</f>
        <v>0</v>
      </c>
    </row>
    <row r="422" customFormat="false" ht="15" hidden="false" customHeight="false" outlineLevel="0" collapsed="false">
      <c r="A422" s="53" t="s">
        <v>93</v>
      </c>
      <c r="B422" s="53" t="s">
        <v>123</v>
      </c>
      <c r="C422" s="53" t="s">
        <v>145</v>
      </c>
      <c r="D422" s="53" t="s">
        <v>62</v>
      </c>
      <c r="E422" s="54" t="n">
        <v>149.95</v>
      </c>
      <c r="F422" s="53" t="n">
        <v>1</v>
      </c>
      <c r="G422" s="53" t="n">
        <v>4</v>
      </c>
      <c r="H422" s="54" t="n">
        <v>549.81</v>
      </c>
      <c r="I422" s="53" t="n">
        <f aca="false">IF(B422&gt;=Settings!$B$13,1,0)</f>
        <v>0</v>
      </c>
      <c r="J422" s="53" t="n">
        <v>1</v>
      </c>
      <c r="K422" s="53" t="n">
        <f aca="false">G422*I422*J422</f>
        <v>0</v>
      </c>
      <c r="L422" s="53" t="n">
        <f aca="false">F422*I422*J422</f>
        <v>0</v>
      </c>
      <c r="M422" s="54" t="n">
        <f aca="false">H422*I422*J422</f>
        <v>0</v>
      </c>
      <c r="N422" s="54" t="n">
        <f aca="false">E422*I422*J422</f>
        <v>0</v>
      </c>
      <c r="O422" s="53" t="n">
        <f aca="false">G422*J422</f>
        <v>4</v>
      </c>
      <c r="P422" s="53" t="n">
        <f aca="false">F422*J422</f>
        <v>1</v>
      </c>
    </row>
    <row r="423" customFormat="false" ht="15" hidden="false" customHeight="false" outlineLevel="0" collapsed="false">
      <c r="A423" s="53" t="s">
        <v>93</v>
      </c>
      <c r="B423" s="53" t="s">
        <v>123</v>
      </c>
      <c r="C423" s="53" t="s">
        <v>316</v>
      </c>
      <c r="D423" s="53" t="s">
        <v>62</v>
      </c>
      <c r="E423" s="54" t="n">
        <v>0</v>
      </c>
      <c r="F423" s="53" t="n">
        <v>0</v>
      </c>
      <c r="G423" s="53" t="n">
        <v>3</v>
      </c>
      <c r="H423" s="54" t="n">
        <v>313.48</v>
      </c>
      <c r="I423" s="53" t="n">
        <f aca="false">IF(B423&gt;=Settings!$B$13,1,0)</f>
        <v>0</v>
      </c>
      <c r="J423" s="53" t="n">
        <v>1</v>
      </c>
      <c r="K423" s="53" t="n">
        <f aca="false">G423*I423*J423</f>
        <v>0</v>
      </c>
      <c r="L423" s="53" t="n">
        <f aca="false">F423*I423*J423</f>
        <v>0</v>
      </c>
      <c r="M423" s="54" t="n">
        <f aca="false">H423*I423*J423</f>
        <v>0</v>
      </c>
      <c r="N423" s="54" t="n">
        <f aca="false">E423*I423*J423</f>
        <v>-0</v>
      </c>
      <c r="O423" s="53" t="n">
        <f aca="false">G423*J423</f>
        <v>3</v>
      </c>
      <c r="P423" s="53" t="n">
        <f aca="false">F423*J423</f>
        <v>0</v>
      </c>
    </row>
    <row r="424" customFormat="false" ht="15" hidden="false" customHeight="false" outlineLevel="0" collapsed="false">
      <c r="A424" s="53" t="s">
        <v>89</v>
      </c>
      <c r="B424" s="53" t="s">
        <v>123</v>
      </c>
      <c r="C424" s="53" t="s">
        <v>142</v>
      </c>
      <c r="D424" s="53" t="s">
        <v>66</v>
      </c>
      <c r="E424" s="54" t="n">
        <v>0</v>
      </c>
      <c r="F424" s="53" t="n">
        <v>0</v>
      </c>
      <c r="G424" s="53" t="n">
        <v>5</v>
      </c>
      <c r="H424" s="54" t="n">
        <v>470.19</v>
      </c>
      <c r="I424" s="53" t="n">
        <f aca="false">IF(B424&gt;=Settings!$B$13,1,0)</f>
        <v>0</v>
      </c>
      <c r="J424" s="53" t="n">
        <v>1</v>
      </c>
      <c r="K424" s="53" t="n">
        <f aca="false">G424*I424*J424</f>
        <v>0</v>
      </c>
      <c r="L424" s="53" t="n">
        <f aca="false">F424*I424*J424</f>
        <v>0</v>
      </c>
      <c r="M424" s="54" t="n">
        <f aca="false">H424*I424*J424</f>
        <v>0</v>
      </c>
      <c r="N424" s="54" t="n">
        <f aca="false">E424*I424*J424</f>
        <v>-0</v>
      </c>
      <c r="O424" s="53" t="n">
        <f aca="false">G424*J424</f>
        <v>5</v>
      </c>
      <c r="P424" s="53" t="n">
        <f aca="false">F424*J424</f>
        <v>0</v>
      </c>
    </row>
    <row r="425" customFormat="false" ht="15" hidden="false" customHeight="false" outlineLevel="0" collapsed="false">
      <c r="A425" s="53" t="s">
        <v>93</v>
      </c>
      <c r="B425" s="53" t="s">
        <v>123</v>
      </c>
      <c r="C425" s="53" t="s">
        <v>154</v>
      </c>
      <c r="D425" s="53" t="s">
        <v>42</v>
      </c>
      <c r="E425" s="54" t="n">
        <v>154.45</v>
      </c>
      <c r="F425" s="53" t="n">
        <v>2</v>
      </c>
      <c r="G425" s="53" t="n">
        <v>45</v>
      </c>
      <c r="H425" s="54" t="n">
        <v>3457.02</v>
      </c>
      <c r="I425" s="53" t="n">
        <f aca="false">IF(B425&gt;=Settings!$B$13,1,0)</f>
        <v>0</v>
      </c>
      <c r="J425" s="53" t="n">
        <v>1</v>
      </c>
      <c r="K425" s="53" t="n">
        <f aca="false">G425*I425*J425</f>
        <v>0</v>
      </c>
      <c r="L425" s="53" t="n">
        <f aca="false">F425*I425*J425</f>
        <v>0</v>
      </c>
      <c r="M425" s="54" t="n">
        <f aca="false">H425*I425*J425</f>
        <v>0</v>
      </c>
      <c r="N425" s="54" t="n">
        <f aca="false">E425*I425*J425</f>
        <v>0</v>
      </c>
      <c r="O425" s="53" t="n">
        <f aca="false">G425*J425</f>
        <v>45</v>
      </c>
      <c r="P425" s="53" t="n">
        <f aca="false">F425*J425</f>
        <v>2</v>
      </c>
    </row>
    <row r="426" customFormat="false" ht="15" hidden="false" customHeight="false" outlineLevel="0" collapsed="false">
      <c r="A426" s="53" t="s">
        <v>100</v>
      </c>
      <c r="B426" s="53" t="s">
        <v>123</v>
      </c>
      <c r="C426" s="53" t="s">
        <v>393</v>
      </c>
      <c r="D426" s="53" t="s">
        <v>54</v>
      </c>
      <c r="E426" s="54" t="n">
        <v>0</v>
      </c>
      <c r="F426" s="53" t="n">
        <v>0</v>
      </c>
      <c r="G426" s="53" t="n">
        <v>1</v>
      </c>
      <c r="H426" s="54" t="n">
        <v>68.14</v>
      </c>
      <c r="I426" s="53" t="n">
        <f aca="false">IF(B426&gt;=Settings!$B$13,1,0)</f>
        <v>0</v>
      </c>
      <c r="J426" s="53" t="n">
        <v>1</v>
      </c>
      <c r="K426" s="53" t="n">
        <f aca="false">G426*I426*J426</f>
        <v>0</v>
      </c>
      <c r="L426" s="53" t="n">
        <f aca="false">F426*I426*J426</f>
        <v>0</v>
      </c>
      <c r="M426" s="54" t="n">
        <f aca="false">H426*I426*J426</f>
        <v>0</v>
      </c>
      <c r="N426" s="54" t="n">
        <f aca="false">E426*I426*J426</f>
        <v>-0</v>
      </c>
      <c r="O426" s="53" t="n">
        <f aca="false">G426*J426</f>
        <v>1</v>
      </c>
      <c r="P426" s="53" t="n">
        <f aca="false">F426*J426</f>
        <v>0</v>
      </c>
    </row>
    <row r="427" customFormat="false" ht="15" hidden="false" customHeight="false" outlineLevel="0" collapsed="false">
      <c r="A427" s="53" t="s">
        <v>93</v>
      </c>
      <c r="B427" s="53" t="s">
        <v>123</v>
      </c>
      <c r="C427" s="53" t="s">
        <v>332</v>
      </c>
      <c r="D427" s="53" t="s">
        <v>46</v>
      </c>
      <c r="E427" s="54" t="n">
        <v>0</v>
      </c>
      <c r="F427" s="53" t="n">
        <v>0</v>
      </c>
      <c r="G427" s="53" t="n">
        <v>27</v>
      </c>
      <c r="H427" s="54" t="n">
        <v>2416.93</v>
      </c>
      <c r="I427" s="53" t="n">
        <f aca="false">IF(B427&gt;=Settings!$B$13,1,0)</f>
        <v>0</v>
      </c>
      <c r="J427" s="53" t="n">
        <v>1</v>
      </c>
      <c r="K427" s="53" t="n">
        <f aca="false">G427*I427*J427</f>
        <v>0</v>
      </c>
      <c r="L427" s="53" t="n">
        <f aca="false">F427*I427*J427</f>
        <v>0</v>
      </c>
      <c r="M427" s="54" t="n">
        <f aca="false">H427*I427*J427</f>
        <v>0</v>
      </c>
      <c r="N427" s="54" t="n">
        <f aca="false">E427*I427*J427</f>
        <v>-0</v>
      </c>
      <c r="O427" s="53" t="n">
        <f aca="false">G427*J427</f>
        <v>27</v>
      </c>
      <c r="P427" s="53" t="n">
        <f aca="false">F427*J427</f>
        <v>0</v>
      </c>
    </row>
    <row r="428" customFormat="false" ht="15" hidden="false" customHeight="false" outlineLevel="0" collapsed="false">
      <c r="A428" s="53" t="s">
        <v>89</v>
      </c>
      <c r="B428" s="53" t="s">
        <v>123</v>
      </c>
      <c r="C428" s="53" t="s">
        <v>344</v>
      </c>
      <c r="D428" s="53" t="s">
        <v>50</v>
      </c>
      <c r="E428" s="54" t="n">
        <v>0</v>
      </c>
      <c r="F428" s="53" t="n">
        <v>0</v>
      </c>
      <c r="G428" s="53" t="n">
        <v>4</v>
      </c>
      <c r="H428" s="54" t="n">
        <v>458.9</v>
      </c>
      <c r="I428" s="53" t="n">
        <f aca="false">IF(B428&gt;=Settings!$B$13,1,0)</f>
        <v>0</v>
      </c>
      <c r="J428" s="53" t="n">
        <v>1</v>
      </c>
      <c r="K428" s="53" t="n">
        <f aca="false">G428*I428*J428</f>
        <v>0</v>
      </c>
      <c r="L428" s="53" t="n">
        <f aca="false">F428*I428*J428</f>
        <v>0</v>
      </c>
      <c r="M428" s="54" t="n">
        <f aca="false">H428*I428*J428</f>
        <v>0</v>
      </c>
      <c r="N428" s="54" t="n">
        <f aca="false">E428*I428*J428</f>
        <v>-0</v>
      </c>
      <c r="O428" s="53" t="n">
        <f aca="false">G428*J428</f>
        <v>4</v>
      </c>
      <c r="P428" s="53" t="n">
        <f aca="false">F428*J428</f>
        <v>0</v>
      </c>
    </row>
    <row r="429" customFormat="false" ht="15" hidden="false" customHeight="false" outlineLevel="0" collapsed="false">
      <c r="A429" s="53" t="s">
        <v>89</v>
      </c>
      <c r="B429" s="53" t="s">
        <v>123</v>
      </c>
      <c r="C429" s="53" t="s">
        <v>374</v>
      </c>
      <c r="D429" s="53" t="s">
        <v>66</v>
      </c>
      <c r="E429" s="54" t="n">
        <v>0</v>
      </c>
      <c r="F429" s="53" t="n">
        <v>0</v>
      </c>
      <c r="G429" s="53" t="n">
        <v>1</v>
      </c>
      <c r="H429" s="54" t="n">
        <v>113.59</v>
      </c>
      <c r="I429" s="53" t="n">
        <f aca="false">IF(B429&gt;=Settings!$B$13,1,0)</f>
        <v>0</v>
      </c>
      <c r="J429" s="53" t="n">
        <v>1</v>
      </c>
      <c r="K429" s="53" t="n">
        <f aca="false">G429*I429*J429</f>
        <v>0</v>
      </c>
      <c r="L429" s="53" t="n">
        <f aca="false">F429*I429*J429</f>
        <v>0</v>
      </c>
      <c r="M429" s="54" t="n">
        <f aca="false">H429*I429*J429</f>
        <v>0</v>
      </c>
      <c r="N429" s="54" t="n">
        <f aca="false">E429*I429*J429</f>
        <v>-0</v>
      </c>
      <c r="O429" s="53" t="n">
        <f aca="false">G429*J429</f>
        <v>1</v>
      </c>
      <c r="P429" s="53" t="n">
        <f aca="false">F429*J429</f>
        <v>0</v>
      </c>
    </row>
    <row r="430" customFormat="false" ht="15" hidden="false" customHeight="false" outlineLevel="0" collapsed="false">
      <c r="A430" s="53" t="s">
        <v>97</v>
      </c>
      <c r="B430" s="53" t="s">
        <v>123</v>
      </c>
      <c r="C430" s="53" t="s">
        <v>369</v>
      </c>
      <c r="D430" s="53" t="s">
        <v>54</v>
      </c>
      <c r="E430" s="54" t="n">
        <v>71.77</v>
      </c>
      <c r="F430" s="53" t="n">
        <v>1</v>
      </c>
      <c r="G430" s="53" t="n">
        <v>58</v>
      </c>
      <c r="H430" s="54" t="n">
        <v>3275.46</v>
      </c>
      <c r="I430" s="53" t="n">
        <f aca="false">IF(B430&gt;=Settings!$B$13,1,0)</f>
        <v>0</v>
      </c>
      <c r="J430" s="53" t="n">
        <v>1</v>
      </c>
      <c r="K430" s="53" t="n">
        <f aca="false">G430*I430*J430</f>
        <v>0</v>
      </c>
      <c r="L430" s="53" t="n">
        <f aca="false">F430*I430*J430</f>
        <v>0</v>
      </c>
      <c r="M430" s="54" t="n">
        <f aca="false">H430*I430*J430</f>
        <v>0</v>
      </c>
      <c r="N430" s="54" t="n">
        <f aca="false">E430*I430*J430</f>
        <v>0</v>
      </c>
      <c r="O430" s="53" t="n">
        <f aca="false">G430*J430</f>
        <v>58</v>
      </c>
      <c r="P430" s="53" t="n">
        <f aca="false">F430*J430</f>
        <v>1</v>
      </c>
    </row>
    <row r="431" customFormat="false" ht="15" hidden="false" customHeight="false" outlineLevel="0" collapsed="false">
      <c r="A431" s="53" t="s">
        <v>93</v>
      </c>
      <c r="B431" s="53" t="s">
        <v>123</v>
      </c>
      <c r="C431" s="53" t="s">
        <v>162</v>
      </c>
      <c r="D431" s="53" t="s">
        <v>42</v>
      </c>
      <c r="E431" s="54" t="n">
        <v>0</v>
      </c>
      <c r="F431" s="53" t="n">
        <v>0</v>
      </c>
      <c r="G431" s="53" t="n">
        <v>35</v>
      </c>
      <c r="H431" s="54" t="n">
        <v>4275.58</v>
      </c>
      <c r="I431" s="53" t="n">
        <f aca="false">IF(B431&gt;=Settings!$B$13,1,0)</f>
        <v>0</v>
      </c>
      <c r="J431" s="53" t="n">
        <v>1</v>
      </c>
      <c r="K431" s="53" t="n">
        <f aca="false">G431*I431*J431</f>
        <v>0</v>
      </c>
      <c r="L431" s="53" t="n">
        <f aca="false">F431*I431*J431</f>
        <v>0</v>
      </c>
      <c r="M431" s="54" t="n">
        <f aca="false">H431*I431*J431</f>
        <v>0</v>
      </c>
      <c r="N431" s="54" t="n">
        <f aca="false">E431*I431*J431</f>
        <v>-0</v>
      </c>
      <c r="O431" s="53" t="n">
        <f aca="false">G431*J431</f>
        <v>35</v>
      </c>
      <c r="P431" s="53" t="n">
        <f aca="false">F431*J431</f>
        <v>0</v>
      </c>
    </row>
    <row r="432" customFormat="false" ht="15" hidden="false" customHeight="false" outlineLevel="0" collapsed="false">
      <c r="A432" s="53" t="s">
        <v>97</v>
      </c>
      <c r="B432" s="53" t="s">
        <v>123</v>
      </c>
      <c r="C432" s="53" t="s">
        <v>373</v>
      </c>
      <c r="D432" s="53" t="s">
        <v>42</v>
      </c>
      <c r="E432" s="54" t="n">
        <v>0</v>
      </c>
      <c r="F432" s="53" t="n">
        <v>0</v>
      </c>
      <c r="G432" s="53" t="n">
        <v>21</v>
      </c>
      <c r="H432" s="54" t="n">
        <v>3539.79</v>
      </c>
      <c r="I432" s="53" t="n">
        <f aca="false">IF(B432&gt;=Settings!$B$13,1,0)</f>
        <v>0</v>
      </c>
      <c r="J432" s="53" t="n">
        <v>1</v>
      </c>
      <c r="K432" s="53" t="n">
        <f aca="false">G432*I432*J432</f>
        <v>0</v>
      </c>
      <c r="L432" s="53" t="n">
        <f aca="false">F432*I432*J432</f>
        <v>0</v>
      </c>
      <c r="M432" s="54" t="n">
        <f aca="false">H432*I432*J432</f>
        <v>0</v>
      </c>
      <c r="N432" s="54" t="n">
        <f aca="false">E432*I432*J432</f>
        <v>-0</v>
      </c>
      <c r="O432" s="53" t="n">
        <f aca="false">G432*J432</f>
        <v>21</v>
      </c>
      <c r="P432" s="53" t="n">
        <f aca="false">F432*J432</f>
        <v>0</v>
      </c>
    </row>
    <row r="433" customFormat="false" ht="15" hidden="false" customHeight="false" outlineLevel="0" collapsed="false">
      <c r="A433" s="53" t="s">
        <v>89</v>
      </c>
      <c r="B433" s="53" t="s">
        <v>123</v>
      </c>
      <c r="C433" s="53" t="s">
        <v>144</v>
      </c>
      <c r="D433" s="53" t="s">
        <v>58</v>
      </c>
      <c r="E433" s="54" t="n">
        <v>0</v>
      </c>
      <c r="F433" s="53" t="n">
        <v>0</v>
      </c>
      <c r="G433" s="53" t="n">
        <v>1</v>
      </c>
      <c r="H433" s="54" t="n">
        <v>113.59</v>
      </c>
      <c r="I433" s="53" t="n">
        <f aca="false">IF(B433&gt;=Settings!$B$13,1,0)</f>
        <v>0</v>
      </c>
      <c r="J433" s="53" t="n">
        <v>1</v>
      </c>
      <c r="K433" s="53" t="n">
        <f aca="false">G433*I433*J433</f>
        <v>0</v>
      </c>
      <c r="L433" s="53" t="n">
        <f aca="false">F433*I433*J433</f>
        <v>0</v>
      </c>
      <c r="M433" s="54" t="n">
        <f aca="false">H433*I433*J433</f>
        <v>0</v>
      </c>
      <c r="N433" s="54" t="n">
        <f aca="false">E433*I433*J433</f>
        <v>-0</v>
      </c>
      <c r="O433" s="53" t="n">
        <f aca="false">G433*J433</f>
        <v>1</v>
      </c>
      <c r="P433" s="53" t="n">
        <f aca="false">F433*J433</f>
        <v>0</v>
      </c>
    </row>
    <row r="434" customFormat="false" ht="15" hidden="false" customHeight="false" outlineLevel="0" collapsed="false">
      <c r="A434" s="53" t="s">
        <v>97</v>
      </c>
      <c r="B434" s="53" t="s">
        <v>123</v>
      </c>
      <c r="C434" s="53" t="s">
        <v>338</v>
      </c>
      <c r="D434" s="53" t="s">
        <v>50</v>
      </c>
      <c r="E434" s="54" t="n">
        <v>76.32</v>
      </c>
      <c r="F434" s="53" t="n">
        <v>1</v>
      </c>
      <c r="G434" s="53" t="n">
        <v>16</v>
      </c>
      <c r="H434" s="54" t="n">
        <v>1257.43</v>
      </c>
      <c r="I434" s="53" t="n">
        <f aca="false">IF(B434&gt;=Settings!$B$13,1,0)</f>
        <v>0</v>
      </c>
      <c r="J434" s="53" t="n">
        <v>1</v>
      </c>
      <c r="K434" s="53" t="n">
        <f aca="false">G434*I434*J434</f>
        <v>0</v>
      </c>
      <c r="L434" s="53" t="n">
        <f aca="false">F434*I434*J434</f>
        <v>0</v>
      </c>
      <c r="M434" s="54" t="n">
        <f aca="false">H434*I434*J434</f>
        <v>0</v>
      </c>
      <c r="N434" s="54" t="n">
        <f aca="false">E434*I434*J434</f>
        <v>0</v>
      </c>
      <c r="O434" s="53" t="n">
        <f aca="false">G434*J434</f>
        <v>16</v>
      </c>
      <c r="P434" s="53" t="n">
        <f aca="false">F434*J434</f>
        <v>1</v>
      </c>
    </row>
    <row r="435" customFormat="false" ht="15" hidden="false" customHeight="false" outlineLevel="0" collapsed="false">
      <c r="A435" s="53" t="s">
        <v>97</v>
      </c>
      <c r="B435" s="53" t="s">
        <v>123</v>
      </c>
      <c r="C435" s="53" t="s">
        <v>387</v>
      </c>
      <c r="D435" s="53" t="s">
        <v>58</v>
      </c>
      <c r="E435" s="54" t="n">
        <v>0</v>
      </c>
      <c r="F435" s="53" t="n">
        <v>0</v>
      </c>
      <c r="G435" s="53" t="n">
        <v>1</v>
      </c>
      <c r="H435" s="54" t="n">
        <v>77.23</v>
      </c>
      <c r="I435" s="53" t="n">
        <f aca="false">IF(B435&gt;=Settings!$B$13,1,0)</f>
        <v>0</v>
      </c>
      <c r="J435" s="53" t="n">
        <v>1</v>
      </c>
      <c r="K435" s="53" t="n">
        <f aca="false">G435*I435*J435</f>
        <v>0</v>
      </c>
      <c r="L435" s="53" t="n">
        <f aca="false">F435*I435*J435</f>
        <v>0</v>
      </c>
      <c r="M435" s="54" t="n">
        <f aca="false">H435*I435*J435</f>
        <v>0</v>
      </c>
      <c r="N435" s="54" t="n">
        <f aca="false">E435*I435*J435</f>
        <v>-0</v>
      </c>
      <c r="O435" s="53" t="n">
        <f aca="false">G435*J435</f>
        <v>1</v>
      </c>
      <c r="P435" s="53" t="n">
        <f aca="false">F435*J435</f>
        <v>0</v>
      </c>
    </row>
    <row r="436" customFormat="false" ht="15" hidden="false" customHeight="false" outlineLevel="0" collapsed="false">
      <c r="A436" s="53" t="s">
        <v>93</v>
      </c>
      <c r="B436" s="53" t="s">
        <v>123</v>
      </c>
      <c r="C436" s="53" t="s">
        <v>318</v>
      </c>
      <c r="D436" s="53" t="s">
        <v>58</v>
      </c>
      <c r="E436" s="54" t="n">
        <v>0</v>
      </c>
      <c r="F436" s="53" t="n">
        <v>0</v>
      </c>
      <c r="G436" s="53" t="n">
        <v>2</v>
      </c>
      <c r="H436" s="54" t="n">
        <v>286.27</v>
      </c>
      <c r="I436" s="53" t="n">
        <f aca="false">IF(B436&gt;=Settings!$B$13,1,0)</f>
        <v>0</v>
      </c>
      <c r="J436" s="53" t="n">
        <v>1</v>
      </c>
      <c r="K436" s="53" t="n">
        <f aca="false">G436*I436*J436</f>
        <v>0</v>
      </c>
      <c r="L436" s="53" t="n">
        <f aca="false">F436*I436*J436</f>
        <v>0</v>
      </c>
      <c r="M436" s="54" t="n">
        <f aca="false">H436*I436*J436</f>
        <v>0</v>
      </c>
      <c r="N436" s="54" t="n">
        <f aca="false">E436*I436*J436</f>
        <v>-0</v>
      </c>
      <c r="O436" s="53" t="n">
        <f aca="false">G436*J436</f>
        <v>2</v>
      </c>
      <c r="P436" s="53" t="n">
        <f aca="false">F436*J436</f>
        <v>0</v>
      </c>
    </row>
    <row r="437" customFormat="false" ht="15" hidden="false" customHeight="false" outlineLevel="0" collapsed="false">
      <c r="A437" s="53" t="s">
        <v>89</v>
      </c>
      <c r="B437" s="53" t="s">
        <v>123</v>
      </c>
      <c r="C437" s="53" t="s">
        <v>333</v>
      </c>
      <c r="D437" s="53" t="s">
        <v>54</v>
      </c>
      <c r="E437" s="54" t="n">
        <v>68.14</v>
      </c>
      <c r="F437" s="53" t="n">
        <v>1</v>
      </c>
      <c r="G437" s="53" t="n">
        <v>13</v>
      </c>
      <c r="H437" s="54" t="n">
        <v>972.16</v>
      </c>
      <c r="I437" s="53" t="n">
        <f aca="false">IF(B437&gt;=Settings!$B$13,1,0)</f>
        <v>0</v>
      </c>
      <c r="J437" s="53" t="n">
        <v>1</v>
      </c>
      <c r="K437" s="53" t="n">
        <f aca="false">G437*I437*J437</f>
        <v>0</v>
      </c>
      <c r="L437" s="53" t="n">
        <f aca="false">F437*I437*J437</f>
        <v>0</v>
      </c>
      <c r="M437" s="54" t="n">
        <f aca="false">H437*I437*J437</f>
        <v>0</v>
      </c>
      <c r="N437" s="54" t="n">
        <f aca="false">E437*I437*J437</f>
        <v>0</v>
      </c>
      <c r="O437" s="53" t="n">
        <f aca="false">G437*J437</f>
        <v>13</v>
      </c>
      <c r="P437" s="53" t="n">
        <f aca="false">F437*J437</f>
        <v>1</v>
      </c>
    </row>
    <row r="438" customFormat="false" ht="15" hidden="false" customHeight="false" outlineLevel="0" collapsed="false">
      <c r="A438" s="53" t="s">
        <v>89</v>
      </c>
      <c r="B438" s="53" t="s">
        <v>123</v>
      </c>
      <c r="C438" s="53" t="s">
        <v>166</v>
      </c>
      <c r="D438" s="53" t="s">
        <v>50</v>
      </c>
      <c r="E438" s="54" t="n">
        <v>0</v>
      </c>
      <c r="F438" s="53" t="n">
        <v>0</v>
      </c>
      <c r="G438" s="53" t="n">
        <v>6</v>
      </c>
      <c r="H438" s="54" t="n">
        <v>895.17</v>
      </c>
      <c r="I438" s="53" t="n">
        <f aca="false">IF(B438&gt;=Settings!$B$13,1,0)</f>
        <v>0</v>
      </c>
      <c r="J438" s="53" t="n">
        <v>1</v>
      </c>
      <c r="K438" s="53" t="n">
        <f aca="false">G438*I438*J438</f>
        <v>0</v>
      </c>
      <c r="L438" s="53" t="n">
        <f aca="false">F438*I438*J438</f>
        <v>0</v>
      </c>
      <c r="M438" s="54" t="n">
        <f aca="false">H438*I438*J438</f>
        <v>0</v>
      </c>
      <c r="N438" s="54" t="n">
        <f aca="false">E438*I438*J438</f>
        <v>-0</v>
      </c>
      <c r="O438" s="53" t="n">
        <f aca="false">G438*J438</f>
        <v>6</v>
      </c>
      <c r="P438" s="53" t="n">
        <f aca="false">F438*J438</f>
        <v>0</v>
      </c>
    </row>
    <row r="439" customFormat="false" ht="15" hidden="false" customHeight="false" outlineLevel="0" collapsed="false">
      <c r="A439" s="53" t="s">
        <v>89</v>
      </c>
      <c r="B439" s="53" t="s">
        <v>123</v>
      </c>
      <c r="C439" s="53" t="s">
        <v>160</v>
      </c>
      <c r="D439" s="53" t="s">
        <v>58</v>
      </c>
      <c r="E439" s="54" t="n">
        <v>0</v>
      </c>
      <c r="F439" s="53" t="n">
        <v>0</v>
      </c>
      <c r="G439" s="53" t="n">
        <v>16</v>
      </c>
      <c r="H439" s="54" t="n">
        <v>1308.34</v>
      </c>
      <c r="I439" s="53" t="n">
        <f aca="false">IF(B439&gt;=Settings!$B$13,1,0)</f>
        <v>0</v>
      </c>
      <c r="J439" s="53" t="n">
        <v>1</v>
      </c>
      <c r="K439" s="53" t="n">
        <f aca="false">G439*I439*J439</f>
        <v>0</v>
      </c>
      <c r="L439" s="53" t="n">
        <f aca="false">F439*I439*J439</f>
        <v>0</v>
      </c>
      <c r="M439" s="54" t="n">
        <f aca="false">H439*I439*J439</f>
        <v>0</v>
      </c>
      <c r="N439" s="54" t="n">
        <f aca="false">E439*I439*J439</f>
        <v>-0</v>
      </c>
      <c r="O439" s="53" t="n">
        <f aca="false">G439*J439</f>
        <v>16</v>
      </c>
      <c r="P439" s="53" t="n">
        <f aca="false">F439*J439</f>
        <v>0</v>
      </c>
    </row>
    <row r="440" customFormat="false" ht="15" hidden="false" customHeight="false" outlineLevel="0" collapsed="false">
      <c r="A440" s="53" t="s">
        <v>89</v>
      </c>
      <c r="B440" s="53" t="s">
        <v>123</v>
      </c>
      <c r="C440" s="53" t="s">
        <v>347</v>
      </c>
      <c r="D440" s="53" t="s">
        <v>62</v>
      </c>
      <c r="E440" s="54" t="n">
        <v>0</v>
      </c>
      <c r="F440" s="53" t="n">
        <v>0</v>
      </c>
      <c r="G440" s="53" t="n">
        <v>14</v>
      </c>
      <c r="H440" s="54" t="n">
        <v>1031.18</v>
      </c>
      <c r="I440" s="53" t="n">
        <f aca="false">IF(B440&gt;=Settings!$B$13,1,0)</f>
        <v>0</v>
      </c>
      <c r="J440" s="53" t="n">
        <v>1</v>
      </c>
      <c r="K440" s="53" t="n">
        <f aca="false">G440*I440*J440</f>
        <v>0</v>
      </c>
      <c r="L440" s="53" t="n">
        <f aca="false">F440*I440*J440</f>
        <v>0</v>
      </c>
      <c r="M440" s="54" t="n">
        <f aca="false">H440*I440*J440</f>
        <v>0</v>
      </c>
      <c r="N440" s="54" t="n">
        <f aca="false">E440*I440*J440</f>
        <v>-0</v>
      </c>
      <c r="O440" s="53" t="n">
        <f aca="false">G440*J440</f>
        <v>14</v>
      </c>
      <c r="P440" s="53" t="n">
        <f aca="false">F440*J440</f>
        <v>0</v>
      </c>
    </row>
    <row r="441" customFormat="false" ht="15" hidden="false" customHeight="false" outlineLevel="0" collapsed="false">
      <c r="A441" s="53" t="s">
        <v>89</v>
      </c>
      <c r="B441" s="53" t="s">
        <v>123</v>
      </c>
      <c r="C441" s="53" t="s">
        <v>158</v>
      </c>
      <c r="D441" s="53" t="s">
        <v>42</v>
      </c>
      <c r="E441" s="54" t="n">
        <v>209</v>
      </c>
      <c r="F441" s="53" t="n">
        <v>2</v>
      </c>
      <c r="G441" s="53" t="n">
        <v>204</v>
      </c>
      <c r="H441" s="54" t="n">
        <v>21636.82</v>
      </c>
      <c r="I441" s="53" t="n">
        <f aca="false">IF(B441&gt;=Settings!$B$13,1,0)</f>
        <v>0</v>
      </c>
      <c r="J441" s="53" t="n">
        <v>1</v>
      </c>
      <c r="K441" s="53" t="n">
        <f aca="false">G441*I441*J441</f>
        <v>0</v>
      </c>
      <c r="L441" s="53" t="n">
        <f aca="false">F441*I441*J441</f>
        <v>0</v>
      </c>
      <c r="M441" s="54" t="n">
        <f aca="false">H441*I441*J441</f>
        <v>0</v>
      </c>
      <c r="N441" s="54" t="n">
        <f aca="false">E441*I441*J441</f>
        <v>0</v>
      </c>
      <c r="O441" s="53" t="n">
        <f aca="false">G441*J441</f>
        <v>204</v>
      </c>
      <c r="P441" s="53" t="n">
        <f aca="false">F441*J441</f>
        <v>2</v>
      </c>
    </row>
    <row r="442" customFormat="false" ht="15" hidden="false" customHeight="false" outlineLevel="0" collapsed="false">
      <c r="A442" s="53" t="s">
        <v>89</v>
      </c>
      <c r="B442" s="53" t="s">
        <v>123</v>
      </c>
      <c r="C442" s="53" t="s">
        <v>323</v>
      </c>
      <c r="D442" s="53" t="s">
        <v>62</v>
      </c>
      <c r="E442" s="54" t="n">
        <v>0</v>
      </c>
      <c r="F442" s="53" t="n">
        <v>0</v>
      </c>
      <c r="G442" s="53" t="n">
        <v>3</v>
      </c>
      <c r="H442" s="54" t="n">
        <v>340.77</v>
      </c>
      <c r="I442" s="53" t="n">
        <f aca="false">IF(B442&gt;=Settings!$B$13,1,0)</f>
        <v>0</v>
      </c>
      <c r="J442" s="53" t="n">
        <v>1</v>
      </c>
      <c r="K442" s="53" t="n">
        <f aca="false">G442*I442*J442</f>
        <v>0</v>
      </c>
      <c r="L442" s="53" t="n">
        <f aca="false">F442*I442*J442</f>
        <v>0</v>
      </c>
      <c r="M442" s="54" t="n">
        <f aca="false">H442*I442*J442</f>
        <v>0</v>
      </c>
      <c r="N442" s="54" t="n">
        <f aca="false">E442*I442*J442</f>
        <v>-0</v>
      </c>
      <c r="O442" s="53" t="n">
        <f aca="false">G442*J442</f>
        <v>3</v>
      </c>
      <c r="P442" s="53" t="n">
        <f aca="false">F442*J442</f>
        <v>0</v>
      </c>
    </row>
    <row r="443" customFormat="false" ht="15" hidden="false" customHeight="false" outlineLevel="0" collapsed="false">
      <c r="A443" s="53" t="s">
        <v>89</v>
      </c>
      <c r="B443" s="53" t="s">
        <v>123</v>
      </c>
      <c r="C443" s="53" t="s">
        <v>371</v>
      </c>
      <c r="D443" s="53" t="s">
        <v>58</v>
      </c>
      <c r="E443" s="54" t="n">
        <v>0</v>
      </c>
      <c r="F443" s="53" t="n">
        <v>0</v>
      </c>
      <c r="G443" s="53" t="n">
        <v>1</v>
      </c>
      <c r="H443" s="54" t="n">
        <v>113.59</v>
      </c>
      <c r="I443" s="53" t="n">
        <f aca="false">IF(B443&gt;=Settings!$B$13,1,0)</f>
        <v>0</v>
      </c>
      <c r="J443" s="53" t="n">
        <v>1</v>
      </c>
      <c r="K443" s="53" t="n">
        <f aca="false">G443*I443*J443</f>
        <v>0</v>
      </c>
      <c r="L443" s="53" t="n">
        <f aca="false">F443*I443*J443</f>
        <v>0</v>
      </c>
      <c r="M443" s="54" t="n">
        <f aca="false">H443*I443*J443</f>
        <v>0</v>
      </c>
      <c r="N443" s="54" t="n">
        <f aca="false">E443*I443*J443</f>
        <v>-0</v>
      </c>
      <c r="O443" s="53" t="n">
        <f aca="false">G443*J443</f>
        <v>1</v>
      </c>
      <c r="P443" s="53" t="n">
        <f aca="false">F443*J443</f>
        <v>0</v>
      </c>
    </row>
    <row r="444" customFormat="false" ht="15" hidden="false" customHeight="false" outlineLevel="0" collapsed="false">
      <c r="A444" s="53" t="s">
        <v>100</v>
      </c>
      <c r="B444" s="53" t="s">
        <v>123</v>
      </c>
      <c r="C444" s="53" t="s">
        <v>322</v>
      </c>
      <c r="D444" s="53" t="s">
        <v>54</v>
      </c>
      <c r="E444" s="54" t="n">
        <v>0</v>
      </c>
      <c r="F444" s="53" t="n">
        <v>0</v>
      </c>
      <c r="G444" s="53" t="n">
        <v>9</v>
      </c>
      <c r="H444" s="54" t="n">
        <v>521.87</v>
      </c>
      <c r="I444" s="53" t="n">
        <f aca="false">IF(B444&gt;=Settings!$B$13,1,0)</f>
        <v>0</v>
      </c>
      <c r="J444" s="53" t="n">
        <v>1</v>
      </c>
      <c r="K444" s="53" t="n">
        <f aca="false">G444*I444*J444</f>
        <v>0</v>
      </c>
      <c r="L444" s="53" t="n">
        <f aca="false">F444*I444*J444</f>
        <v>0</v>
      </c>
      <c r="M444" s="54" t="n">
        <f aca="false">H444*I444*J444</f>
        <v>0</v>
      </c>
      <c r="N444" s="54" t="n">
        <f aca="false">E444*I444*J444</f>
        <v>-0</v>
      </c>
      <c r="O444" s="53" t="n">
        <f aca="false">G444*J444</f>
        <v>9</v>
      </c>
      <c r="P444" s="53" t="n">
        <f aca="false">F444*J444</f>
        <v>0</v>
      </c>
    </row>
    <row r="445" customFormat="false" ht="15" hidden="false" customHeight="false" outlineLevel="0" collapsed="false">
      <c r="A445" s="53" t="s">
        <v>93</v>
      </c>
      <c r="B445" s="53" t="s">
        <v>123</v>
      </c>
      <c r="C445" s="53" t="s">
        <v>322</v>
      </c>
      <c r="D445" s="53" t="s">
        <v>54</v>
      </c>
      <c r="E445" s="54" t="n">
        <v>68.14</v>
      </c>
      <c r="F445" s="53" t="n">
        <v>1</v>
      </c>
      <c r="G445" s="53" t="n">
        <v>10</v>
      </c>
      <c r="H445" s="54" t="n">
        <v>722.27</v>
      </c>
      <c r="I445" s="53" t="n">
        <f aca="false">IF(B445&gt;=Settings!$B$13,1,0)</f>
        <v>0</v>
      </c>
      <c r="J445" s="53" t="n">
        <v>1</v>
      </c>
      <c r="K445" s="53" t="n">
        <f aca="false">G445*I445*J445</f>
        <v>0</v>
      </c>
      <c r="L445" s="53" t="n">
        <f aca="false">F445*I445*J445</f>
        <v>0</v>
      </c>
      <c r="M445" s="54" t="n">
        <f aca="false">H445*I445*J445</f>
        <v>0</v>
      </c>
      <c r="N445" s="54" t="n">
        <f aca="false">E445*I445*J445</f>
        <v>0</v>
      </c>
      <c r="O445" s="53" t="n">
        <f aca="false">G445*J445</f>
        <v>10</v>
      </c>
      <c r="P445" s="53" t="n">
        <f aca="false">F445*J445</f>
        <v>1</v>
      </c>
    </row>
    <row r="446" customFormat="false" ht="15" hidden="false" customHeight="false" outlineLevel="0" collapsed="false">
      <c r="A446" s="53" t="s">
        <v>97</v>
      </c>
      <c r="B446" s="53" t="s">
        <v>123</v>
      </c>
      <c r="C446" s="53" t="s">
        <v>372</v>
      </c>
      <c r="D446" s="53" t="s">
        <v>42</v>
      </c>
      <c r="E446" s="54" t="n">
        <v>107.23</v>
      </c>
      <c r="F446" s="53" t="n">
        <v>1</v>
      </c>
      <c r="G446" s="53" t="n">
        <v>29</v>
      </c>
      <c r="H446" s="54" t="n">
        <v>3360.51</v>
      </c>
      <c r="I446" s="53" t="n">
        <f aca="false">IF(B446&gt;=Settings!$B$13,1,0)</f>
        <v>0</v>
      </c>
      <c r="J446" s="53" t="n">
        <v>1</v>
      </c>
      <c r="K446" s="53" t="n">
        <f aca="false">G446*I446*J446</f>
        <v>0</v>
      </c>
      <c r="L446" s="53" t="n">
        <f aca="false">F446*I446*J446</f>
        <v>0</v>
      </c>
      <c r="M446" s="54" t="n">
        <f aca="false">H446*I446*J446</f>
        <v>0</v>
      </c>
      <c r="N446" s="54" t="n">
        <f aca="false">E446*I446*J446</f>
        <v>0</v>
      </c>
      <c r="O446" s="53" t="n">
        <f aca="false">G446*J446</f>
        <v>29</v>
      </c>
      <c r="P446" s="53" t="n">
        <f aca="false">F446*J446</f>
        <v>1</v>
      </c>
    </row>
    <row r="447" customFormat="false" ht="15" hidden="false" customHeight="false" outlineLevel="0" collapsed="false">
      <c r="A447" s="53" t="s">
        <v>97</v>
      </c>
      <c r="B447" s="53" t="s">
        <v>123</v>
      </c>
      <c r="C447" s="53" t="s">
        <v>375</v>
      </c>
      <c r="D447" s="53" t="s">
        <v>42</v>
      </c>
      <c r="E447" s="54" t="n">
        <v>164.46</v>
      </c>
      <c r="F447" s="53" t="n">
        <v>2</v>
      </c>
      <c r="G447" s="53" t="n">
        <v>26</v>
      </c>
      <c r="H447" s="54" t="n">
        <v>2163.4</v>
      </c>
      <c r="I447" s="53" t="n">
        <f aca="false">IF(B447&gt;=Settings!$B$13,1,0)</f>
        <v>0</v>
      </c>
      <c r="J447" s="53" t="n">
        <v>1</v>
      </c>
      <c r="K447" s="53" t="n">
        <f aca="false">G447*I447*J447</f>
        <v>0</v>
      </c>
      <c r="L447" s="53" t="n">
        <f aca="false">F447*I447*J447</f>
        <v>0</v>
      </c>
      <c r="M447" s="54" t="n">
        <f aca="false">H447*I447*J447</f>
        <v>0</v>
      </c>
      <c r="N447" s="54" t="n">
        <f aca="false">E447*I447*J447</f>
        <v>0</v>
      </c>
      <c r="O447" s="53" t="n">
        <f aca="false">G447*J447</f>
        <v>26</v>
      </c>
      <c r="P447" s="53" t="n">
        <f aca="false">F447*J447</f>
        <v>2</v>
      </c>
    </row>
    <row r="448" customFormat="false" ht="15" hidden="false" customHeight="false" outlineLevel="0" collapsed="false">
      <c r="A448" s="53" t="s">
        <v>97</v>
      </c>
      <c r="B448" s="53" t="s">
        <v>123</v>
      </c>
      <c r="C448" s="53" t="s">
        <v>380</v>
      </c>
      <c r="D448" s="53" t="s">
        <v>50</v>
      </c>
      <c r="E448" s="54" t="n">
        <v>0</v>
      </c>
      <c r="F448" s="53" t="n">
        <v>0</v>
      </c>
      <c r="G448" s="53" t="n">
        <v>3</v>
      </c>
      <c r="H448" s="54" t="n">
        <v>340.76</v>
      </c>
      <c r="I448" s="53" t="n">
        <f aca="false">IF(B448&gt;=Settings!$B$13,1,0)</f>
        <v>0</v>
      </c>
      <c r="J448" s="53" t="n">
        <v>1</v>
      </c>
      <c r="K448" s="53" t="n">
        <f aca="false">G448*I448*J448</f>
        <v>0</v>
      </c>
      <c r="L448" s="53" t="n">
        <f aca="false">F448*I448*J448</f>
        <v>0</v>
      </c>
      <c r="M448" s="54" t="n">
        <f aca="false">H448*I448*J448</f>
        <v>0</v>
      </c>
      <c r="N448" s="54" t="n">
        <f aca="false">E448*I448*J448</f>
        <v>-0</v>
      </c>
      <c r="O448" s="53" t="n">
        <f aca="false">G448*J448</f>
        <v>3</v>
      </c>
      <c r="P448" s="53" t="n">
        <f aca="false">F448*J448</f>
        <v>0</v>
      </c>
    </row>
    <row r="449" customFormat="false" ht="15" hidden="false" customHeight="false" outlineLevel="0" collapsed="false">
      <c r="A449" s="53" t="s">
        <v>89</v>
      </c>
      <c r="B449" s="53" t="s">
        <v>123</v>
      </c>
      <c r="C449" s="53" t="s">
        <v>381</v>
      </c>
      <c r="D449" s="53" t="s">
        <v>66</v>
      </c>
      <c r="E449" s="54" t="n">
        <v>0</v>
      </c>
      <c r="F449" s="53" t="n">
        <v>0</v>
      </c>
      <c r="G449" s="53" t="n">
        <v>1</v>
      </c>
      <c r="H449" s="54" t="n">
        <v>152.68</v>
      </c>
      <c r="I449" s="53" t="n">
        <f aca="false">IF(B449&gt;=Settings!$B$13,1,0)</f>
        <v>0</v>
      </c>
      <c r="J449" s="53" t="n">
        <v>1</v>
      </c>
      <c r="K449" s="53" t="n">
        <f aca="false">G449*I449*J449</f>
        <v>0</v>
      </c>
      <c r="L449" s="53" t="n">
        <f aca="false">F449*I449*J449</f>
        <v>0</v>
      </c>
      <c r="M449" s="54" t="n">
        <f aca="false">H449*I449*J449</f>
        <v>0</v>
      </c>
      <c r="N449" s="54" t="n">
        <f aca="false">E449*I449*J449</f>
        <v>-0</v>
      </c>
      <c r="O449" s="53" t="n">
        <f aca="false">G449*J449</f>
        <v>1</v>
      </c>
      <c r="P449" s="53" t="n">
        <f aca="false">F449*J449</f>
        <v>0</v>
      </c>
    </row>
    <row r="450" customFormat="false" ht="15" hidden="false" customHeight="false" outlineLevel="0" collapsed="false">
      <c r="A450" s="53" t="s">
        <v>89</v>
      </c>
      <c r="B450" s="53" t="s">
        <v>123</v>
      </c>
      <c r="C450" s="53" t="s">
        <v>155</v>
      </c>
      <c r="D450" s="53" t="s">
        <v>50</v>
      </c>
      <c r="E450" s="54" t="n">
        <v>68.14</v>
      </c>
      <c r="F450" s="53" t="n">
        <v>1</v>
      </c>
      <c r="G450" s="53" t="n">
        <v>140</v>
      </c>
      <c r="H450" s="54" t="n">
        <v>10448.16</v>
      </c>
      <c r="I450" s="53" t="n">
        <f aca="false">IF(B450&gt;=Settings!$B$13,1,0)</f>
        <v>0</v>
      </c>
      <c r="J450" s="53" t="n">
        <v>1</v>
      </c>
      <c r="K450" s="53" t="n">
        <f aca="false">G450*I450*J450</f>
        <v>0</v>
      </c>
      <c r="L450" s="53" t="n">
        <f aca="false">F450*I450*J450</f>
        <v>0</v>
      </c>
      <c r="M450" s="54" t="n">
        <f aca="false">H450*I450*J450</f>
        <v>0</v>
      </c>
      <c r="N450" s="54" t="n">
        <f aca="false">E450*I450*J450</f>
        <v>0</v>
      </c>
      <c r="O450" s="53" t="n">
        <f aca="false">G450*J450</f>
        <v>140</v>
      </c>
      <c r="P450" s="53" t="n">
        <f aca="false">F450*J450</f>
        <v>1</v>
      </c>
    </row>
    <row r="451" customFormat="false" ht="15" hidden="false" customHeight="false" outlineLevel="0" collapsed="false">
      <c r="A451" s="53" t="s">
        <v>97</v>
      </c>
      <c r="B451" s="53" t="s">
        <v>123</v>
      </c>
      <c r="C451" s="53" t="s">
        <v>386</v>
      </c>
      <c r="D451" s="53" t="s">
        <v>54</v>
      </c>
      <c r="E451" s="54" t="n">
        <v>0</v>
      </c>
      <c r="F451" s="53" t="n">
        <v>0</v>
      </c>
      <c r="G451" s="53" t="n">
        <v>10</v>
      </c>
      <c r="H451" s="54" t="n">
        <v>752.26</v>
      </c>
      <c r="I451" s="53" t="n">
        <f aca="false">IF(B451&gt;=Settings!$B$13,1,0)</f>
        <v>0</v>
      </c>
      <c r="J451" s="53" t="n">
        <v>1</v>
      </c>
      <c r="K451" s="53" t="n">
        <f aca="false">G451*I451*J451</f>
        <v>0</v>
      </c>
      <c r="L451" s="53" t="n">
        <f aca="false">F451*I451*J451</f>
        <v>0</v>
      </c>
      <c r="M451" s="54" t="n">
        <f aca="false">H451*I451*J451</f>
        <v>0</v>
      </c>
      <c r="N451" s="54" t="n">
        <f aca="false">E451*I451*J451</f>
        <v>-0</v>
      </c>
      <c r="O451" s="53" t="n">
        <f aca="false">G451*J451</f>
        <v>10</v>
      </c>
      <c r="P451" s="53" t="n">
        <f aca="false">F451*J451</f>
        <v>0</v>
      </c>
    </row>
    <row r="452" customFormat="false" ht="15" hidden="false" customHeight="false" outlineLevel="0" collapsed="false">
      <c r="A452" s="53" t="s">
        <v>93</v>
      </c>
      <c r="B452" s="53" t="s">
        <v>123</v>
      </c>
      <c r="C452" s="53" t="s">
        <v>317</v>
      </c>
      <c r="D452" s="53" t="s">
        <v>46</v>
      </c>
      <c r="E452" s="54" t="n">
        <v>99.95</v>
      </c>
      <c r="F452" s="53" t="n">
        <v>1</v>
      </c>
      <c r="G452" s="53" t="n">
        <v>70</v>
      </c>
      <c r="H452" s="54" t="n">
        <v>7387.4</v>
      </c>
      <c r="I452" s="53" t="n">
        <f aca="false">IF(B452&gt;=Settings!$B$13,1,0)</f>
        <v>0</v>
      </c>
      <c r="J452" s="53" t="n">
        <v>1</v>
      </c>
      <c r="K452" s="53" t="n">
        <f aca="false">G452*I452*J452</f>
        <v>0</v>
      </c>
      <c r="L452" s="53" t="n">
        <f aca="false">F452*I452*J452</f>
        <v>0</v>
      </c>
      <c r="M452" s="54" t="n">
        <f aca="false">H452*I452*J452</f>
        <v>0</v>
      </c>
      <c r="N452" s="54" t="n">
        <f aca="false">E452*I452*J452</f>
        <v>0</v>
      </c>
      <c r="O452" s="53" t="n">
        <f aca="false">G452*J452</f>
        <v>70</v>
      </c>
      <c r="P452" s="53" t="n">
        <f aca="false">F452*J452</f>
        <v>1</v>
      </c>
    </row>
    <row r="453" customFormat="false" ht="15" hidden="false" customHeight="false" outlineLevel="0" collapsed="false">
      <c r="A453" s="53" t="s">
        <v>97</v>
      </c>
      <c r="B453" s="53" t="s">
        <v>123</v>
      </c>
      <c r="C453" s="53" t="s">
        <v>383</v>
      </c>
      <c r="D453" s="53" t="s">
        <v>66</v>
      </c>
      <c r="E453" s="54" t="n">
        <v>0</v>
      </c>
      <c r="F453" s="53" t="n">
        <v>0</v>
      </c>
      <c r="G453" s="53" t="n">
        <v>1</v>
      </c>
      <c r="H453" s="54" t="n">
        <v>134.5</v>
      </c>
      <c r="I453" s="53" t="n">
        <f aca="false">IF(B453&gt;=Settings!$B$13,1,0)</f>
        <v>0</v>
      </c>
      <c r="J453" s="53" t="n">
        <v>1</v>
      </c>
      <c r="K453" s="53" t="n">
        <f aca="false">G453*I453*J453</f>
        <v>0</v>
      </c>
      <c r="L453" s="53" t="n">
        <f aca="false">F453*I453*J453</f>
        <v>0</v>
      </c>
      <c r="M453" s="54" t="n">
        <f aca="false">H453*I453*J453</f>
        <v>0</v>
      </c>
      <c r="N453" s="54" t="n">
        <f aca="false">E453*I453*J453</f>
        <v>-0</v>
      </c>
      <c r="O453" s="53" t="n">
        <f aca="false">G453*J453</f>
        <v>1</v>
      </c>
      <c r="P453" s="53" t="n">
        <f aca="false">F453*J453</f>
        <v>0</v>
      </c>
    </row>
    <row r="454" customFormat="false" ht="15" hidden="false" customHeight="false" outlineLevel="0" collapsed="false">
      <c r="A454" s="53" t="s">
        <v>89</v>
      </c>
      <c r="B454" s="53" t="s">
        <v>123</v>
      </c>
      <c r="C454" s="53" t="s">
        <v>357</v>
      </c>
      <c r="D454" s="53" t="s">
        <v>54</v>
      </c>
      <c r="E454" s="54" t="n">
        <v>0</v>
      </c>
      <c r="F454" s="53" t="n">
        <v>0</v>
      </c>
      <c r="G454" s="53" t="n">
        <v>12</v>
      </c>
      <c r="H454" s="54" t="n">
        <v>1017.61</v>
      </c>
      <c r="I454" s="53" t="n">
        <f aca="false">IF(B454&gt;=Settings!$B$13,1,0)</f>
        <v>0</v>
      </c>
      <c r="J454" s="53" t="n">
        <v>1</v>
      </c>
      <c r="K454" s="53" t="n">
        <f aca="false">G454*I454*J454</f>
        <v>0</v>
      </c>
      <c r="L454" s="53" t="n">
        <f aca="false">F454*I454*J454</f>
        <v>0</v>
      </c>
      <c r="M454" s="54" t="n">
        <f aca="false">H454*I454*J454</f>
        <v>0</v>
      </c>
      <c r="N454" s="54" t="n">
        <f aca="false">E454*I454*J454</f>
        <v>-0</v>
      </c>
      <c r="O454" s="53" t="n">
        <f aca="false">G454*J454</f>
        <v>12</v>
      </c>
      <c r="P454" s="53" t="n">
        <f aca="false">F454*J454</f>
        <v>0</v>
      </c>
    </row>
    <row r="455" customFormat="false" ht="15" hidden="false" customHeight="false" outlineLevel="0" collapsed="false">
      <c r="A455" s="53" t="s">
        <v>93</v>
      </c>
      <c r="B455" s="53" t="s">
        <v>123</v>
      </c>
      <c r="C455" s="53" t="s">
        <v>165</v>
      </c>
      <c r="D455" s="53" t="s">
        <v>42</v>
      </c>
      <c r="E455" s="54" t="n">
        <v>0</v>
      </c>
      <c r="F455" s="53" t="n">
        <v>0</v>
      </c>
      <c r="G455" s="53" t="n">
        <v>68</v>
      </c>
      <c r="H455" s="54" t="n">
        <v>8560.61</v>
      </c>
      <c r="I455" s="53" t="n">
        <f aca="false">IF(B455&gt;=Settings!$B$13,1,0)</f>
        <v>0</v>
      </c>
      <c r="J455" s="53" t="n">
        <v>1</v>
      </c>
      <c r="K455" s="53" t="n">
        <f aca="false">G455*I455*J455</f>
        <v>0</v>
      </c>
      <c r="L455" s="53" t="n">
        <f aca="false">F455*I455*J455</f>
        <v>0</v>
      </c>
      <c r="M455" s="54" t="n">
        <f aca="false">H455*I455*J455</f>
        <v>0</v>
      </c>
      <c r="N455" s="54" t="n">
        <f aca="false">E455*I455*J455</f>
        <v>-0</v>
      </c>
      <c r="O455" s="53" t="n">
        <f aca="false">G455*J455</f>
        <v>68</v>
      </c>
      <c r="P455" s="53" t="n">
        <f aca="false">F455*J455</f>
        <v>0</v>
      </c>
    </row>
    <row r="456" customFormat="false" ht="15" hidden="false" customHeight="false" outlineLevel="0" collapsed="false">
      <c r="A456" s="53" t="s">
        <v>93</v>
      </c>
      <c r="B456" s="53" t="s">
        <v>124</v>
      </c>
      <c r="C456" s="53" t="s">
        <v>330</v>
      </c>
      <c r="D456" s="53" t="s">
        <v>46</v>
      </c>
      <c r="E456" s="54" t="n">
        <v>131.77</v>
      </c>
      <c r="F456" s="53" t="n">
        <v>1</v>
      </c>
      <c r="G456" s="53" t="n">
        <v>59</v>
      </c>
      <c r="H456" s="54" t="n">
        <v>7842.65</v>
      </c>
      <c r="I456" s="53" t="n">
        <f aca="false">IF(B456&gt;=Settings!$B$13,1,0)</f>
        <v>1</v>
      </c>
      <c r="J456" s="53" t="n">
        <v>1</v>
      </c>
      <c r="K456" s="53" t="n">
        <f aca="false">G456*I456*J456</f>
        <v>59</v>
      </c>
      <c r="L456" s="53" t="n">
        <f aca="false">F456*I456*J456</f>
        <v>1</v>
      </c>
      <c r="M456" s="54" t="n">
        <f aca="false">H456*I456*J456</f>
        <v>7842.65</v>
      </c>
      <c r="N456" s="54" t="n">
        <f aca="false">E456*I456*J456</f>
        <v>131.77</v>
      </c>
      <c r="O456" s="53" t="n">
        <f aca="false">G456*J456</f>
        <v>59</v>
      </c>
      <c r="P456" s="53" t="n">
        <f aca="false">F456*J456</f>
        <v>1</v>
      </c>
    </row>
    <row r="457" customFormat="false" ht="15" hidden="false" customHeight="false" outlineLevel="0" collapsed="false">
      <c r="A457" s="53" t="s">
        <v>97</v>
      </c>
      <c r="B457" s="53" t="s">
        <v>124</v>
      </c>
      <c r="C457" s="53" t="s">
        <v>380</v>
      </c>
      <c r="D457" s="53" t="s">
        <v>50</v>
      </c>
      <c r="E457" s="54" t="n">
        <v>140.86</v>
      </c>
      <c r="F457" s="53" t="n">
        <v>1</v>
      </c>
      <c r="G457" s="53" t="n">
        <v>0</v>
      </c>
      <c r="H457" s="54" t="n">
        <v>0</v>
      </c>
      <c r="I457" s="53" t="n">
        <f aca="false">IF(B457&gt;=Settings!$B$13,1,0)</f>
        <v>1</v>
      </c>
      <c r="J457" s="53" t="n">
        <v>1</v>
      </c>
      <c r="K457" s="53" t="n">
        <f aca="false">G457*I457*J457</f>
        <v>0</v>
      </c>
      <c r="L457" s="53" t="n">
        <f aca="false">F457*I457*J457</f>
        <v>1</v>
      </c>
      <c r="M457" s="54" t="n">
        <f aca="false">H457*I457*J457</f>
        <v>0</v>
      </c>
      <c r="N457" s="54" t="n">
        <f aca="false">E457*I457*J457</f>
        <v>140.86</v>
      </c>
      <c r="O457" s="53" t="n">
        <f aca="false">G457*J457</f>
        <v>0</v>
      </c>
      <c r="P457" s="53" t="n">
        <f aca="false">F457*J457</f>
        <v>1</v>
      </c>
    </row>
    <row r="458" customFormat="false" ht="15" hidden="false" customHeight="false" outlineLevel="0" collapsed="false">
      <c r="A458" s="53" t="s">
        <v>89</v>
      </c>
      <c r="B458" s="53" t="s">
        <v>124</v>
      </c>
      <c r="C458" s="53" t="s">
        <v>159</v>
      </c>
      <c r="D458" s="53" t="s">
        <v>50</v>
      </c>
      <c r="E458" s="54" t="n">
        <v>683.8</v>
      </c>
      <c r="F458" s="53" t="n">
        <v>7</v>
      </c>
      <c r="G458" s="53" t="n">
        <v>94</v>
      </c>
      <c r="H458" s="54" t="n">
        <v>10068.2</v>
      </c>
      <c r="I458" s="53" t="n">
        <f aca="false">IF(B458&gt;=Settings!$B$13,1,0)</f>
        <v>1</v>
      </c>
      <c r="J458" s="53" t="n">
        <v>1</v>
      </c>
      <c r="K458" s="53" t="n">
        <f aca="false">G458*I458*J458</f>
        <v>94</v>
      </c>
      <c r="L458" s="53" t="n">
        <f aca="false">F458*I458*J458</f>
        <v>7</v>
      </c>
      <c r="M458" s="54" t="n">
        <f aca="false">H458*I458*J458</f>
        <v>10068.2</v>
      </c>
      <c r="N458" s="54" t="n">
        <f aca="false">E458*I458*J458</f>
        <v>683.8</v>
      </c>
      <c r="O458" s="53" t="n">
        <f aca="false">G458*J458</f>
        <v>94</v>
      </c>
      <c r="P458" s="53" t="n">
        <f aca="false">F458*J458</f>
        <v>7</v>
      </c>
    </row>
    <row r="459" customFormat="false" ht="15" hidden="false" customHeight="false" outlineLevel="0" collapsed="false">
      <c r="A459" s="53" t="s">
        <v>89</v>
      </c>
      <c r="B459" s="53" t="s">
        <v>124</v>
      </c>
      <c r="C459" s="53" t="s">
        <v>316</v>
      </c>
      <c r="D459" s="53" t="s">
        <v>62</v>
      </c>
      <c r="E459" s="54" t="n">
        <v>0</v>
      </c>
      <c r="F459" s="53" t="n">
        <v>0</v>
      </c>
      <c r="G459" s="53" t="n">
        <v>11</v>
      </c>
      <c r="H459" s="54" t="n">
        <v>1172.17</v>
      </c>
      <c r="I459" s="53" t="n">
        <f aca="false">IF(B459&gt;=Settings!$B$13,1,0)</f>
        <v>1</v>
      </c>
      <c r="J459" s="53" t="n">
        <v>1</v>
      </c>
      <c r="K459" s="53" t="n">
        <f aca="false">G459*I459*J459</f>
        <v>11</v>
      </c>
      <c r="L459" s="53" t="n">
        <f aca="false">F459*I459*J459</f>
        <v>0</v>
      </c>
      <c r="M459" s="54" t="n">
        <f aca="false">H459*I459*J459</f>
        <v>1172.17</v>
      </c>
      <c r="N459" s="54" t="n">
        <f aca="false">E459*I459*J459</f>
        <v>-0</v>
      </c>
      <c r="O459" s="53" t="n">
        <f aca="false">G459*J459</f>
        <v>11</v>
      </c>
      <c r="P459" s="53" t="n">
        <f aca="false">F459*J459</f>
        <v>0</v>
      </c>
    </row>
    <row r="460" customFormat="false" ht="15" hidden="false" customHeight="false" outlineLevel="0" collapsed="false">
      <c r="A460" s="53" t="s">
        <v>97</v>
      </c>
      <c r="B460" s="53" t="s">
        <v>124</v>
      </c>
      <c r="C460" s="53" t="s">
        <v>375</v>
      </c>
      <c r="D460" s="53" t="s">
        <v>42</v>
      </c>
      <c r="E460" s="54" t="n">
        <v>63.24</v>
      </c>
      <c r="F460" s="53" t="n">
        <v>1</v>
      </c>
      <c r="G460" s="53" t="n">
        <v>16</v>
      </c>
      <c r="H460" s="54" t="n">
        <v>1354.68</v>
      </c>
      <c r="I460" s="53" t="n">
        <f aca="false">IF(B460&gt;=Settings!$B$13,1,0)</f>
        <v>1</v>
      </c>
      <c r="J460" s="53" t="n">
        <v>1</v>
      </c>
      <c r="K460" s="53" t="n">
        <f aca="false">G460*I460*J460</f>
        <v>16</v>
      </c>
      <c r="L460" s="53" t="n">
        <f aca="false">F460*I460*J460</f>
        <v>1</v>
      </c>
      <c r="M460" s="54" t="n">
        <f aca="false">H460*I460*J460</f>
        <v>1354.68</v>
      </c>
      <c r="N460" s="54" t="n">
        <f aca="false">E460*I460*J460</f>
        <v>63.24</v>
      </c>
      <c r="O460" s="53" t="n">
        <f aca="false">G460*J460</f>
        <v>16</v>
      </c>
      <c r="P460" s="53" t="n">
        <f aca="false">F460*J460</f>
        <v>1</v>
      </c>
    </row>
    <row r="461" customFormat="false" ht="15" hidden="false" customHeight="false" outlineLevel="0" collapsed="false">
      <c r="A461" s="53" t="s">
        <v>89</v>
      </c>
      <c r="B461" s="53" t="s">
        <v>124</v>
      </c>
      <c r="C461" s="53" t="s">
        <v>347</v>
      </c>
      <c r="D461" s="53" t="s">
        <v>62</v>
      </c>
      <c r="E461" s="54" t="n">
        <v>0</v>
      </c>
      <c r="F461" s="53" t="n">
        <v>0</v>
      </c>
      <c r="G461" s="53" t="n">
        <v>35</v>
      </c>
      <c r="H461" s="54" t="n">
        <v>2616.51</v>
      </c>
      <c r="I461" s="53" t="n">
        <f aca="false">IF(B461&gt;=Settings!$B$13,1,0)</f>
        <v>1</v>
      </c>
      <c r="J461" s="53" t="n">
        <v>1</v>
      </c>
      <c r="K461" s="53" t="n">
        <f aca="false">G461*I461*J461</f>
        <v>35</v>
      </c>
      <c r="L461" s="53" t="n">
        <f aca="false">F461*I461*J461</f>
        <v>0</v>
      </c>
      <c r="M461" s="54" t="n">
        <f aca="false">H461*I461*J461</f>
        <v>2616.51</v>
      </c>
      <c r="N461" s="54" t="n">
        <f aca="false">E461*I461*J461</f>
        <v>-0</v>
      </c>
      <c r="O461" s="53" t="n">
        <f aca="false">G461*J461</f>
        <v>35</v>
      </c>
      <c r="P461" s="53" t="n">
        <f aca="false">F461*J461</f>
        <v>0</v>
      </c>
    </row>
    <row r="462" customFormat="false" ht="15" hidden="false" customHeight="false" outlineLevel="0" collapsed="false">
      <c r="A462" s="53" t="s">
        <v>89</v>
      </c>
      <c r="B462" s="53" t="s">
        <v>124</v>
      </c>
      <c r="C462" s="53" t="s">
        <v>158</v>
      </c>
      <c r="D462" s="53" t="s">
        <v>42</v>
      </c>
      <c r="E462" s="54" t="n">
        <v>1544.36</v>
      </c>
      <c r="F462" s="53" t="n">
        <v>15</v>
      </c>
      <c r="G462" s="53" t="n">
        <v>266</v>
      </c>
      <c r="H462" s="54" t="n">
        <v>28381.82</v>
      </c>
      <c r="I462" s="53" t="n">
        <f aca="false">IF(B462&gt;=Settings!$B$13,1,0)</f>
        <v>1</v>
      </c>
      <c r="J462" s="53" t="n">
        <v>1</v>
      </c>
      <c r="K462" s="53" t="n">
        <f aca="false">G462*I462*J462</f>
        <v>266</v>
      </c>
      <c r="L462" s="53" t="n">
        <f aca="false">F462*I462*J462</f>
        <v>15</v>
      </c>
      <c r="M462" s="54" t="n">
        <f aca="false">H462*I462*J462</f>
        <v>28381.82</v>
      </c>
      <c r="N462" s="54" t="n">
        <f aca="false">E462*I462*J462</f>
        <v>1544.36</v>
      </c>
      <c r="O462" s="53" t="n">
        <f aca="false">G462*J462</f>
        <v>266</v>
      </c>
      <c r="P462" s="53" t="n">
        <f aca="false">F462*J462</f>
        <v>15</v>
      </c>
    </row>
    <row r="463" customFormat="false" ht="15" hidden="false" customHeight="false" outlineLevel="0" collapsed="false">
      <c r="A463" s="53" t="s">
        <v>97</v>
      </c>
      <c r="B463" s="53" t="s">
        <v>124</v>
      </c>
      <c r="C463" s="53" t="s">
        <v>372</v>
      </c>
      <c r="D463" s="53" t="s">
        <v>42</v>
      </c>
      <c r="E463" s="54" t="n">
        <v>210.28</v>
      </c>
      <c r="F463" s="53" t="n">
        <v>2</v>
      </c>
      <c r="G463" s="53" t="n">
        <v>25</v>
      </c>
      <c r="H463" s="54" t="n">
        <v>2853.35</v>
      </c>
      <c r="I463" s="53" t="n">
        <f aca="false">IF(B463&gt;=Settings!$B$13,1,0)</f>
        <v>1</v>
      </c>
      <c r="J463" s="53" t="n">
        <v>1</v>
      </c>
      <c r="K463" s="53" t="n">
        <f aca="false">G463*I463*J463</f>
        <v>25</v>
      </c>
      <c r="L463" s="53" t="n">
        <f aca="false">F463*I463*J463</f>
        <v>2</v>
      </c>
      <c r="M463" s="54" t="n">
        <f aca="false">H463*I463*J463</f>
        <v>2853.35</v>
      </c>
      <c r="N463" s="54" t="n">
        <f aca="false">E463*I463*J463</f>
        <v>210.28</v>
      </c>
      <c r="O463" s="53" t="n">
        <f aca="false">G463*J463</f>
        <v>25</v>
      </c>
      <c r="P463" s="53" t="n">
        <f aca="false">F463*J463</f>
        <v>2</v>
      </c>
    </row>
    <row r="464" customFormat="false" ht="15" hidden="false" customHeight="false" outlineLevel="0" collapsed="false">
      <c r="A464" s="53" t="s">
        <v>89</v>
      </c>
      <c r="B464" s="53" t="s">
        <v>124</v>
      </c>
      <c r="C464" s="53" t="s">
        <v>328</v>
      </c>
      <c r="D464" s="53" t="s">
        <v>50</v>
      </c>
      <c r="E464" s="54" t="n">
        <v>220.33</v>
      </c>
      <c r="F464" s="53" t="n">
        <v>3</v>
      </c>
      <c r="G464" s="53" t="n">
        <v>40</v>
      </c>
      <c r="H464" s="54" t="n">
        <v>3456.27</v>
      </c>
      <c r="I464" s="53" t="n">
        <f aca="false">IF(B464&gt;=Settings!$B$13,1,0)</f>
        <v>1</v>
      </c>
      <c r="J464" s="53" t="n">
        <v>1</v>
      </c>
      <c r="K464" s="53" t="n">
        <f aca="false">G464*I464*J464</f>
        <v>40</v>
      </c>
      <c r="L464" s="53" t="n">
        <f aca="false">F464*I464*J464</f>
        <v>3</v>
      </c>
      <c r="M464" s="54" t="n">
        <f aca="false">H464*I464*J464</f>
        <v>3456.27</v>
      </c>
      <c r="N464" s="54" t="n">
        <f aca="false">E464*I464*J464</f>
        <v>220.33</v>
      </c>
      <c r="O464" s="53" t="n">
        <f aca="false">G464*J464</f>
        <v>40</v>
      </c>
      <c r="P464" s="53" t="n">
        <f aca="false">F464*J464</f>
        <v>3</v>
      </c>
    </row>
    <row r="465" customFormat="false" ht="15" hidden="false" customHeight="false" outlineLevel="0" collapsed="false">
      <c r="A465" s="53" t="s">
        <v>100</v>
      </c>
      <c r="B465" s="53" t="s">
        <v>124</v>
      </c>
      <c r="C465" s="53" t="s">
        <v>143</v>
      </c>
      <c r="D465" s="53" t="s">
        <v>54</v>
      </c>
      <c r="E465" s="54" t="n">
        <v>119.74</v>
      </c>
      <c r="F465" s="53" t="n">
        <v>1</v>
      </c>
      <c r="G465" s="53" t="n">
        <v>4</v>
      </c>
      <c r="H465" s="54" t="n">
        <v>545.26</v>
      </c>
      <c r="I465" s="53" t="n">
        <f aca="false">IF(B465&gt;=Settings!$B$13,1,0)</f>
        <v>1</v>
      </c>
      <c r="J465" s="53" t="n">
        <v>1</v>
      </c>
      <c r="K465" s="53" t="n">
        <f aca="false">G465*I465*J465</f>
        <v>4</v>
      </c>
      <c r="L465" s="53" t="n">
        <f aca="false">F465*I465*J465</f>
        <v>1</v>
      </c>
      <c r="M465" s="54" t="n">
        <f aca="false">H465*I465*J465</f>
        <v>545.26</v>
      </c>
      <c r="N465" s="54" t="n">
        <f aca="false">E465*I465*J465</f>
        <v>119.74</v>
      </c>
      <c r="O465" s="53" t="n">
        <f aca="false">G465*J465</f>
        <v>4</v>
      </c>
      <c r="P465" s="53" t="n">
        <f aca="false">F465*J465</f>
        <v>1</v>
      </c>
    </row>
    <row r="466" customFormat="false" ht="15" hidden="false" customHeight="false" outlineLevel="0" collapsed="false">
      <c r="A466" s="53" t="s">
        <v>89</v>
      </c>
      <c r="B466" s="53" t="s">
        <v>124</v>
      </c>
      <c r="C466" s="53" t="s">
        <v>371</v>
      </c>
      <c r="D466" s="53" t="s">
        <v>58</v>
      </c>
      <c r="E466" s="54" t="n">
        <v>113.59</v>
      </c>
      <c r="F466" s="53" t="n">
        <v>1</v>
      </c>
      <c r="G466" s="53" t="n">
        <v>2</v>
      </c>
      <c r="H466" s="54" t="n">
        <v>219.89</v>
      </c>
      <c r="I466" s="53" t="n">
        <f aca="false">IF(B466&gt;=Settings!$B$13,1,0)</f>
        <v>1</v>
      </c>
      <c r="J466" s="53" t="n">
        <v>1</v>
      </c>
      <c r="K466" s="53" t="n">
        <f aca="false">G466*I466*J466</f>
        <v>2</v>
      </c>
      <c r="L466" s="53" t="n">
        <f aca="false">F466*I466*J466</f>
        <v>1</v>
      </c>
      <c r="M466" s="54" t="n">
        <f aca="false">H466*I466*J466</f>
        <v>219.89</v>
      </c>
      <c r="N466" s="54" t="n">
        <f aca="false">E466*I466*J466</f>
        <v>113.59</v>
      </c>
      <c r="O466" s="53" t="n">
        <f aca="false">G466*J466</f>
        <v>2</v>
      </c>
      <c r="P466" s="53" t="n">
        <f aca="false">F466*J466</f>
        <v>1</v>
      </c>
    </row>
    <row r="467" customFormat="false" ht="15" hidden="false" customHeight="false" outlineLevel="0" collapsed="false">
      <c r="A467" s="53" t="s">
        <v>97</v>
      </c>
      <c r="B467" s="53" t="s">
        <v>124</v>
      </c>
      <c r="C467" s="53" t="s">
        <v>386</v>
      </c>
      <c r="D467" s="53" t="s">
        <v>54</v>
      </c>
      <c r="E467" s="54" t="n">
        <v>0</v>
      </c>
      <c r="F467" s="53" t="n">
        <v>0</v>
      </c>
      <c r="G467" s="53" t="n">
        <v>10</v>
      </c>
      <c r="H467" s="54" t="n">
        <v>752.25</v>
      </c>
      <c r="I467" s="53" t="n">
        <f aca="false">IF(B467&gt;=Settings!$B$13,1,0)</f>
        <v>1</v>
      </c>
      <c r="J467" s="53" t="n">
        <v>1</v>
      </c>
      <c r="K467" s="53" t="n">
        <f aca="false">G467*I467*J467</f>
        <v>10</v>
      </c>
      <c r="L467" s="53" t="n">
        <f aca="false">F467*I467*J467</f>
        <v>0</v>
      </c>
      <c r="M467" s="54" t="n">
        <f aca="false">H467*I467*J467</f>
        <v>752.25</v>
      </c>
      <c r="N467" s="54" t="n">
        <f aca="false">E467*I467*J467</f>
        <v>-0</v>
      </c>
      <c r="O467" s="53" t="n">
        <f aca="false">G467*J467</f>
        <v>10</v>
      </c>
      <c r="P467" s="53" t="n">
        <f aca="false">F467*J467</f>
        <v>0</v>
      </c>
    </row>
    <row r="468" customFormat="false" ht="15" hidden="false" customHeight="false" outlineLevel="0" collapsed="false">
      <c r="A468" s="53" t="s">
        <v>93</v>
      </c>
      <c r="B468" s="53" t="s">
        <v>124</v>
      </c>
      <c r="C468" s="53" t="s">
        <v>344</v>
      </c>
      <c r="D468" s="53" t="s">
        <v>50</v>
      </c>
      <c r="E468" s="54" t="n">
        <v>0</v>
      </c>
      <c r="F468" s="53" t="n">
        <v>0</v>
      </c>
      <c r="G468" s="53" t="n">
        <v>5</v>
      </c>
      <c r="H468" s="54" t="n">
        <v>577.03</v>
      </c>
      <c r="I468" s="53" t="n">
        <f aca="false">IF(B468&gt;=Settings!$B$13,1,0)</f>
        <v>1</v>
      </c>
      <c r="J468" s="53" t="n">
        <v>1</v>
      </c>
      <c r="K468" s="53" t="n">
        <f aca="false">G468*I468*J468</f>
        <v>5</v>
      </c>
      <c r="L468" s="53" t="n">
        <f aca="false">F468*I468*J468</f>
        <v>0</v>
      </c>
      <c r="M468" s="54" t="n">
        <f aca="false">H468*I468*J468</f>
        <v>577.03</v>
      </c>
      <c r="N468" s="54" t="n">
        <f aca="false">E468*I468*J468</f>
        <v>-0</v>
      </c>
      <c r="O468" s="53" t="n">
        <f aca="false">G468*J468</f>
        <v>5</v>
      </c>
      <c r="P468" s="53" t="n">
        <f aca="false">F468*J468</f>
        <v>0</v>
      </c>
    </row>
    <row r="469" customFormat="false" ht="15" hidden="false" customHeight="false" outlineLevel="0" collapsed="false">
      <c r="A469" s="53" t="s">
        <v>93</v>
      </c>
      <c r="B469" s="53" t="s">
        <v>124</v>
      </c>
      <c r="C469" s="53" t="s">
        <v>333</v>
      </c>
      <c r="D469" s="53" t="s">
        <v>54</v>
      </c>
      <c r="E469" s="54" t="n">
        <v>0</v>
      </c>
      <c r="F469" s="53" t="n">
        <v>0</v>
      </c>
      <c r="G469" s="53" t="n">
        <v>23</v>
      </c>
      <c r="H469" s="54" t="n">
        <v>1685.29</v>
      </c>
      <c r="I469" s="53" t="n">
        <f aca="false">IF(B469&gt;=Settings!$B$13,1,0)</f>
        <v>1</v>
      </c>
      <c r="J469" s="53" t="n">
        <v>1</v>
      </c>
      <c r="K469" s="53" t="n">
        <f aca="false">G469*I469*J469</f>
        <v>23</v>
      </c>
      <c r="L469" s="53" t="n">
        <f aca="false">F469*I469*J469</f>
        <v>0</v>
      </c>
      <c r="M469" s="54" t="n">
        <f aca="false">H469*I469*J469</f>
        <v>1685.29</v>
      </c>
      <c r="N469" s="54" t="n">
        <f aca="false">E469*I469*J469</f>
        <v>-0</v>
      </c>
      <c r="O469" s="53" t="n">
        <f aca="false">G469*J469</f>
        <v>23</v>
      </c>
      <c r="P469" s="53" t="n">
        <f aca="false">F469*J469</f>
        <v>0</v>
      </c>
    </row>
    <row r="470" customFormat="false" ht="15" hidden="false" customHeight="false" outlineLevel="0" collapsed="false">
      <c r="A470" s="53" t="s">
        <v>97</v>
      </c>
      <c r="B470" s="53" t="s">
        <v>124</v>
      </c>
      <c r="C470" s="53" t="s">
        <v>155</v>
      </c>
      <c r="D470" s="53" t="s">
        <v>50</v>
      </c>
      <c r="E470" s="54" t="n">
        <v>0</v>
      </c>
      <c r="F470" s="53" t="n">
        <v>0</v>
      </c>
      <c r="G470" s="53" t="n">
        <v>8</v>
      </c>
      <c r="H470" s="54" t="n">
        <v>481.45</v>
      </c>
      <c r="I470" s="53" t="n">
        <f aca="false">IF(B470&gt;=Settings!$B$13,1,0)</f>
        <v>1</v>
      </c>
      <c r="J470" s="53" t="n">
        <v>1</v>
      </c>
      <c r="K470" s="53" t="n">
        <f aca="false">G470*I470*J470</f>
        <v>8</v>
      </c>
      <c r="L470" s="53" t="n">
        <f aca="false">F470*I470*J470</f>
        <v>0</v>
      </c>
      <c r="M470" s="54" t="n">
        <f aca="false">H470*I470*J470</f>
        <v>481.45</v>
      </c>
      <c r="N470" s="54" t="n">
        <f aca="false">E470*I470*J470</f>
        <v>-0</v>
      </c>
      <c r="O470" s="53" t="n">
        <f aca="false">G470*J470</f>
        <v>8</v>
      </c>
      <c r="P470" s="53" t="n">
        <f aca="false">F470*J470</f>
        <v>0</v>
      </c>
    </row>
    <row r="471" customFormat="false" ht="15" hidden="false" customHeight="false" outlineLevel="0" collapsed="false">
      <c r="A471" s="53" t="s">
        <v>89</v>
      </c>
      <c r="B471" s="53" t="s">
        <v>124</v>
      </c>
      <c r="C471" s="53" t="s">
        <v>323</v>
      </c>
      <c r="D471" s="53" t="s">
        <v>62</v>
      </c>
      <c r="E471" s="54" t="n">
        <v>0</v>
      </c>
      <c r="F471" s="53" t="n">
        <v>0</v>
      </c>
      <c r="G471" s="53" t="n">
        <v>4</v>
      </c>
      <c r="H471" s="54" t="n">
        <v>481.61</v>
      </c>
      <c r="I471" s="53" t="n">
        <f aca="false">IF(B471&gt;=Settings!$B$13,1,0)</f>
        <v>1</v>
      </c>
      <c r="J471" s="53" t="n">
        <v>1</v>
      </c>
      <c r="K471" s="53" t="n">
        <f aca="false">G471*I471*J471</f>
        <v>4</v>
      </c>
      <c r="L471" s="53" t="n">
        <f aca="false">F471*I471*J471</f>
        <v>0</v>
      </c>
      <c r="M471" s="54" t="n">
        <f aca="false">H471*I471*J471</f>
        <v>481.61</v>
      </c>
      <c r="N471" s="54" t="n">
        <f aca="false">E471*I471*J471</f>
        <v>-0</v>
      </c>
      <c r="O471" s="53" t="n">
        <f aca="false">G471*J471</f>
        <v>4</v>
      </c>
      <c r="P471" s="53" t="n">
        <f aca="false">F471*J471</f>
        <v>0</v>
      </c>
    </row>
    <row r="472" customFormat="false" ht="15" hidden="false" customHeight="false" outlineLevel="0" collapsed="false">
      <c r="A472" s="53" t="s">
        <v>100</v>
      </c>
      <c r="B472" s="53" t="s">
        <v>124</v>
      </c>
      <c r="C472" s="53" t="s">
        <v>393</v>
      </c>
      <c r="D472" s="53" t="s">
        <v>54</v>
      </c>
      <c r="E472" s="54" t="n">
        <v>0</v>
      </c>
      <c r="F472" s="53" t="n">
        <v>0</v>
      </c>
      <c r="G472" s="53" t="n">
        <v>1</v>
      </c>
      <c r="H472" s="54" t="n">
        <v>68.14</v>
      </c>
      <c r="I472" s="53" t="n">
        <f aca="false">IF(B472&gt;=Settings!$B$13,1,0)</f>
        <v>1</v>
      </c>
      <c r="J472" s="53" t="n">
        <v>1</v>
      </c>
      <c r="K472" s="53" t="n">
        <f aca="false">G472*I472*J472</f>
        <v>1</v>
      </c>
      <c r="L472" s="53" t="n">
        <f aca="false">F472*I472*J472</f>
        <v>0</v>
      </c>
      <c r="M472" s="54" t="n">
        <f aca="false">H472*I472*J472</f>
        <v>68.14</v>
      </c>
      <c r="N472" s="54" t="n">
        <f aca="false">E472*I472*J472</f>
        <v>-0</v>
      </c>
      <c r="O472" s="53" t="n">
        <f aca="false">G472*J472</f>
        <v>1</v>
      </c>
      <c r="P472" s="53" t="n">
        <f aca="false">F472*J472</f>
        <v>0</v>
      </c>
    </row>
    <row r="473" customFormat="false" ht="15" hidden="false" customHeight="false" outlineLevel="0" collapsed="false">
      <c r="A473" s="53" t="s">
        <v>97</v>
      </c>
      <c r="B473" s="53" t="s">
        <v>124</v>
      </c>
      <c r="C473" s="53" t="s">
        <v>390</v>
      </c>
      <c r="D473" s="53" t="s">
        <v>54</v>
      </c>
      <c r="E473" s="54" t="n">
        <v>0</v>
      </c>
      <c r="F473" s="53" t="n">
        <v>0</v>
      </c>
      <c r="G473" s="53" t="n">
        <v>12</v>
      </c>
      <c r="H473" s="54" t="n">
        <v>1006.7</v>
      </c>
      <c r="I473" s="53" t="n">
        <f aca="false">IF(B473&gt;=Settings!$B$13,1,0)</f>
        <v>1</v>
      </c>
      <c r="J473" s="53" t="n">
        <v>1</v>
      </c>
      <c r="K473" s="53" t="n">
        <f aca="false">G473*I473*J473</f>
        <v>12</v>
      </c>
      <c r="L473" s="53" t="n">
        <f aca="false">F473*I473*J473</f>
        <v>0</v>
      </c>
      <c r="M473" s="54" t="n">
        <f aca="false">H473*I473*J473</f>
        <v>1006.7</v>
      </c>
      <c r="N473" s="54" t="n">
        <f aca="false">E473*I473*J473</f>
        <v>-0</v>
      </c>
      <c r="O473" s="53" t="n">
        <f aca="false">G473*J473</f>
        <v>12</v>
      </c>
      <c r="P473" s="53" t="n">
        <f aca="false">F473*J473</f>
        <v>0</v>
      </c>
    </row>
    <row r="474" customFormat="false" ht="15" hidden="false" customHeight="false" outlineLevel="0" collapsed="false">
      <c r="A474" s="53" t="s">
        <v>100</v>
      </c>
      <c r="B474" s="53" t="s">
        <v>124</v>
      </c>
      <c r="C474" s="53" t="s">
        <v>360</v>
      </c>
      <c r="D474" s="53" t="s">
        <v>54</v>
      </c>
      <c r="E474" s="54" t="n">
        <v>81.87</v>
      </c>
      <c r="F474" s="53" t="n">
        <v>1</v>
      </c>
      <c r="G474" s="53" t="n">
        <v>4</v>
      </c>
      <c r="H474" s="54" t="n">
        <v>359.81</v>
      </c>
      <c r="I474" s="53" t="n">
        <f aca="false">IF(B474&gt;=Settings!$B$13,1,0)</f>
        <v>1</v>
      </c>
      <c r="J474" s="53" t="n">
        <v>1</v>
      </c>
      <c r="K474" s="53" t="n">
        <f aca="false">G474*I474*J474</f>
        <v>4</v>
      </c>
      <c r="L474" s="53" t="n">
        <f aca="false">F474*I474*J474</f>
        <v>1</v>
      </c>
      <c r="M474" s="54" t="n">
        <f aca="false">H474*I474*J474</f>
        <v>359.81</v>
      </c>
      <c r="N474" s="54" t="n">
        <f aca="false">E474*I474*J474</f>
        <v>81.87</v>
      </c>
      <c r="O474" s="53" t="n">
        <f aca="false">G474*J474</f>
        <v>4</v>
      </c>
      <c r="P474" s="53" t="n">
        <f aca="false">F474*J474</f>
        <v>1</v>
      </c>
    </row>
    <row r="475" customFormat="false" ht="15" hidden="false" customHeight="false" outlineLevel="0" collapsed="false">
      <c r="A475" s="53" t="s">
        <v>93</v>
      </c>
      <c r="B475" s="53" t="s">
        <v>124</v>
      </c>
      <c r="C475" s="53" t="s">
        <v>154</v>
      </c>
      <c r="D475" s="53" t="s">
        <v>42</v>
      </c>
      <c r="E475" s="54" t="n">
        <v>155.83</v>
      </c>
      <c r="F475" s="53" t="n">
        <v>2</v>
      </c>
      <c r="G475" s="53" t="n">
        <v>74</v>
      </c>
      <c r="H475" s="54" t="n">
        <v>5719.22</v>
      </c>
      <c r="I475" s="53" t="n">
        <f aca="false">IF(B475&gt;=Settings!$B$13,1,0)</f>
        <v>1</v>
      </c>
      <c r="J475" s="53" t="n">
        <v>1</v>
      </c>
      <c r="K475" s="53" t="n">
        <f aca="false">G475*I475*J475</f>
        <v>74</v>
      </c>
      <c r="L475" s="53" t="n">
        <f aca="false">F475*I475*J475</f>
        <v>2</v>
      </c>
      <c r="M475" s="54" t="n">
        <f aca="false">H475*I475*J475</f>
        <v>5719.22</v>
      </c>
      <c r="N475" s="54" t="n">
        <f aca="false">E475*I475*J475</f>
        <v>155.83</v>
      </c>
      <c r="O475" s="53" t="n">
        <f aca="false">G475*J475</f>
        <v>74</v>
      </c>
      <c r="P475" s="53" t="n">
        <f aca="false">F475*J475</f>
        <v>2</v>
      </c>
    </row>
    <row r="476" customFormat="false" ht="15" hidden="false" customHeight="false" outlineLevel="0" collapsed="false">
      <c r="A476" s="53" t="s">
        <v>89</v>
      </c>
      <c r="B476" s="53" t="s">
        <v>124</v>
      </c>
      <c r="C476" s="53" t="s">
        <v>144</v>
      </c>
      <c r="D476" s="53" t="s">
        <v>58</v>
      </c>
      <c r="E476" s="54" t="n">
        <v>0</v>
      </c>
      <c r="F476" s="53" t="n">
        <v>0</v>
      </c>
      <c r="G476" s="53" t="n">
        <v>5</v>
      </c>
      <c r="H476" s="54" t="n">
        <v>622.47</v>
      </c>
      <c r="I476" s="53" t="n">
        <f aca="false">IF(B476&gt;=Settings!$B$13,1,0)</f>
        <v>1</v>
      </c>
      <c r="J476" s="53" t="n">
        <v>1</v>
      </c>
      <c r="K476" s="53" t="n">
        <f aca="false">G476*I476*J476</f>
        <v>5</v>
      </c>
      <c r="L476" s="53" t="n">
        <f aca="false">F476*I476*J476</f>
        <v>0</v>
      </c>
      <c r="M476" s="54" t="n">
        <f aca="false">H476*I476*J476</f>
        <v>622.47</v>
      </c>
      <c r="N476" s="54" t="n">
        <f aca="false">E476*I476*J476</f>
        <v>-0</v>
      </c>
      <c r="O476" s="53" t="n">
        <f aca="false">G476*J476</f>
        <v>5</v>
      </c>
      <c r="P476" s="53" t="n">
        <f aca="false">F476*J476</f>
        <v>0</v>
      </c>
    </row>
    <row r="477" customFormat="false" ht="15" hidden="false" customHeight="false" outlineLevel="0" collapsed="false">
      <c r="A477" s="53" t="s">
        <v>97</v>
      </c>
      <c r="B477" s="53" t="s">
        <v>124</v>
      </c>
      <c r="C477" s="53" t="s">
        <v>158</v>
      </c>
      <c r="D477" s="53" t="s">
        <v>42</v>
      </c>
      <c r="E477" s="54" t="n">
        <v>100.43</v>
      </c>
      <c r="F477" s="53" t="n">
        <v>1</v>
      </c>
      <c r="G477" s="53" t="n">
        <v>32</v>
      </c>
      <c r="H477" s="54" t="n">
        <v>3234.87</v>
      </c>
      <c r="I477" s="53" t="n">
        <f aca="false">IF(B477&gt;=Settings!$B$13,1,0)</f>
        <v>1</v>
      </c>
      <c r="J477" s="53" t="n">
        <v>1</v>
      </c>
      <c r="K477" s="53" t="n">
        <f aca="false">G477*I477*J477</f>
        <v>32</v>
      </c>
      <c r="L477" s="53" t="n">
        <f aca="false">F477*I477*J477</f>
        <v>1</v>
      </c>
      <c r="M477" s="54" t="n">
        <f aca="false">H477*I477*J477</f>
        <v>3234.87</v>
      </c>
      <c r="N477" s="54" t="n">
        <f aca="false">E477*I477*J477</f>
        <v>100.43</v>
      </c>
      <c r="O477" s="53" t="n">
        <f aca="false">G477*J477</f>
        <v>32</v>
      </c>
      <c r="P477" s="53" t="n">
        <f aca="false">F477*J477</f>
        <v>1</v>
      </c>
    </row>
    <row r="478" customFormat="false" ht="15" hidden="false" customHeight="false" outlineLevel="0" collapsed="false">
      <c r="A478" s="53" t="s">
        <v>93</v>
      </c>
      <c r="B478" s="53" t="s">
        <v>124</v>
      </c>
      <c r="C478" s="53" t="s">
        <v>156</v>
      </c>
      <c r="D478" s="53" t="s">
        <v>58</v>
      </c>
      <c r="E478" s="54" t="n">
        <v>0</v>
      </c>
      <c r="F478" s="53" t="n">
        <v>0</v>
      </c>
      <c r="G478" s="53" t="n">
        <v>3</v>
      </c>
      <c r="H478" s="54" t="n">
        <v>218.04</v>
      </c>
      <c r="I478" s="53" t="n">
        <f aca="false">IF(B478&gt;=Settings!$B$13,1,0)</f>
        <v>1</v>
      </c>
      <c r="J478" s="53" t="n">
        <v>1</v>
      </c>
      <c r="K478" s="53" t="n">
        <f aca="false">G478*I478*J478</f>
        <v>3</v>
      </c>
      <c r="L478" s="53" t="n">
        <f aca="false">F478*I478*J478</f>
        <v>0</v>
      </c>
      <c r="M478" s="54" t="n">
        <f aca="false">H478*I478*J478</f>
        <v>218.04</v>
      </c>
      <c r="N478" s="54" t="n">
        <f aca="false">E478*I478*J478</f>
        <v>-0</v>
      </c>
      <c r="O478" s="53" t="n">
        <f aca="false">G478*J478</f>
        <v>3</v>
      </c>
      <c r="P478" s="53" t="n">
        <f aca="false">F478*J478</f>
        <v>0</v>
      </c>
    </row>
    <row r="479" customFormat="false" ht="15" hidden="false" customHeight="false" outlineLevel="0" collapsed="false">
      <c r="A479" s="53" t="s">
        <v>93</v>
      </c>
      <c r="B479" s="53" t="s">
        <v>124</v>
      </c>
      <c r="C479" s="53" t="s">
        <v>158</v>
      </c>
      <c r="D479" s="53" t="s">
        <v>42</v>
      </c>
      <c r="E479" s="54" t="n">
        <v>310.78</v>
      </c>
      <c r="F479" s="53" t="n">
        <v>3</v>
      </c>
      <c r="G479" s="53" t="n">
        <v>56</v>
      </c>
      <c r="H479" s="54" t="n">
        <v>6042.77</v>
      </c>
      <c r="I479" s="53" t="n">
        <f aca="false">IF(B479&gt;=Settings!$B$13,1,0)</f>
        <v>1</v>
      </c>
      <c r="J479" s="53" t="n">
        <v>1</v>
      </c>
      <c r="K479" s="53" t="n">
        <f aca="false">G479*I479*J479</f>
        <v>56</v>
      </c>
      <c r="L479" s="53" t="n">
        <f aca="false">F479*I479*J479</f>
        <v>3</v>
      </c>
      <c r="M479" s="54" t="n">
        <f aca="false">H479*I479*J479</f>
        <v>6042.77</v>
      </c>
      <c r="N479" s="54" t="n">
        <f aca="false">E479*I479*J479</f>
        <v>310.78</v>
      </c>
      <c r="O479" s="53" t="n">
        <f aca="false">G479*J479</f>
        <v>56</v>
      </c>
      <c r="P479" s="53" t="n">
        <f aca="false">F479*J479</f>
        <v>3</v>
      </c>
    </row>
    <row r="480" customFormat="false" ht="15" hidden="false" customHeight="false" outlineLevel="0" collapsed="false">
      <c r="A480" s="53" t="s">
        <v>89</v>
      </c>
      <c r="B480" s="53" t="s">
        <v>124</v>
      </c>
      <c r="C480" s="53" t="s">
        <v>333</v>
      </c>
      <c r="D480" s="53" t="s">
        <v>54</v>
      </c>
      <c r="E480" s="54" t="n">
        <v>69.52</v>
      </c>
      <c r="F480" s="53" t="n">
        <v>1</v>
      </c>
      <c r="G480" s="53" t="n">
        <v>22</v>
      </c>
      <c r="H480" s="54" t="n">
        <v>1667.14</v>
      </c>
      <c r="I480" s="53" t="n">
        <f aca="false">IF(B480&gt;=Settings!$B$13,1,0)</f>
        <v>1</v>
      </c>
      <c r="J480" s="53" t="n">
        <v>1</v>
      </c>
      <c r="K480" s="53" t="n">
        <f aca="false">G480*I480*J480</f>
        <v>22</v>
      </c>
      <c r="L480" s="53" t="n">
        <f aca="false">F480*I480*J480</f>
        <v>1</v>
      </c>
      <c r="M480" s="54" t="n">
        <f aca="false">H480*I480*J480</f>
        <v>1667.14</v>
      </c>
      <c r="N480" s="54" t="n">
        <f aca="false">E480*I480*J480</f>
        <v>69.52</v>
      </c>
      <c r="O480" s="53" t="n">
        <f aca="false">G480*J480</f>
        <v>22</v>
      </c>
      <c r="P480" s="53" t="n">
        <f aca="false">F480*J480</f>
        <v>1</v>
      </c>
    </row>
    <row r="481" customFormat="false" ht="15" hidden="false" customHeight="false" outlineLevel="0" collapsed="false">
      <c r="A481" s="53" t="s">
        <v>89</v>
      </c>
      <c r="B481" s="53" t="s">
        <v>124</v>
      </c>
      <c r="C481" s="53" t="s">
        <v>332</v>
      </c>
      <c r="D481" s="53" t="s">
        <v>46</v>
      </c>
      <c r="E481" s="54" t="n">
        <v>697.63</v>
      </c>
      <c r="F481" s="53" t="n">
        <v>8</v>
      </c>
      <c r="G481" s="53" t="n">
        <v>104</v>
      </c>
      <c r="H481" s="54" t="n">
        <v>9890.64</v>
      </c>
      <c r="I481" s="53" t="n">
        <f aca="false">IF(B481&gt;=Settings!$B$13,1,0)</f>
        <v>1</v>
      </c>
      <c r="J481" s="53" t="n">
        <v>1</v>
      </c>
      <c r="K481" s="53" t="n">
        <f aca="false">G481*I481*J481</f>
        <v>104</v>
      </c>
      <c r="L481" s="53" t="n">
        <f aca="false">F481*I481*J481</f>
        <v>8</v>
      </c>
      <c r="M481" s="54" t="n">
        <f aca="false">H481*I481*J481</f>
        <v>9890.64</v>
      </c>
      <c r="N481" s="54" t="n">
        <f aca="false">E481*I481*J481</f>
        <v>697.63</v>
      </c>
      <c r="O481" s="53" t="n">
        <f aca="false">G481*J481</f>
        <v>104</v>
      </c>
      <c r="P481" s="53" t="n">
        <f aca="false">F481*J481</f>
        <v>8</v>
      </c>
    </row>
    <row r="482" customFormat="false" ht="15" hidden="false" customHeight="false" outlineLevel="0" collapsed="false">
      <c r="A482" s="53" t="s">
        <v>89</v>
      </c>
      <c r="B482" s="53" t="s">
        <v>124</v>
      </c>
      <c r="C482" s="53" t="s">
        <v>154</v>
      </c>
      <c r="D482" s="53" t="s">
        <v>42</v>
      </c>
      <c r="E482" s="54" t="n">
        <v>1110.28</v>
      </c>
      <c r="F482" s="53" t="n">
        <v>16</v>
      </c>
      <c r="G482" s="53" t="n">
        <v>371</v>
      </c>
      <c r="H482" s="54" t="n">
        <v>27982.38</v>
      </c>
      <c r="I482" s="53" t="n">
        <f aca="false">IF(B482&gt;=Settings!$B$13,1,0)</f>
        <v>1</v>
      </c>
      <c r="J482" s="53" t="n">
        <v>1</v>
      </c>
      <c r="K482" s="53" t="n">
        <f aca="false">G482*I482*J482</f>
        <v>371</v>
      </c>
      <c r="L482" s="53" t="n">
        <f aca="false">F482*I482*J482</f>
        <v>16</v>
      </c>
      <c r="M482" s="54" t="n">
        <f aca="false">H482*I482*J482</f>
        <v>27982.38</v>
      </c>
      <c r="N482" s="54" t="n">
        <f aca="false">E482*I482*J482</f>
        <v>1110.28</v>
      </c>
      <c r="O482" s="53" t="n">
        <f aca="false">G482*J482</f>
        <v>371</v>
      </c>
      <c r="P482" s="53" t="n">
        <f aca="false">F482*J482</f>
        <v>16</v>
      </c>
    </row>
    <row r="483" customFormat="false" ht="15" hidden="false" customHeight="false" outlineLevel="0" collapsed="false">
      <c r="A483" s="53" t="s">
        <v>97</v>
      </c>
      <c r="B483" s="53" t="s">
        <v>124</v>
      </c>
      <c r="C483" s="53" t="s">
        <v>162</v>
      </c>
      <c r="D483" s="53" t="s">
        <v>42</v>
      </c>
      <c r="E483" s="54" t="n">
        <v>0</v>
      </c>
      <c r="F483" s="53" t="n">
        <v>0</v>
      </c>
      <c r="G483" s="53" t="n">
        <v>22</v>
      </c>
      <c r="H483" s="54" t="n">
        <v>2517.08</v>
      </c>
      <c r="I483" s="53" t="n">
        <f aca="false">IF(B483&gt;=Settings!$B$13,1,0)</f>
        <v>1</v>
      </c>
      <c r="J483" s="53" t="n">
        <v>1</v>
      </c>
      <c r="K483" s="53" t="n">
        <f aca="false">G483*I483*J483</f>
        <v>22</v>
      </c>
      <c r="L483" s="53" t="n">
        <f aca="false">F483*I483*J483</f>
        <v>0</v>
      </c>
      <c r="M483" s="54" t="n">
        <f aca="false">H483*I483*J483</f>
        <v>2517.08</v>
      </c>
      <c r="N483" s="54" t="n">
        <f aca="false">E483*I483*J483</f>
        <v>-0</v>
      </c>
      <c r="O483" s="53" t="n">
        <f aca="false">G483*J483</f>
        <v>22</v>
      </c>
      <c r="P483" s="53" t="n">
        <f aca="false">F483*J483</f>
        <v>0</v>
      </c>
    </row>
    <row r="484" customFormat="false" ht="15" hidden="false" customHeight="false" outlineLevel="0" collapsed="false">
      <c r="A484" s="53" t="s">
        <v>97</v>
      </c>
      <c r="B484" s="53" t="s">
        <v>124</v>
      </c>
      <c r="C484" s="53" t="s">
        <v>347</v>
      </c>
      <c r="D484" s="53" t="s">
        <v>62</v>
      </c>
      <c r="E484" s="54" t="n">
        <v>0</v>
      </c>
      <c r="F484" s="53" t="n">
        <v>0</v>
      </c>
      <c r="G484" s="53" t="n">
        <v>3</v>
      </c>
      <c r="H484" s="54" t="n">
        <v>222.59</v>
      </c>
      <c r="I484" s="53" t="n">
        <f aca="false">IF(B484&gt;=Settings!$B$13,1,0)</f>
        <v>1</v>
      </c>
      <c r="J484" s="53" t="n">
        <v>1</v>
      </c>
      <c r="K484" s="53" t="n">
        <f aca="false">G484*I484*J484</f>
        <v>3</v>
      </c>
      <c r="L484" s="53" t="n">
        <f aca="false">F484*I484*J484</f>
        <v>0</v>
      </c>
      <c r="M484" s="54" t="n">
        <f aca="false">H484*I484*J484</f>
        <v>222.59</v>
      </c>
      <c r="N484" s="54" t="n">
        <f aca="false">E484*I484*J484</f>
        <v>-0</v>
      </c>
      <c r="O484" s="53" t="n">
        <f aca="false">G484*J484</f>
        <v>3</v>
      </c>
      <c r="P484" s="53" t="n">
        <f aca="false">F484*J484</f>
        <v>0</v>
      </c>
    </row>
    <row r="485" customFormat="false" ht="15" hidden="false" customHeight="false" outlineLevel="0" collapsed="false">
      <c r="A485" s="53" t="s">
        <v>97</v>
      </c>
      <c r="B485" s="53" t="s">
        <v>124</v>
      </c>
      <c r="C485" s="53" t="s">
        <v>317</v>
      </c>
      <c r="D485" s="53" t="s">
        <v>46</v>
      </c>
      <c r="E485" s="54" t="n">
        <v>81.77</v>
      </c>
      <c r="F485" s="53" t="n">
        <v>1</v>
      </c>
      <c r="G485" s="53" t="n">
        <v>26</v>
      </c>
      <c r="H485" s="54" t="n">
        <v>2658.72</v>
      </c>
      <c r="I485" s="53" t="n">
        <f aca="false">IF(B485&gt;=Settings!$B$13,1,0)</f>
        <v>1</v>
      </c>
      <c r="J485" s="53" t="n">
        <v>1</v>
      </c>
      <c r="K485" s="53" t="n">
        <f aca="false">G485*I485*J485</f>
        <v>26</v>
      </c>
      <c r="L485" s="53" t="n">
        <f aca="false">F485*I485*J485</f>
        <v>1</v>
      </c>
      <c r="M485" s="54" t="n">
        <f aca="false">H485*I485*J485</f>
        <v>2658.72</v>
      </c>
      <c r="N485" s="54" t="n">
        <f aca="false">E485*I485*J485</f>
        <v>81.77</v>
      </c>
      <c r="O485" s="53" t="n">
        <f aca="false">G485*J485</f>
        <v>26</v>
      </c>
      <c r="P485" s="53" t="n">
        <f aca="false">F485*J485</f>
        <v>1</v>
      </c>
    </row>
    <row r="486" customFormat="false" ht="15" hidden="false" customHeight="false" outlineLevel="0" collapsed="false">
      <c r="A486" s="53" t="s">
        <v>100</v>
      </c>
      <c r="B486" s="53" t="s">
        <v>124</v>
      </c>
      <c r="C486" s="53" t="s">
        <v>322</v>
      </c>
      <c r="D486" s="53" t="s">
        <v>54</v>
      </c>
      <c r="E486" s="54" t="n">
        <v>0</v>
      </c>
      <c r="F486" s="53" t="n">
        <v>0</v>
      </c>
      <c r="G486" s="53" t="n">
        <v>4</v>
      </c>
      <c r="H486" s="54" t="n">
        <v>243.46</v>
      </c>
      <c r="I486" s="53" t="n">
        <f aca="false">IF(B486&gt;=Settings!$B$13,1,0)</f>
        <v>1</v>
      </c>
      <c r="J486" s="53" t="n">
        <v>1</v>
      </c>
      <c r="K486" s="53" t="n">
        <f aca="false">G486*I486*J486</f>
        <v>4</v>
      </c>
      <c r="L486" s="53" t="n">
        <f aca="false">F486*I486*J486</f>
        <v>0</v>
      </c>
      <c r="M486" s="54" t="n">
        <f aca="false">H486*I486*J486</f>
        <v>243.46</v>
      </c>
      <c r="N486" s="54" t="n">
        <f aca="false">E486*I486*J486</f>
        <v>-0</v>
      </c>
      <c r="O486" s="53" t="n">
        <f aca="false">G486*J486</f>
        <v>4</v>
      </c>
      <c r="P486" s="53" t="n">
        <f aca="false">F486*J486</f>
        <v>0</v>
      </c>
    </row>
    <row r="487" customFormat="false" ht="15" hidden="false" customHeight="false" outlineLevel="0" collapsed="false">
      <c r="A487" s="53" t="s">
        <v>89</v>
      </c>
      <c r="B487" s="53" t="s">
        <v>124</v>
      </c>
      <c r="C487" s="53" t="s">
        <v>163</v>
      </c>
      <c r="D487" s="53" t="s">
        <v>50</v>
      </c>
      <c r="E487" s="54" t="n">
        <v>251.51</v>
      </c>
      <c r="F487" s="53" t="n">
        <v>2</v>
      </c>
      <c r="G487" s="53" t="n">
        <v>28</v>
      </c>
      <c r="H487" s="54" t="n">
        <v>3703.23</v>
      </c>
      <c r="I487" s="53" t="n">
        <f aca="false">IF(B487&gt;=Settings!$B$13,1,0)</f>
        <v>1</v>
      </c>
      <c r="J487" s="53" t="n">
        <v>1</v>
      </c>
      <c r="K487" s="53" t="n">
        <f aca="false">G487*I487*J487</f>
        <v>28</v>
      </c>
      <c r="L487" s="53" t="n">
        <f aca="false">F487*I487*J487</f>
        <v>2</v>
      </c>
      <c r="M487" s="54" t="n">
        <f aca="false">H487*I487*J487</f>
        <v>3703.23</v>
      </c>
      <c r="N487" s="54" t="n">
        <f aca="false">E487*I487*J487</f>
        <v>251.51</v>
      </c>
      <c r="O487" s="53" t="n">
        <f aca="false">G487*J487</f>
        <v>28</v>
      </c>
      <c r="P487" s="53" t="n">
        <f aca="false">F487*J487</f>
        <v>2</v>
      </c>
    </row>
    <row r="488" customFormat="false" ht="15" hidden="false" customHeight="false" outlineLevel="0" collapsed="false">
      <c r="A488" s="53" t="s">
        <v>89</v>
      </c>
      <c r="B488" s="53" t="s">
        <v>124</v>
      </c>
      <c r="C488" s="53" t="s">
        <v>360</v>
      </c>
      <c r="D488" s="53" t="s">
        <v>54</v>
      </c>
      <c r="E488" s="54" t="n">
        <v>151.74</v>
      </c>
      <c r="F488" s="53" t="n">
        <v>2</v>
      </c>
      <c r="G488" s="53" t="n">
        <v>32</v>
      </c>
      <c r="H488" s="54" t="n">
        <v>2802.99</v>
      </c>
      <c r="I488" s="53" t="n">
        <f aca="false">IF(B488&gt;=Settings!$B$13,1,0)</f>
        <v>1</v>
      </c>
      <c r="J488" s="53" t="n">
        <v>1</v>
      </c>
      <c r="K488" s="53" t="n">
        <f aca="false">G488*I488*J488</f>
        <v>32</v>
      </c>
      <c r="L488" s="53" t="n">
        <f aca="false">F488*I488*J488</f>
        <v>2</v>
      </c>
      <c r="M488" s="54" t="n">
        <f aca="false">H488*I488*J488</f>
        <v>2802.99</v>
      </c>
      <c r="N488" s="54" t="n">
        <f aca="false">E488*I488*J488</f>
        <v>151.74</v>
      </c>
      <c r="O488" s="53" t="n">
        <f aca="false">G488*J488</f>
        <v>32</v>
      </c>
      <c r="P488" s="53" t="n">
        <f aca="false">F488*J488</f>
        <v>2</v>
      </c>
    </row>
    <row r="489" customFormat="false" ht="15" hidden="false" customHeight="false" outlineLevel="0" collapsed="false">
      <c r="A489" s="53" t="s">
        <v>89</v>
      </c>
      <c r="B489" s="53" t="s">
        <v>124</v>
      </c>
      <c r="C489" s="53" t="s">
        <v>145</v>
      </c>
      <c r="D489" s="53" t="s">
        <v>62</v>
      </c>
      <c r="E489" s="54" t="n">
        <v>0</v>
      </c>
      <c r="F489" s="53" t="n">
        <v>0</v>
      </c>
      <c r="G489" s="53" t="n">
        <v>4</v>
      </c>
      <c r="H489" s="54" t="n">
        <v>531.63</v>
      </c>
      <c r="I489" s="53" t="n">
        <f aca="false">IF(B489&gt;=Settings!$B$13,1,0)</f>
        <v>1</v>
      </c>
      <c r="J489" s="53" t="n">
        <v>1</v>
      </c>
      <c r="K489" s="53" t="n">
        <f aca="false">G489*I489*J489</f>
        <v>4</v>
      </c>
      <c r="L489" s="53" t="n">
        <f aca="false">F489*I489*J489</f>
        <v>0</v>
      </c>
      <c r="M489" s="54" t="n">
        <f aca="false">H489*I489*J489</f>
        <v>531.63</v>
      </c>
      <c r="N489" s="54" t="n">
        <f aca="false">E489*I489*J489</f>
        <v>-0</v>
      </c>
      <c r="O489" s="53" t="n">
        <f aca="false">G489*J489</f>
        <v>4</v>
      </c>
      <c r="P489" s="53" t="n">
        <f aca="false">F489*J489</f>
        <v>0</v>
      </c>
    </row>
    <row r="490" customFormat="false" ht="15" hidden="false" customHeight="false" outlineLevel="0" collapsed="false">
      <c r="A490" s="53" t="s">
        <v>89</v>
      </c>
      <c r="B490" s="53" t="s">
        <v>124</v>
      </c>
      <c r="C490" s="53" t="s">
        <v>381</v>
      </c>
      <c r="D490" s="53" t="s">
        <v>66</v>
      </c>
      <c r="E490" s="54" t="n">
        <v>0</v>
      </c>
      <c r="F490" s="53" t="n">
        <v>0</v>
      </c>
      <c r="G490" s="53" t="n">
        <v>3</v>
      </c>
      <c r="H490" s="54" t="n">
        <v>532.98</v>
      </c>
      <c r="I490" s="53" t="n">
        <f aca="false">IF(B490&gt;=Settings!$B$13,1,0)</f>
        <v>1</v>
      </c>
      <c r="J490" s="53" t="n">
        <v>1</v>
      </c>
      <c r="K490" s="53" t="n">
        <f aca="false">G490*I490*J490</f>
        <v>3</v>
      </c>
      <c r="L490" s="53" t="n">
        <f aca="false">F490*I490*J490</f>
        <v>0</v>
      </c>
      <c r="M490" s="54" t="n">
        <f aca="false">H490*I490*J490</f>
        <v>532.98</v>
      </c>
      <c r="N490" s="54" t="n">
        <f aca="false">E490*I490*J490</f>
        <v>-0</v>
      </c>
      <c r="O490" s="53" t="n">
        <f aca="false">G490*J490</f>
        <v>3</v>
      </c>
      <c r="P490" s="53" t="n">
        <f aca="false">F490*J490</f>
        <v>0</v>
      </c>
    </row>
    <row r="491" customFormat="false" ht="15" hidden="false" customHeight="false" outlineLevel="0" collapsed="false">
      <c r="A491" s="53" t="s">
        <v>97</v>
      </c>
      <c r="B491" s="53" t="s">
        <v>124</v>
      </c>
      <c r="C491" s="53" t="s">
        <v>154</v>
      </c>
      <c r="D491" s="53" t="s">
        <v>42</v>
      </c>
      <c r="E491" s="54" t="n">
        <v>81.77</v>
      </c>
      <c r="F491" s="53" t="n">
        <v>1</v>
      </c>
      <c r="G491" s="53" t="n">
        <v>16</v>
      </c>
      <c r="H491" s="54" t="n">
        <v>1108.37</v>
      </c>
      <c r="I491" s="53" t="n">
        <f aca="false">IF(B491&gt;=Settings!$B$13,1,0)</f>
        <v>1</v>
      </c>
      <c r="J491" s="53" t="n">
        <v>1</v>
      </c>
      <c r="K491" s="53" t="n">
        <f aca="false">G491*I491*J491</f>
        <v>16</v>
      </c>
      <c r="L491" s="53" t="n">
        <f aca="false">F491*I491*J491</f>
        <v>1</v>
      </c>
      <c r="M491" s="54" t="n">
        <f aca="false">H491*I491*J491</f>
        <v>1108.37</v>
      </c>
      <c r="N491" s="54" t="n">
        <f aca="false">E491*I491*J491</f>
        <v>81.77</v>
      </c>
      <c r="O491" s="53" t="n">
        <f aca="false">G491*J491</f>
        <v>16</v>
      </c>
      <c r="P491" s="53" t="n">
        <f aca="false">F491*J491</f>
        <v>1</v>
      </c>
    </row>
    <row r="492" customFormat="false" ht="15" hidden="false" customHeight="false" outlineLevel="0" collapsed="false">
      <c r="A492" s="53" t="s">
        <v>97</v>
      </c>
      <c r="B492" s="53" t="s">
        <v>124</v>
      </c>
      <c r="C492" s="53" t="s">
        <v>141</v>
      </c>
      <c r="D492" s="53" t="s">
        <v>50</v>
      </c>
      <c r="E492" s="54" t="n">
        <v>243.34</v>
      </c>
      <c r="F492" s="53" t="n">
        <v>2</v>
      </c>
      <c r="G492" s="53" t="n">
        <v>6</v>
      </c>
      <c r="H492" s="54" t="n">
        <v>872.46</v>
      </c>
      <c r="I492" s="53" t="n">
        <f aca="false">IF(B492&gt;=Settings!$B$13,1,0)</f>
        <v>1</v>
      </c>
      <c r="J492" s="53" t="n">
        <v>1</v>
      </c>
      <c r="K492" s="53" t="n">
        <f aca="false">G492*I492*J492</f>
        <v>6</v>
      </c>
      <c r="L492" s="53" t="n">
        <f aca="false">F492*I492*J492</f>
        <v>2</v>
      </c>
      <c r="M492" s="54" t="n">
        <f aca="false">H492*I492*J492</f>
        <v>872.46</v>
      </c>
      <c r="N492" s="54" t="n">
        <f aca="false">E492*I492*J492</f>
        <v>243.34</v>
      </c>
      <c r="O492" s="53" t="n">
        <f aca="false">G492*J492</f>
        <v>6</v>
      </c>
      <c r="P492" s="53" t="n">
        <f aca="false">F492*J492</f>
        <v>2</v>
      </c>
    </row>
    <row r="493" customFormat="false" ht="15" hidden="false" customHeight="false" outlineLevel="0" collapsed="false">
      <c r="A493" s="53" t="s">
        <v>97</v>
      </c>
      <c r="B493" s="53" t="s">
        <v>124</v>
      </c>
      <c r="C493" s="53" t="s">
        <v>338</v>
      </c>
      <c r="D493" s="53" t="s">
        <v>50</v>
      </c>
      <c r="E493" s="54" t="n">
        <v>0</v>
      </c>
      <c r="F493" s="53" t="n">
        <v>0</v>
      </c>
      <c r="G493" s="53" t="n">
        <v>15</v>
      </c>
      <c r="H493" s="54" t="n">
        <v>1181.05</v>
      </c>
      <c r="I493" s="53" t="n">
        <f aca="false">IF(B493&gt;=Settings!$B$13,1,0)</f>
        <v>1</v>
      </c>
      <c r="J493" s="53" t="n">
        <v>1</v>
      </c>
      <c r="K493" s="53" t="n">
        <f aca="false">G493*I493*J493</f>
        <v>15</v>
      </c>
      <c r="L493" s="53" t="n">
        <f aca="false">F493*I493*J493</f>
        <v>0</v>
      </c>
      <c r="M493" s="54" t="n">
        <f aca="false">H493*I493*J493</f>
        <v>1181.05</v>
      </c>
      <c r="N493" s="54" t="n">
        <f aca="false">E493*I493*J493</f>
        <v>-0</v>
      </c>
      <c r="O493" s="53" t="n">
        <f aca="false">G493*J493</f>
        <v>15</v>
      </c>
      <c r="P493" s="53" t="n">
        <f aca="false">F493*J493</f>
        <v>0</v>
      </c>
    </row>
    <row r="494" customFormat="false" ht="15" hidden="false" customHeight="false" outlineLevel="0" collapsed="false">
      <c r="A494" s="53" t="s">
        <v>89</v>
      </c>
      <c r="B494" s="53" t="s">
        <v>124</v>
      </c>
      <c r="C494" s="53" t="s">
        <v>317</v>
      </c>
      <c r="D494" s="53" t="s">
        <v>46</v>
      </c>
      <c r="E494" s="54" t="n">
        <v>998.2</v>
      </c>
      <c r="F494" s="53" t="n">
        <v>10</v>
      </c>
      <c r="G494" s="53" t="n">
        <v>174</v>
      </c>
      <c r="H494" s="54" t="n">
        <v>18836.71</v>
      </c>
      <c r="I494" s="53" t="n">
        <f aca="false">IF(B494&gt;=Settings!$B$13,1,0)</f>
        <v>1</v>
      </c>
      <c r="J494" s="53" t="n">
        <v>1</v>
      </c>
      <c r="K494" s="53" t="n">
        <f aca="false">G494*I494*J494</f>
        <v>174</v>
      </c>
      <c r="L494" s="53" t="n">
        <f aca="false">F494*I494*J494</f>
        <v>10</v>
      </c>
      <c r="M494" s="54" t="n">
        <f aca="false">H494*I494*J494</f>
        <v>18836.71</v>
      </c>
      <c r="N494" s="54" t="n">
        <f aca="false">E494*I494*J494</f>
        <v>998.2</v>
      </c>
      <c r="O494" s="53" t="n">
        <f aca="false">G494*J494</f>
        <v>174</v>
      </c>
      <c r="P494" s="53" t="n">
        <f aca="false">F494*J494</f>
        <v>10</v>
      </c>
    </row>
    <row r="495" customFormat="false" ht="15" hidden="false" customHeight="false" outlineLevel="0" collapsed="false">
      <c r="A495" s="53" t="s">
        <v>89</v>
      </c>
      <c r="B495" s="53" t="s">
        <v>124</v>
      </c>
      <c r="C495" s="53" t="s">
        <v>330</v>
      </c>
      <c r="D495" s="53" t="s">
        <v>46</v>
      </c>
      <c r="E495" s="54" t="n">
        <v>900.38</v>
      </c>
      <c r="F495" s="53" t="n">
        <v>7</v>
      </c>
      <c r="G495" s="53" t="n">
        <v>70</v>
      </c>
      <c r="H495" s="54" t="n">
        <v>9428.49</v>
      </c>
      <c r="I495" s="53" t="n">
        <f aca="false">IF(B495&gt;=Settings!$B$13,1,0)</f>
        <v>1</v>
      </c>
      <c r="J495" s="53" t="n">
        <v>1</v>
      </c>
      <c r="K495" s="53" t="n">
        <f aca="false">G495*I495*J495</f>
        <v>70</v>
      </c>
      <c r="L495" s="53" t="n">
        <f aca="false">F495*I495*J495</f>
        <v>7</v>
      </c>
      <c r="M495" s="54" t="n">
        <f aca="false">H495*I495*J495</f>
        <v>9428.49</v>
      </c>
      <c r="N495" s="54" t="n">
        <f aca="false">E495*I495*J495</f>
        <v>900.38</v>
      </c>
      <c r="O495" s="53" t="n">
        <f aca="false">G495*J495</f>
        <v>70</v>
      </c>
      <c r="P495" s="53" t="n">
        <f aca="false">F495*J495</f>
        <v>7</v>
      </c>
    </row>
    <row r="496" customFormat="false" ht="15" hidden="false" customHeight="false" outlineLevel="0" collapsed="false">
      <c r="A496" s="53" t="s">
        <v>100</v>
      </c>
      <c r="B496" s="53" t="s">
        <v>124</v>
      </c>
      <c r="C496" s="53" t="s">
        <v>333</v>
      </c>
      <c r="D496" s="53" t="s">
        <v>54</v>
      </c>
      <c r="E496" s="54" t="n">
        <v>0</v>
      </c>
      <c r="F496" s="53" t="n">
        <v>0</v>
      </c>
      <c r="G496" s="53" t="n">
        <v>4</v>
      </c>
      <c r="H496" s="54" t="n">
        <v>293.27</v>
      </c>
      <c r="I496" s="53" t="n">
        <f aca="false">IF(B496&gt;=Settings!$B$13,1,0)</f>
        <v>1</v>
      </c>
      <c r="J496" s="53" t="n">
        <v>1</v>
      </c>
      <c r="K496" s="53" t="n">
        <f aca="false">G496*I496*J496</f>
        <v>4</v>
      </c>
      <c r="L496" s="53" t="n">
        <f aca="false">F496*I496*J496</f>
        <v>0</v>
      </c>
      <c r="M496" s="54" t="n">
        <f aca="false">H496*I496*J496</f>
        <v>293.27</v>
      </c>
      <c r="N496" s="54" t="n">
        <f aca="false">E496*I496*J496</f>
        <v>-0</v>
      </c>
      <c r="O496" s="53" t="n">
        <f aca="false">G496*J496</f>
        <v>4</v>
      </c>
      <c r="P496" s="53" t="n">
        <f aca="false">F496*J496</f>
        <v>0</v>
      </c>
    </row>
    <row r="497" customFormat="false" ht="15" hidden="false" customHeight="false" outlineLevel="0" collapsed="false">
      <c r="A497" s="53" t="s">
        <v>97</v>
      </c>
      <c r="B497" s="53" t="s">
        <v>124</v>
      </c>
      <c r="C497" s="53" t="s">
        <v>373</v>
      </c>
      <c r="D497" s="53" t="s">
        <v>42</v>
      </c>
      <c r="E497" s="54" t="n">
        <v>284.88</v>
      </c>
      <c r="F497" s="53" t="n">
        <v>2</v>
      </c>
      <c r="G497" s="53" t="n">
        <v>17</v>
      </c>
      <c r="H497" s="54" t="n">
        <v>2922.32</v>
      </c>
      <c r="I497" s="53" t="n">
        <f aca="false">IF(B497&gt;=Settings!$B$13,1,0)</f>
        <v>1</v>
      </c>
      <c r="J497" s="53" t="n">
        <v>1</v>
      </c>
      <c r="K497" s="53" t="n">
        <f aca="false">G497*I497*J497</f>
        <v>17</v>
      </c>
      <c r="L497" s="53" t="n">
        <f aca="false">F497*I497*J497</f>
        <v>2</v>
      </c>
      <c r="M497" s="54" t="n">
        <f aca="false">H497*I497*J497</f>
        <v>2922.32</v>
      </c>
      <c r="N497" s="54" t="n">
        <f aca="false">E497*I497*J497</f>
        <v>284.88</v>
      </c>
      <c r="O497" s="53" t="n">
        <f aca="false">G497*J497</f>
        <v>17</v>
      </c>
      <c r="P497" s="53" t="n">
        <f aca="false">F497*J497</f>
        <v>2</v>
      </c>
    </row>
    <row r="498" customFormat="false" ht="15" hidden="false" customHeight="false" outlineLevel="0" collapsed="false">
      <c r="A498" s="53" t="s">
        <v>89</v>
      </c>
      <c r="B498" s="53" t="s">
        <v>124</v>
      </c>
      <c r="C498" s="53" t="s">
        <v>344</v>
      </c>
      <c r="D498" s="53" t="s">
        <v>50</v>
      </c>
      <c r="E498" s="54" t="n">
        <v>0</v>
      </c>
      <c r="F498" s="53" t="n">
        <v>0</v>
      </c>
      <c r="G498" s="53" t="n">
        <v>4</v>
      </c>
      <c r="H498" s="54" t="n">
        <v>472.54</v>
      </c>
      <c r="I498" s="53" t="n">
        <f aca="false">IF(B498&gt;=Settings!$B$13,1,0)</f>
        <v>1</v>
      </c>
      <c r="J498" s="53" t="n">
        <v>1</v>
      </c>
      <c r="K498" s="53" t="n">
        <f aca="false">G498*I498*J498</f>
        <v>4</v>
      </c>
      <c r="L498" s="53" t="n">
        <f aca="false">F498*I498*J498</f>
        <v>0</v>
      </c>
      <c r="M498" s="54" t="n">
        <f aca="false">H498*I498*J498</f>
        <v>472.54</v>
      </c>
      <c r="N498" s="54" t="n">
        <f aca="false">E498*I498*J498</f>
        <v>-0</v>
      </c>
      <c r="O498" s="53" t="n">
        <f aca="false">G498*J498</f>
        <v>4</v>
      </c>
      <c r="P498" s="53" t="n">
        <f aca="false">F498*J498</f>
        <v>0</v>
      </c>
    </row>
    <row r="499" customFormat="false" ht="15" hidden="false" customHeight="false" outlineLevel="0" collapsed="false">
      <c r="A499" s="53" t="s">
        <v>97</v>
      </c>
      <c r="B499" s="53" t="s">
        <v>124</v>
      </c>
      <c r="C499" s="53" t="s">
        <v>369</v>
      </c>
      <c r="D499" s="53" t="s">
        <v>54</v>
      </c>
      <c r="E499" s="54" t="n">
        <v>118.24</v>
      </c>
      <c r="F499" s="53" t="n">
        <v>2</v>
      </c>
      <c r="G499" s="53" t="n">
        <v>28</v>
      </c>
      <c r="H499" s="54" t="n">
        <v>1631.36</v>
      </c>
      <c r="I499" s="53" t="n">
        <f aca="false">IF(B499&gt;=Settings!$B$13,1,0)</f>
        <v>1</v>
      </c>
      <c r="J499" s="53" t="n">
        <v>1</v>
      </c>
      <c r="K499" s="53" t="n">
        <f aca="false">G499*I499*J499</f>
        <v>28</v>
      </c>
      <c r="L499" s="53" t="n">
        <f aca="false">F499*I499*J499</f>
        <v>2</v>
      </c>
      <c r="M499" s="54" t="n">
        <f aca="false">H499*I499*J499</f>
        <v>1631.36</v>
      </c>
      <c r="N499" s="54" t="n">
        <f aca="false">E499*I499*J499</f>
        <v>118.24</v>
      </c>
      <c r="O499" s="53" t="n">
        <f aca="false">G499*J499</f>
        <v>28</v>
      </c>
      <c r="P499" s="53" t="n">
        <f aca="false">F499*J499</f>
        <v>2</v>
      </c>
    </row>
    <row r="500" customFormat="false" ht="15" hidden="false" customHeight="false" outlineLevel="0" collapsed="false">
      <c r="A500" s="53" t="s">
        <v>89</v>
      </c>
      <c r="B500" s="53" t="s">
        <v>124</v>
      </c>
      <c r="C500" s="53" t="s">
        <v>165</v>
      </c>
      <c r="D500" s="53" t="s">
        <v>42</v>
      </c>
      <c r="E500" s="54" t="n">
        <v>2516.92</v>
      </c>
      <c r="F500" s="53" t="n">
        <v>22</v>
      </c>
      <c r="G500" s="53" t="n">
        <v>368</v>
      </c>
      <c r="H500" s="54" t="n">
        <v>46423.66</v>
      </c>
      <c r="I500" s="53" t="n">
        <f aca="false">IF(B500&gt;=Settings!$B$13,1,0)</f>
        <v>1</v>
      </c>
      <c r="J500" s="53" t="n">
        <v>1</v>
      </c>
      <c r="K500" s="53" t="n">
        <f aca="false">G500*I500*J500</f>
        <v>368</v>
      </c>
      <c r="L500" s="53" t="n">
        <f aca="false">F500*I500*J500</f>
        <v>22</v>
      </c>
      <c r="M500" s="54" t="n">
        <f aca="false">H500*I500*J500</f>
        <v>46423.66</v>
      </c>
      <c r="N500" s="54" t="n">
        <f aca="false">E500*I500*J500</f>
        <v>2516.92</v>
      </c>
      <c r="O500" s="53" t="n">
        <f aca="false">G500*J500</f>
        <v>368</v>
      </c>
      <c r="P500" s="53" t="n">
        <f aca="false">F500*J500</f>
        <v>22</v>
      </c>
    </row>
    <row r="501" customFormat="false" ht="15" hidden="false" customHeight="false" outlineLevel="0" collapsed="false">
      <c r="A501" s="53" t="s">
        <v>89</v>
      </c>
      <c r="B501" s="53" t="s">
        <v>124</v>
      </c>
      <c r="C501" s="53" t="s">
        <v>155</v>
      </c>
      <c r="D501" s="53" t="s">
        <v>50</v>
      </c>
      <c r="E501" s="54" t="n">
        <v>692.53</v>
      </c>
      <c r="F501" s="53" t="n">
        <v>11</v>
      </c>
      <c r="G501" s="53" t="n">
        <v>243</v>
      </c>
      <c r="H501" s="54" t="n">
        <v>17920.36</v>
      </c>
      <c r="I501" s="53" t="n">
        <f aca="false">IF(B501&gt;=Settings!$B$13,1,0)</f>
        <v>1</v>
      </c>
      <c r="J501" s="53" t="n">
        <v>1</v>
      </c>
      <c r="K501" s="53" t="n">
        <f aca="false">G501*I501*J501</f>
        <v>243</v>
      </c>
      <c r="L501" s="53" t="n">
        <f aca="false">F501*I501*J501</f>
        <v>11</v>
      </c>
      <c r="M501" s="54" t="n">
        <f aca="false">H501*I501*J501</f>
        <v>17920.36</v>
      </c>
      <c r="N501" s="54" t="n">
        <f aca="false">E501*I501*J501</f>
        <v>692.53</v>
      </c>
      <c r="O501" s="53" t="n">
        <f aca="false">G501*J501</f>
        <v>243</v>
      </c>
      <c r="P501" s="53" t="n">
        <f aca="false">F501*J501</f>
        <v>11</v>
      </c>
    </row>
    <row r="502" customFormat="false" ht="15" hidden="false" customHeight="false" outlineLevel="0" collapsed="false">
      <c r="A502" s="53" t="s">
        <v>93</v>
      </c>
      <c r="B502" s="53" t="s">
        <v>124</v>
      </c>
      <c r="C502" s="53" t="s">
        <v>357</v>
      </c>
      <c r="D502" s="53" t="s">
        <v>54</v>
      </c>
      <c r="E502" s="54" t="n">
        <v>156.51</v>
      </c>
      <c r="F502" s="53" t="n">
        <v>2</v>
      </c>
      <c r="G502" s="53" t="n">
        <v>32</v>
      </c>
      <c r="H502" s="54" t="n">
        <v>2675.73</v>
      </c>
      <c r="I502" s="53" t="n">
        <f aca="false">IF(B502&gt;=Settings!$B$13,1,0)</f>
        <v>1</v>
      </c>
      <c r="J502" s="53" t="n">
        <v>1</v>
      </c>
      <c r="K502" s="53" t="n">
        <f aca="false">G502*I502*J502</f>
        <v>32</v>
      </c>
      <c r="L502" s="53" t="n">
        <f aca="false">F502*I502*J502</f>
        <v>2</v>
      </c>
      <c r="M502" s="54" t="n">
        <f aca="false">H502*I502*J502</f>
        <v>2675.73</v>
      </c>
      <c r="N502" s="54" t="n">
        <f aca="false">E502*I502*J502</f>
        <v>156.51</v>
      </c>
      <c r="O502" s="53" t="n">
        <f aca="false">G502*J502</f>
        <v>32</v>
      </c>
      <c r="P502" s="53" t="n">
        <f aca="false">F502*J502</f>
        <v>2</v>
      </c>
    </row>
    <row r="503" customFormat="false" ht="15" hidden="false" customHeight="false" outlineLevel="0" collapsed="false">
      <c r="A503" s="53" t="s">
        <v>89</v>
      </c>
      <c r="B503" s="53" t="s">
        <v>124</v>
      </c>
      <c r="C503" s="53" t="s">
        <v>374</v>
      </c>
      <c r="D503" s="53" t="s">
        <v>66</v>
      </c>
      <c r="E503" s="54" t="n">
        <v>0</v>
      </c>
      <c r="F503" s="53" t="n">
        <v>0</v>
      </c>
      <c r="G503" s="53" t="n">
        <v>4</v>
      </c>
      <c r="H503" s="54" t="n">
        <v>429.8</v>
      </c>
      <c r="I503" s="53" t="n">
        <f aca="false">IF(B503&gt;=Settings!$B$13,1,0)</f>
        <v>1</v>
      </c>
      <c r="J503" s="53" t="n">
        <v>1</v>
      </c>
      <c r="K503" s="53" t="n">
        <f aca="false">G503*I503*J503</f>
        <v>4</v>
      </c>
      <c r="L503" s="53" t="n">
        <f aca="false">F503*I503*J503</f>
        <v>0</v>
      </c>
      <c r="M503" s="54" t="n">
        <f aca="false">H503*I503*J503</f>
        <v>429.8</v>
      </c>
      <c r="N503" s="54" t="n">
        <f aca="false">E503*I503*J503</f>
        <v>-0</v>
      </c>
      <c r="O503" s="53" t="n">
        <f aca="false">G503*J503</f>
        <v>4</v>
      </c>
      <c r="P503" s="53" t="n">
        <f aca="false">F503*J503</f>
        <v>0</v>
      </c>
    </row>
    <row r="504" customFormat="false" ht="15" hidden="false" customHeight="false" outlineLevel="0" collapsed="false">
      <c r="A504" s="53" t="s">
        <v>97</v>
      </c>
      <c r="B504" s="53" t="s">
        <v>124</v>
      </c>
      <c r="C504" s="53" t="s">
        <v>387</v>
      </c>
      <c r="D504" s="53" t="s">
        <v>58</v>
      </c>
      <c r="E504" s="54" t="n">
        <v>0</v>
      </c>
      <c r="F504" s="53" t="n">
        <v>0</v>
      </c>
      <c r="G504" s="53" t="n">
        <v>5</v>
      </c>
      <c r="H504" s="54" t="n">
        <v>404.29</v>
      </c>
      <c r="I504" s="53" t="n">
        <f aca="false">IF(B504&gt;=Settings!$B$13,1,0)</f>
        <v>1</v>
      </c>
      <c r="J504" s="53" t="n">
        <v>1</v>
      </c>
      <c r="K504" s="53" t="n">
        <f aca="false">G504*I504*J504</f>
        <v>5</v>
      </c>
      <c r="L504" s="53" t="n">
        <f aca="false">F504*I504*J504</f>
        <v>0</v>
      </c>
      <c r="M504" s="54" t="n">
        <f aca="false">H504*I504*J504</f>
        <v>404.29</v>
      </c>
      <c r="N504" s="54" t="n">
        <f aca="false">E504*I504*J504</f>
        <v>-0</v>
      </c>
      <c r="O504" s="53" t="n">
        <f aca="false">G504*J504</f>
        <v>5</v>
      </c>
      <c r="P504" s="53" t="n">
        <f aca="false">F504*J504</f>
        <v>0</v>
      </c>
    </row>
    <row r="505" customFormat="false" ht="15" hidden="false" customHeight="false" outlineLevel="0" collapsed="false">
      <c r="A505" s="53" t="s">
        <v>89</v>
      </c>
      <c r="B505" s="53" t="s">
        <v>124</v>
      </c>
      <c r="C505" s="53" t="s">
        <v>357</v>
      </c>
      <c r="D505" s="53" t="s">
        <v>54</v>
      </c>
      <c r="E505" s="54" t="n">
        <v>0</v>
      </c>
      <c r="F505" s="53" t="n">
        <v>0</v>
      </c>
      <c r="G505" s="53" t="n">
        <v>16</v>
      </c>
      <c r="H505" s="54" t="n">
        <v>1362.86</v>
      </c>
      <c r="I505" s="53" t="n">
        <f aca="false">IF(B505&gt;=Settings!$B$13,1,0)</f>
        <v>1</v>
      </c>
      <c r="J505" s="53" t="n">
        <v>1</v>
      </c>
      <c r="K505" s="53" t="n">
        <f aca="false">G505*I505*J505</f>
        <v>16</v>
      </c>
      <c r="L505" s="53" t="n">
        <f aca="false">F505*I505*J505</f>
        <v>0</v>
      </c>
      <c r="M505" s="54" t="n">
        <f aca="false">H505*I505*J505</f>
        <v>1362.86</v>
      </c>
      <c r="N505" s="54" t="n">
        <f aca="false">E505*I505*J505</f>
        <v>-0</v>
      </c>
      <c r="O505" s="53" t="n">
        <f aca="false">G505*J505</f>
        <v>16</v>
      </c>
      <c r="P505" s="53" t="n">
        <f aca="false">F505*J505</f>
        <v>0</v>
      </c>
    </row>
    <row r="506" customFormat="false" ht="15" hidden="false" customHeight="false" outlineLevel="0" collapsed="false">
      <c r="A506" s="53" t="s">
        <v>100</v>
      </c>
      <c r="B506" s="53" t="s">
        <v>124</v>
      </c>
      <c r="C506" s="53" t="s">
        <v>392</v>
      </c>
      <c r="D506" s="53" t="s">
        <v>54</v>
      </c>
      <c r="E506" s="54" t="n">
        <v>81.77</v>
      </c>
      <c r="F506" s="53" t="n">
        <v>1</v>
      </c>
      <c r="G506" s="53" t="n">
        <v>7</v>
      </c>
      <c r="H506" s="54" t="n">
        <v>740.55</v>
      </c>
      <c r="I506" s="53" t="n">
        <f aca="false">IF(B506&gt;=Settings!$B$13,1,0)</f>
        <v>1</v>
      </c>
      <c r="J506" s="53" t="n">
        <v>1</v>
      </c>
      <c r="K506" s="53" t="n">
        <f aca="false">G506*I506*J506</f>
        <v>7</v>
      </c>
      <c r="L506" s="53" t="n">
        <f aca="false">F506*I506*J506</f>
        <v>1</v>
      </c>
      <c r="M506" s="54" t="n">
        <f aca="false">H506*I506*J506</f>
        <v>740.55</v>
      </c>
      <c r="N506" s="54" t="n">
        <f aca="false">E506*I506*J506</f>
        <v>81.77</v>
      </c>
      <c r="O506" s="53" t="n">
        <f aca="false">G506*J506</f>
        <v>7</v>
      </c>
      <c r="P506" s="53" t="n">
        <f aca="false">F506*J506</f>
        <v>1</v>
      </c>
    </row>
    <row r="507" customFormat="false" ht="15" hidden="false" customHeight="false" outlineLevel="0" collapsed="false">
      <c r="A507" s="53" t="s">
        <v>93</v>
      </c>
      <c r="B507" s="53" t="s">
        <v>124</v>
      </c>
      <c r="C507" s="53" t="s">
        <v>323</v>
      </c>
      <c r="D507" s="53" t="s">
        <v>62</v>
      </c>
      <c r="E507" s="54" t="n">
        <v>0</v>
      </c>
      <c r="F507" s="53" t="n">
        <v>0</v>
      </c>
      <c r="G507" s="53" t="n">
        <v>4</v>
      </c>
      <c r="H507" s="54" t="n">
        <v>463.44</v>
      </c>
      <c r="I507" s="53" t="n">
        <f aca="false">IF(B507&gt;=Settings!$B$13,1,0)</f>
        <v>1</v>
      </c>
      <c r="J507" s="53" t="n">
        <v>1</v>
      </c>
      <c r="K507" s="53" t="n">
        <f aca="false">G507*I507*J507</f>
        <v>4</v>
      </c>
      <c r="L507" s="53" t="n">
        <f aca="false">F507*I507*J507</f>
        <v>0</v>
      </c>
      <c r="M507" s="54" t="n">
        <f aca="false">H507*I507*J507</f>
        <v>463.44</v>
      </c>
      <c r="N507" s="54" t="n">
        <f aca="false">E507*I507*J507</f>
        <v>-0</v>
      </c>
      <c r="O507" s="53" t="n">
        <f aca="false">G507*J507</f>
        <v>4</v>
      </c>
      <c r="P507" s="53" t="n">
        <f aca="false">F507*J507</f>
        <v>0</v>
      </c>
    </row>
    <row r="508" customFormat="false" ht="15" hidden="false" customHeight="false" outlineLevel="0" collapsed="false">
      <c r="A508" s="53" t="s">
        <v>93</v>
      </c>
      <c r="B508" s="53" t="s">
        <v>124</v>
      </c>
      <c r="C508" s="53" t="s">
        <v>144</v>
      </c>
      <c r="D508" s="53" t="s">
        <v>58</v>
      </c>
      <c r="E508" s="54" t="n">
        <v>0</v>
      </c>
      <c r="F508" s="53" t="n">
        <v>0</v>
      </c>
      <c r="G508" s="53" t="n">
        <v>2</v>
      </c>
      <c r="H508" s="54" t="n">
        <v>227.17</v>
      </c>
      <c r="I508" s="53" t="n">
        <f aca="false">IF(B508&gt;=Settings!$B$13,1,0)</f>
        <v>1</v>
      </c>
      <c r="J508" s="53" t="n">
        <v>1</v>
      </c>
      <c r="K508" s="53" t="n">
        <f aca="false">G508*I508*J508</f>
        <v>2</v>
      </c>
      <c r="L508" s="53" t="n">
        <f aca="false">F508*I508*J508</f>
        <v>0</v>
      </c>
      <c r="M508" s="54" t="n">
        <f aca="false">H508*I508*J508</f>
        <v>227.17</v>
      </c>
      <c r="N508" s="54" t="n">
        <f aca="false">E508*I508*J508</f>
        <v>-0</v>
      </c>
      <c r="O508" s="53" t="n">
        <f aca="false">G508*J508</f>
        <v>2</v>
      </c>
      <c r="P508" s="53" t="n">
        <f aca="false">F508*J508</f>
        <v>0</v>
      </c>
    </row>
    <row r="509" customFormat="false" ht="15" hidden="false" customHeight="false" outlineLevel="0" collapsed="false">
      <c r="A509" s="53" t="s">
        <v>89</v>
      </c>
      <c r="B509" s="53" t="s">
        <v>124</v>
      </c>
      <c r="C509" s="53" t="s">
        <v>322</v>
      </c>
      <c r="D509" s="53" t="s">
        <v>54</v>
      </c>
      <c r="E509" s="54" t="n">
        <v>65.65</v>
      </c>
      <c r="F509" s="53" t="n">
        <v>1</v>
      </c>
      <c r="G509" s="53" t="n">
        <v>29</v>
      </c>
      <c r="H509" s="54" t="n">
        <v>2180.48</v>
      </c>
      <c r="I509" s="53" t="n">
        <f aca="false">IF(B509&gt;=Settings!$B$13,1,0)</f>
        <v>1</v>
      </c>
      <c r="J509" s="53" t="n">
        <v>1</v>
      </c>
      <c r="K509" s="53" t="n">
        <f aca="false">G509*I509*J509</f>
        <v>29</v>
      </c>
      <c r="L509" s="53" t="n">
        <f aca="false">F509*I509*J509</f>
        <v>1</v>
      </c>
      <c r="M509" s="54" t="n">
        <f aca="false">H509*I509*J509</f>
        <v>2180.48</v>
      </c>
      <c r="N509" s="54" t="n">
        <f aca="false">E509*I509*J509</f>
        <v>65.65</v>
      </c>
      <c r="O509" s="53" t="n">
        <f aca="false">G509*J509</f>
        <v>29</v>
      </c>
      <c r="P509" s="53" t="n">
        <f aca="false">F509*J509</f>
        <v>1</v>
      </c>
    </row>
    <row r="510" customFormat="false" ht="15" hidden="false" customHeight="false" outlineLevel="0" collapsed="false">
      <c r="A510" s="53" t="s">
        <v>93</v>
      </c>
      <c r="B510" s="53" t="s">
        <v>124</v>
      </c>
      <c r="C510" s="53" t="s">
        <v>165</v>
      </c>
      <c r="D510" s="53" t="s">
        <v>42</v>
      </c>
      <c r="E510" s="54" t="n">
        <v>0</v>
      </c>
      <c r="F510" s="53" t="n">
        <v>0</v>
      </c>
      <c r="G510" s="53" t="n">
        <v>92</v>
      </c>
      <c r="H510" s="54" t="n">
        <v>11595.73</v>
      </c>
      <c r="I510" s="53" t="n">
        <f aca="false">IF(B510&gt;=Settings!$B$13,1,0)</f>
        <v>1</v>
      </c>
      <c r="J510" s="53" t="n">
        <v>1</v>
      </c>
      <c r="K510" s="53" t="n">
        <f aca="false">G510*I510*J510</f>
        <v>92</v>
      </c>
      <c r="L510" s="53" t="n">
        <f aca="false">F510*I510*J510</f>
        <v>0</v>
      </c>
      <c r="M510" s="54" t="n">
        <f aca="false">H510*I510*J510</f>
        <v>11595.73</v>
      </c>
      <c r="N510" s="54" t="n">
        <f aca="false">E510*I510*J510</f>
        <v>-0</v>
      </c>
      <c r="O510" s="53" t="n">
        <f aca="false">G510*J510</f>
        <v>92</v>
      </c>
      <c r="P510" s="53" t="n">
        <f aca="false">F510*J510</f>
        <v>0</v>
      </c>
    </row>
    <row r="511" customFormat="false" ht="15" hidden="false" customHeight="false" outlineLevel="0" collapsed="false">
      <c r="A511" s="53" t="s">
        <v>97</v>
      </c>
      <c r="B511" s="53" t="s">
        <v>124</v>
      </c>
      <c r="C511" s="53" t="s">
        <v>146</v>
      </c>
      <c r="D511" s="53" t="s">
        <v>58</v>
      </c>
      <c r="E511" s="54" t="n">
        <v>105.42</v>
      </c>
      <c r="F511" s="53" t="n">
        <v>1</v>
      </c>
      <c r="G511" s="53" t="n">
        <v>6</v>
      </c>
      <c r="H511" s="54" t="n">
        <v>795.18</v>
      </c>
      <c r="I511" s="53" t="n">
        <f aca="false">IF(B511&gt;=Settings!$B$13,1,0)</f>
        <v>1</v>
      </c>
      <c r="J511" s="53" t="n">
        <v>1</v>
      </c>
      <c r="K511" s="53" t="n">
        <f aca="false">G511*I511*J511</f>
        <v>6</v>
      </c>
      <c r="L511" s="53" t="n">
        <f aca="false">F511*I511*J511</f>
        <v>1</v>
      </c>
      <c r="M511" s="54" t="n">
        <f aca="false">H511*I511*J511</f>
        <v>795.18</v>
      </c>
      <c r="N511" s="54" t="n">
        <f aca="false">E511*I511*J511</f>
        <v>105.42</v>
      </c>
      <c r="O511" s="53" t="n">
        <f aca="false">G511*J511</f>
        <v>6</v>
      </c>
      <c r="P511" s="53" t="n">
        <f aca="false">F511*J511</f>
        <v>1</v>
      </c>
    </row>
    <row r="512" customFormat="false" ht="15" hidden="false" customHeight="false" outlineLevel="0" collapsed="false">
      <c r="A512" s="53" t="s">
        <v>97</v>
      </c>
      <c r="B512" s="53" t="s">
        <v>124</v>
      </c>
      <c r="C512" s="53" t="s">
        <v>385</v>
      </c>
      <c r="D512" s="53" t="s">
        <v>54</v>
      </c>
      <c r="E512" s="54" t="n">
        <v>0</v>
      </c>
      <c r="F512" s="53" t="n">
        <v>0</v>
      </c>
      <c r="G512" s="53" t="n">
        <v>4</v>
      </c>
      <c r="H512" s="54" t="n">
        <v>275.45</v>
      </c>
      <c r="I512" s="53" t="n">
        <f aca="false">IF(B512&gt;=Settings!$B$13,1,0)</f>
        <v>1</v>
      </c>
      <c r="J512" s="53" t="n">
        <v>1</v>
      </c>
      <c r="K512" s="53" t="n">
        <f aca="false">G512*I512*J512</f>
        <v>4</v>
      </c>
      <c r="L512" s="53" t="n">
        <f aca="false">F512*I512*J512</f>
        <v>0</v>
      </c>
      <c r="M512" s="54" t="n">
        <f aca="false">H512*I512*J512</f>
        <v>275.45</v>
      </c>
      <c r="N512" s="54" t="n">
        <f aca="false">E512*I512*J512</f>
        <v>-0</v>
      </c>
      <c r="O512" s="53" t="n">
        <f aca="false">G512*J512</f>
        <v>4</v>
      </c>
      <c r="P512" s="53" t="n">
        <f aca="false">F512*J512</f>
        <v>0</v>
      </c>
    </row>
    <row r="513" customFormat="false" ht="15" hidden="false" customHeight="false" outlineLevel="0" collapsed="false">
      <c r="A513" s="53" t="s">
        <v>93</v>
      </c>
      <c r="B513" s="53" t="s">
        <v>124</v>
      </c>
      <c r="C513" s="53" t="s">
        <v>318</v>
      </c>
      <c r="D513" s="53" t="s">
        <v>58</v>
      </c>
      <c r="E513" s="54" t="n">
        <v>0</v>
      </c>
      <c r="F513" s="53" t="n">
        <v>0</v>
      </c>
      <c r="G513" s="53" t="n">
        <v>4</v>
      </c>
      <c r="H513" s="54" t="n">
        <v>563.46</v>
      </c>
      <c r="I513" s="53" t="n">
        <f aca="false">IF(B513&gt;=Settings!$B$13,1,0)</f>
        <v>1</v>
      </c>
      <c r="J513" s="53" t="n">
        <v>1</v>
      </c>
      <c r="K513" s="53" t="n">
        <f aca="false">G513*I513*J513</f>
        <v>4</v>
      </c>
      <c r="L513" s="53" t="n">
        <f aca="false">F513*I513*J513</f>
        <v>0</v>
      </c>
      <c r="M513" s="54" t="n">
        <f aca="false">H513*I513*J513</f>
        <v>563.46</v>
      </c>
      <c r="N513" s="54" t="n">
        <f aca="false">E513*I513*J513</f>
        <v>-0</v>
      </c>
      <c r="O513" s="53" t="n">
        <f aca="false">G513*J513</f>
        <v>4</v>
      </c>
      <c r="P513" s="53" t="n">
        <f aca="false">F513*J513</f>
        <v>0</v>
      </c>
    </row>
    <row r="514" customFormat="false" ht="15" hidden="false" customHeight="false" outlineLevel="0" collapsed="false">
      <c r="A514" s="53" t="s">
        <v>93</v>
      </c>
      <c r="B514" s="53" t="s">
        <v>124</v>
      </c>
      <c r="C514" s="53" t="s">
        <v>141</v>
      </c>
      <c r="D514" s="53" t="s">
        <v>50</v>
      </c>
      <c r="E514" s="54" t="n">
        <v>0</v>
      </c>
      <c r="F514" s="53" t="n">
        <v>0</v>
      </c>
      <c r="G514" s="53" t="n">
        <v>1</v>
      </c>
      <c r="H514" s="54" t="n">
        <v>127.23</v>
      </c>
      <c r="I514" s="53" t="n">
        <f aca="false">IF(B514&gt;=Settings!$B$13,1,0)</f>
        <v>1</v>
      </c>
      <c r="J514" s="53" t="n">
        <v>1</v>
      </c>
      <c r="K514" s="53" t="n">
        <f aca="false">G514*I514*J514</f>
        <v>1</v>
      </c>
      <c r="L514" s="53" t="n">
        <f aca="false">F514*I514*J514</f>
        <v>0</v>
      </c>
      <c r="M514" s="54" t="n">
        <f aca="false">H514*I514*J514</f>
        <v>127.23</v>
      </c>
      <c r="N514" s="54" t="n">
        <f aca="false">E514*I514*J514</f>
        <v>-0</v>
      </c>
      <c r="O514" s="53" t="n">
        <f aca="false">G514*J514</f>
        <v>1</v>
      </c>
      <c r="P514" s="53" t="n">
        <f aca="false">F514*J514</f>
        <v>0</v>
      </c>
    </row>
    <row r="515" customFormat="false" ht="15" hidden="false" customHeight="false" outlineLevel="0" collapsed="false">
      <c r="A515" s="53" t="s">
        <v>100</v>
      </c>
      <c r="B515" s="53" t="s">
        <v>124</v>
      </c>
      <c r="C515" s="53" t="s">
        <v>357</v>
      </c>
      <c r="D515" s="53" t="s">
        <v>54</v>
      </c>
      <c r="E515" s="54" t="n">
        <v>0</v>
      </c>
      <c r="F515" s="53" t="n">
        <v>0</v>
      </c>
      <c r="G515" s="53" t="n">
        <v>3</v>
      </c>
      <c r="H515" s="54" t="n">
        <v>236.22</v>
      </c>
      <c r="I515" s="53" t="n">
        <f aca="false">IF(B515&gt;=Settings!$B$13,1,0)</f>
        <v>1</v>
      </c>
      <c r="J515" s="53" t="n">
        <v>1</v>
      </c>
      <c r="K515" s="53" t="n">
        <f aca="false">G515*I515*J515</f>
        <v>3</v>
      </c>
      <c r="L515" s="53" t="n">
        <f aca="false">F515*I515*J515</f>
        <v>0</v>
      </c>
      <c r="M515" s="54" t="n">
        <f aca="false">H515*I515*J515</f>
        <v>236.22</v>
      </c>
      <c r="N515" s="54" t="n">
        <f aca="false">E515*I515*J515</f>
        <v>-0</v>
      </c>
      <c r="O515" s="53" t="n">
        <f aca="false">G515*J515</f>
        <v>3</v>
      </c>
      <c r="P515" s="53" t="n">
        <f aca="false">F515*J515</f>
        <v>0</v>
      </c>
    </row>
    <row r="516" customFormat="false" ht="15" hidden="false" customHeight="false" outlineLevel="0" collapsed="false">
      <c r="A516" s="53" t="s">
        <v>97</v>
      </c>
      <c r="B516" s="53" t="s">
        <v>124</v>
      </c>
      <c r="C516" s="53" t="s">
        <v>344</v>
      </c>
      <c r="D516" s="53" t="s">
        <v>50</v>
      </c>
      <c r="E516" s="54" t="n">
        <v>405.98</v>
      </c>
      <c r="F516" s="53" t="n">
        <v>4</v>
      </c>
      <c r="G516" s="53" t="n">
        <v>31</v>
      </c>
      <c r="H516" s="54" t="n">
        <v>3499.43</v>
      </c>
      <c r="I516" s="53" t="n">
        <f aca="false">IF(B516&gt;=Settings!$B$13,1,0)</f>
        <v>1</v>
      </c>
      <c r="J516" s="53" t="n">
        <v>1</v>
      </c>
      <c r="K516" s="53" t="n">
        <f aca="false">G516*I516*J516</f>
        <v>31</v>
      </c>
      <c r="L516" s="53" t="n">
        <f aca="false">F516*I516*J516</f>
        <v>4</v>
      </c>
      <c r="M516" s="54" t="n">
        <f aca="false">H516*I516*J516</f>
        <v>3499.43</v>
      </c>
      <c r="N516" s="54" t="n">
        <f aca="false">E516*I516*J516</f>
        <v>405.98</v>
      </c>
      <c r="O516" s="53" t="n">
        <f aca="false">G516*J516</f>
        <v>31</v>
      </c>
      <c r="P516" s="53" t="n">
        <f aca="false">F516*J516</f>
        <v>4</v>
      </c>
    </row>
    <row r="517" customFormat="false" ht="15" hidden="false" customHeight="false" outlineLevel="0" collapsed="false">
      <c r="A517" s="53" t="s">
        <v>93</v>
      </c>
      <c r="B517" s="53" t="s">
        <v>124</v>
      </c>
      <c r="C517" s="53" t="s">
        <v>317</v>
      </c>
      <c r="D517" s="53" t="s">
        <v>46</v>
      </c>
      <c r="E517" s="54" t="n">
        <v>99.95</v>
      </c>
      <c r="F517" s="53" t="n">
        <v>1</v>
      </c>
      <c r="G517" s="53" t="n">
        <v>144</v>
      </c>
      <c r="H517" s="54" t="n">
        <v>15506.36</v>
      </c>
      <c r="I517" s="53" t="n">
        <f aca="false">IF(B517&gt;=Settings!$B$13,1,0)</f>
        <v>1</v>
      </c>
      <c r="J517" s="53" t="n">
        <v>1</v>
      </c>
      <c r="K517" s="53" t="n">
        <f aca="false">G517*I517*J517</f>
        <v>144</v>
      </c>
      <c r="L517" s="53" t="n">
        <f aca="false">F517*I517*J517</f>
        <v>1</v>
      </c>
      <c r="M517" s="54" t="n">
        <f aca="false">H517*I517*J517</f>
        <v>15506.36</v>
      </c>
      <c r="N517" s="54" t="n">
        <f aca="false">E517*I517*J517</f>
        <v>99.95</v>
      </c>
      <c r="O517" s="53" t="n">
        <f aca="false">G517*J517</f>
        <v>144</v>
      </c>
      <c r="P517" s="53" t="n">
        <f aca="false">F517*J517</f>
        <v>1</v>
      </c>
    </row>
    <row r="518" customFormat="false" ht="15" hidden="false" customHeight="false" outlineLevel="0" collapsed="false">
      <c r="A518" s="53" t="s">
        <v>89</v>
      </c>
      <c r="B518" s="53" t="s">
        <v>124</v>
      </c>
      <c r="C518" s="53" t="s">
        <v>318</v>
      </c>
      <c r="D518" s="53" t="s">
        <v>58</v>
      </c>
      <c r="E518" s="54" t="n">
        <v>0</v>
      </c>
      <c r="F518" s="53" t="n">
        <v>0</v>
      </c>
      <c r="G518" s="53" t="n">
        <v>17</v>
      </c>
      <c r="H518" s="54" t="n">
        <v>2262.85</v>
      </c>
      <c r="I518" s="53" t="n">
        <f aca="false">IF(B518&gt;=Settings!$B$13,1,0)</f>
        <v>1</v>
      </c>
      <c r="J518" s="53" t="n">
        <v>1</v>
      </c>
      <c r="K518" s="53" t="n">
        <f aca="false">G518*I518*J518</f>
        <v>17</v>
      </c>
      <c r="L518" s="53" t="n">
        <f aca="false">F518*I518*J518</f>
        <v>0</v>
      </c>
      <c r="M518" s="54" t="n">
        <f aca="false">H518*I518*J518</f>
        <v>2262.85</v>
      </c>
      <c r="N518" s="54" t="n">
        <f aca="false">E518*I518*J518</f>
        <v>-0</v>
      </c>
      <c r="O518" s="53" t="n">
        <f aca="false">G518*J518</f>
        <v>17</v>
      </c>
      <c r="P518" s="53" t="n">
        <f aca="false">F518*J518</f>
        <v>0</v>
      </c>
    </row>
    <row r="519" customFormat="false" ht="15" hidden="false" customHeight="false" outlineLevel="0" collapsed="false">
      <c r="A519" s="53" t="s">
        <v>97</v>
      </c>
      <c r="B519" s="53" t="s">
        <v>124</v>
      </c>
      <c r="C519" s="53" t="s">
        <v>330</v>
      </c>
      <c r="D519" s="53" t="s">
        <v>46</v>
      </c>
      <c r="E519" s="54" t="n">
        <v>0</v>
      </c>
      <c r="F519" s="53" t="n">
        <v>0</v>
      </c>
      <c r="G519" s="53" t="n">
        <v>6</v>
      </c>
      <c r="H519" s="54" t="n">
        <v>767.9</v>
      </c>
      <c r="I519" s="53" t="n">
        <f aca="false">IF(B519&gt;=Settings!$B$13,1,0)</f>
        <v>1</v>
      </c>
      <c r="J519" s="53" t="n">
        <v>1</v>
      </c>
      <c r="K519" s="53" t="n">
        <f aca="false">G519*I519*J519</f>
        <v>6</v>
      </c>
      <c r="L519" s="53" t="n">
        <f aca="false">F519*I519*J519</f>
        <v>0</v>
      </c>
      <c r="M519" s="54" t="n">
        <f aca="false">H519*I519*J519</f>
        <v>767.9</v>
      </c>
      <c r="N519" s="54" t="n">
        <f aca="false">E519*I519*J519</f>
        <v>-0</v>
      </c>
      <c r="O519" s="53" t="n">
        <f aca="false">G519*J519</f>
        <v>6</v>
      </c>
      <c r="P519" s="53" t="n">
        <f aca="false">F519*J519</f>
        <v>0</v>
      </c>
    </row>
    <row r="520" customFormat="false" ht="15" hidden="false" customHeight="false" outlineLevel="0" collapsed="false">
      <c r="A520" s="53" t="s">
        <v>93</v>
      </c>
      <c r="B520" s="53" t="s">
        <v>124</v>
      </c>
      <c r="C520" s="53" t="s">
        <v>332</v>
      </c>
      <c r="D520" s="53" t="s">
        <v>46</v>
      </c>
      <c r="E520" s="54" t="n">
        <v>271.7</v>
      </c>
      <c r="F520" s="53" t="n">
        <v>3</v>
      </c>
      <c r="G520" s="53" t="n">
        <v>41</v>
      </c>
      <c r="H520" s="54" t="n">
        <v>3775.36</v>
      </c>
      <c r="I520" s="53" t="n">
        <f aca="false">IF(B520&gt;=Settings!$B$13,1,0)</f>
        <v>1</v>
      </c>
      <c r="J520" s="53" t="n">
        <v>1</v>
      </c>
      <c r="K520" s="53" t="n">
        <f aca="false">G520*I520*J520</f>
        <v>41</v>
      </c>
      <c r="L520" s="53" t="n">
        <f aca="false">F520*I520*J520</f>
        <v>3</v>
      </c>
      <c r="M520" s="54" t="n">
        <f aca="false">H520*I520*J520</f>
        <v>3775.36</v>
      </c>
      <c r="N520" s="54" t="n">
        <f aca="false">E520*I520*J520</f>
        <v>271.7</v>
      </c>
      <c r="O520" s="53" t="n">
        <f aca="false">G520*J520</f>
        <v>41</v>
      </c>
      <c r="P520" s="53" t="n">
        <f aca="false">F520*J520</f>
        <v>3</v>
      </c>
    </row>
    <row r="521" customFormat="false" ht="15" hidden="false" customHeight="false" outlineLevel="0" collapsed="false">
      <c r="A521" s="53" t="s">
        <v>93</v>
      </c>
      <c r="B521" s="53" t="s">
        <v>124</v>
      </c>
      <c r="C521" s="53" t="s">
        <v>322</v>
      </c>
      <c r="D521" s="53" t="s">
        <v>54</v>
      </c>
      <c r="E521" s="54" t="n">
        <v>0</v>
      </c>
      <c r="F521" s="53" t="n">
        <v>0</v>
      </c>
      <c r="G521" s="53" t="n">
        <v>12</v>
      </c>
      <c r="H521" s="54" t="n">
        <v>885.82</v>
      </c>
      <c r="I521" s="53" t="n">
        <f aca="false">IF(B521&gt;=Settings!$B$13,1,0)</f>
        <v>1</v>
      </c>
      <c r="J521" s="53" t="n">
        <v>1</v>
      </c>
      <c r="K521" s="53" t="n">
        <f aca="false">G521*I521*J521</f>
        <v>12</v>
      </c>
      <c r="L521" s="53" t="n">
        <f aca="false">F521*I521*J521</f>
        <v>0</v>
      </c>
      <c r="M521" s="54" t="n">
        <f aca="false">H521*I521*J521</f>
        <v>885.82</v>
      </c>
      <c r="N521" s="54" t="n">
        <f aca="false">E521*I521*J521</f>
        <v>-0</v>
      </c>
      <c r="O521" s="53" t="n">
        <f aca="false">G521*J521</f>
        <v>12</v>
      </c>
      <c r="P521" s="53" t="n">
        <f aca="false">F521*J521</f>
        <v>0</v>
      </c>
    </row>
    <row r="522" customFormat="false" ht="15" hidden="false" customHeight="false" outlineLevel="0" collapsed="false">
      <c r="A522" s="53" t="s">
        <v>97</v>
      </c>
      <c r="B522" s="53" t="s">
        <v>124</v>
      </c>
      <c r="C522" s="53" t="s">
        <v>159</v>
      </c>
      <c r="D522" s="53" t="s">
        <v>50</v>
      </c>
      <c r="E522" s="54" t="n">
        <v>218.09</v>
      </c>
      <c r="F522" s="53" t="n">
        <v>2</v>
      </c>
      <c r="G522" s="53" t="n">
        <v>16</v>
      </c>
      <c r="H522" s="54" t="n">
        <v>1717.42</v>
      </c>
      <c r="I522" s="53" t="n">
        <f aca="false">IF(B522&gt;=Settings!$B$13,1,0)</f>
        <v>1</v>
      </c>
      <c r="J522" s="53" t="n">
        <v>1</v>
      </c>
      <c r="K522" s="53" t="n">
        <f aca="false">G522*I522*J522</f>
        <v>16</v>
      </c>
      <c r="L522" s="53" t="n">
        <f aca="false">F522*I522*J522</f>
        <v>2</v>
      </c>
      <c r="M522" s="54" t="n">
        <f aca="false">H522*I522*J522</f>
        <v>1717.42</v>
      </c>
      <c r="N522" s="54" t="n">
        <f aca="false">E522*I522*J522</f>
        <v>218.09</v>
      </c>
      <c r="O522" s="53" t="n">
        <f aca="false">G522*J522</f>
        <v>16</v>
      </c>
      <c r="P522" s="53" t="n">
        <f aca="false">F522*J522</f>
        <v>2</v>
      </c>
    </row>
    <row r="523" customFormat="false" ht="15" hidden="false" customHeight="false" outlineLevel="0" collapsed="false">
      <c r="A523" s="53" t="s">
        <v>93</v>
      </c>
      <c r="B523" s="53" t="s">
        <v>124</v>
      </c>
      <c r="C523" s="53" t="s">
        <v>145</v>
      </c>
      <c r="D523" s="53" t="s">
        <v>62</v>
      </c>
      <c r="E523" s="54" t="n">
        <v>0</v>
      </c>
      <c r="F523" s="53" t="n">
        <v>0</v>
      </c>
      <c r="G523" s="53" t="n">
        <v>4</v>
      </c>
      <c r="H523" s="54" t="n">
        <v>572.53</v>
      </c>
      <c r="I523" s="53" t="n">
        <f aca="false">IF(B523&gt;=Settings!$B$13,1,0)</f>
        <v>1</v>
      </c>
      <c r="J523" s="53" t="n">
        <v>1</v>
      </c>
      <c r="K523" s="53" t="n">
        <f aca="false">G523*I523*J523</f>
        <v>4</v>
      </c>
      <c r="L523" s="53" t="n">
        <f aca="false">F523*I523*J523</f>
        <v>0</v>
      </c>
      <c r="M523" s="54" t="n">
        <f aca="false">H523*I523*J523</f>
        <v>572.53</v>
      </c>
      <c r="N523" s="54" t="n">
        <f aca="false">E523*I523*J523</f>
        <v>-0</v>
      </c>
      <c r="O523" s="53" t="n">
        <f aca="false">G523*J523</f>
        <v>4</v>
      </c>
      <c r="P523" s="53" t="n">
        <f aca="false">F523*J523</f>
        <v>0</v>
      </c>
    </row>
    <row r="524" customFormat="false" ht="15" hidden="false" customHeight="false" outlineLevel="0" collapsed="false">
      <c r="A524" s="53" t="s">
        <v>89</v>
      </c>
      <c r="B524" s="53" t="s">
        <v>124</v>
      </c>
      <c r="C524" s="53" t="s">
        <v>156</v>
      </c>
      <c r="D524" s="53" t="s">
        <v>58</v>
      </c>
      <c r="E524" s="54" t="n">
        <v>325.42</v>
      </c>
      <c r="F524" s="53" t="n">
        <v>4</v>
      </c>
      <c r="G524" s="53" t="n">
        <v>65</v>
      </c>
      <c r="H524" s="54" t="n">
        <v>5268.73</v>
      </c>
      <c r="I524" s="53" t="n">
        <f aca="false">IF(B524&gt;=Settings!$B$13,1,0)</f>
        <v>1</v>
      </c>
      <c r="J524" s="53" t="n">
        <v>1</v>
      </c>
      <c r="K524" s="53" t="n">
        <f aca="false">G524*I524*J524</f>
        <v>65</v>
      </c>
      <c r="L524" s="53" t="n">
        <f aca="false">F524*I524*J524</f>
        <v>4</v>
      </c>
      <c r="M524" s="54" t="n">
        <f aca="false">H524*I524*J524</f>
        <v>5268.73</v>
      </c>
      <c r="N524" s="54" t="n">
        <f aca="false">E524*I524*J524</f>
        <v>325.42</v>
      </c>
      <c r="O524" s="53" t="n">
        <f aca="false">G524*J524</f>
        <v>65</v>
      </c>
      <c r="P524" s="53" t="n">
        <f aca="false">F524*J524</f>
        <v>4</v>
      </c>
    </row>
    <row r="525" customFormat="false" ht="15" hidden="false" customHeight="false" outlineLevel="0" collapsed="false">
      <c r="A525" s="53" t="s">
        <v>97</v>
      </c>
      <c r="B525" s="53" t="s">
        <v>124</v>
      </c>
      <c r="C525" s="53" t="s">
        <v>328</v>
      </c>
      <c r="D525" s="53" t="s">
        <v>50</v>
      </c>
      <c r="E525" s="54" t="n">
        <v>0</v>
      </c>
      <c r="F525" s="53" t="n">
        <v>0</v>
      </c>
      <c r="G525" s="53" t="n">
        <v>2</v>
      </c>
      <c r="H525" s="54" t="n">
        <v>145.36</v>
      </c>
      <c r="I525" s="53" t="n">
        <f aca="false">IF(B525&gt;=Settings!$B$13,1,0)</f>
        <v>1</v>
      </c>
      <c r="J525" s="53" t="n">
        <v>1</v>
      </c>
      <c r="K525" s="53" t="n">
        <f aca="false">G525*I525*J525</f>
        <v>2</v>
      </c>
      <c r="L525" s="53" t="n">
        <f aca="false">F525*I525*J525</f>
        <v>0</v>
      </c>
      <c r="M525" s="54" t="n">
        <f aca="false">H525*I525*J525</f>
        <v>145.36</v>
      </c>
      <c r="N525" s="54" t="n">
        <f aca="false">E525*I525*J525</f>
        <v>-0</v>
      </c>
      <c r="O525" s="53" t="n">
        <f aca="false">G525*J525</f>
        <v>2</v>
      </c>
      <c r="P525" s="53" t="n">
        <f aca="false">F525*J525</f>
        <v>0</v>
      </c>
    </row>
    <row r="526" customFormat="false" ht="15" hidden="false" customHeight="false" outlineLevel="0" collapsed="false">
      <c r="A526" s="53" t="s">
        <v>89</v>
      </c>
      <c r="B526" s="53" t="s">
        <v>124</v>
      </c>
      <c r="C526" s="53" t="s">
        <v>142</v>
      </c>
      <c r="D526" s="53" t="s">
        <v>66</v>
      </c>
      <c r="E526" s="54" t="n">
        <v>0</v>
      </c>
      <c r="F526" s="53" t="n">
        <v>0</v>
      </c>
      <c r="G526" s="53" t="n">
        <v>5</v>
      </c>
      <c r="H526" s="54" t="n">
        <v>451.41</v>
      </c>
      <c r="I526" s="53" t="n">
        <f aca="false">IF(B526&gt;=Settings!$B$13,1,0)</f>
        <v>1</v>
      </c>
      <c r="J526" s="53" t="n">
        <v>1</v>
      </c>
      <c r="K526" s="53" t="n">
        <f aca="false">G526*I526*J526</f>
        <v>5</v>
      </c>
      <c r="L526" s="53" t="n">
        <f aca="false">F526*I526*J526</f>
        <v>0</v>
      </c>
      <c r="M526" s="54" t="n">
        <f aca="false">H526*I526*J526</f>
        <v>451.41</v>
      </c>
      <c r="N526" s="54" t="n">
        <f aca="false">E526*I526*J526</f>
        <v>-0</v>
      </c>
      <c r="O526" s="53" t="n">
        <f aca="false">G526*J526</f>
        <v>5</v>
      </c>
      <c r="P526" s="53" t="n">
        <f aca="false">F526*J526</f>
        <v>0</v>
      </c>
    </row>
    <row r="527" customFormat="false" ht="15" hidden="false" customHeight="false" outlineLevel="0" collapsed="false">
      <c r="A527" s="53" t="s">
        <v>89</v>
      </c>
      <c r="B527" s="53" t="s">
        <v>124</v>
      </c>
      <c r="C527" s="53" t="s">
        <v>166</v>
      </c>
      <c r="D527" s="53" t="s">
        <v>50</v>
      </c>
      <c r="E527" s="54" t="n">
        <v>131.32</v>
      </c>
      <c r="F527" s="53" t="n">
        <v>1</v>
      </c>
      <c r="G527" s="53" t="n">
        <v>12</v>
      </c>
      <c r="H527" s="54" t="n">
        <v>1803.97</v>
      </c>
      <c r="I527" s="53" t="n">
        <f aca="false">IF(B527&gt;=Settings!$B$13,1,0)</f>
        <v>1</v>
      </c>
      <c r="J527" s="53" t="n">
        <v>1</v>
      </c>
      <c r="K527" s="53" t="n">
        <f aca="false">G527*I527*J527</f>
        <v>12</v>
      </c>
      <c r="L527" s="53" t="n">
        <f aca="false">F527*I527*J527</f>
        <v>1</v>
      </c>
      <c r="M527" s="54" t="n">
        <f aca="false">H527*I527*J527</f>
        <v>1803.97</v>
      </c>
      <c r="N527" s="54" t="n">
        <f aca="false">E527*I527*J527</f>
        <v>131.32</v>
      </c>
      <c r="O527" s="53" t="n">
        <f aca="false">G527*J527</f>
        <v>12</v>
      </c>
      <c r="P527" s="53" t="n">
        <f aca="false">F527*J527</f>
        <v>1</v>
      </c>
    </row>
    <row r="528" customFormat="false" ht="15" hidden="false" customHeight="false" outlineLevel="0" collapsed="false">
      <c r="A528" s="53" t="s">
        <v>89</v>
      </c>
      <c r="B528" s="53" t="s">
        <v>124</v>
      </c>
      <c r="C528" s="53" t="s">
        <v>377</v>
      </c>
      <c r="D528" s="53" t="s">
        <v>66</v>
      </c>
      <c r="E528" s="54" t="n">
        <v>0</v>
      </c>
      <c r="F528" s="53" t="n">
        <v>0</v>
      </c>
      <c r="G528" s="53" t="n">
        <v>1</v>
      </c>
      <c r="H528" s="54" t="n">
        <v>128.27</v>
      </c>
      <c r="I528" s="53" t="n">
        <f aca="false">IF(B528&gt;=Settings!$B$13,1,0)</f>
        <v>1</v>
      </c>
      <c r="J528" s="53" t="n">
        <v>1</v>
      </c>
      <c r="K528" s="53" t="n">
        <f aca="false">G528*I528*J528</f>
        <v>1</v>
      </c>
      <c r="L528" s="53" t="n">
        <f aca="false">F528*I528*J528</f>
        <v>0</v>
      </c>
      <c r="M528" s="54" t="n">
        <f aca="false">H528*I528*J528</f>
        <v>128.27</v>
      </c>
      <c r="N528" s="54" t="n">
        <f aca="false">E528*I528*J528</f>
        <v>-0</v>
      </c>
      <c r="O528" s="53" t="n">
        <f aca="false">G528*J528</f>
        <v>1</v>
      </c>
      <c r="P528" s="53" t="n">
        <f aca="false">F528*J528</f>
        <v>0</v>
      </c>
    </row>
    <row r="529" customFormat="false" ht="15" hidden="false" customHeight="false" outlineLevel="0" collapsed="false">
      <c r="A529" s="53" t="s">
        <v>97</v>
      </c>
      <c r="B529" s="53" t="s">
        <v>124</v>
      </c>
      <c r="C529" s="53" t="s">
        <v>332</v>
      </c>
      <c r="D529" s="53" t="s">
        <v>46</v>
      </c>
      <c r="E529" s="54" t="n">
        <v>73.38</v>
      </c>
      <c r="F529" s="53" t="n">
        <v>1</v>
      </c>
      <c r="G529" s="53" t="n">
        <v>6</v>
      </c>
      <c r="H529" s="54" t="n">
        <v>499.72</v>
      </c>
      <c r="I529" s="53" t="n">
        <f aca="false">IF(B529&gt;=Settings!$B$13,1,0)</f>
        <v>1</v>
      </c>
      <c r="J529" s="53" t="n">
        <v>1</v>
      </c>
      <c r="K529" s="53" t="n">
        <f aca="false">G529*I529*J529</f>
        <v>6</v>
      </c>
      <c r="L529" s="53" t="n">
        <f aca="false">F529*I529*J529</f>
        <v>1</v>
      </c>
      <c r="M529" s="54" t="n">
        <f aca="false">H529*I529*J529</f>
        <v>499.72</v>
      </c>
      <c r="N529" s="54" t="n">
        <f aca="false">E529*I529*J529</f>
        <v>73.38</v>
      </c>
      <c r="O529" s="53" t="n">
        <f aca="false">G529*J529</f>
        <v>6</v>
      </c>
      <c r="P529" s="53" t="n">
        <f aca="false">F529*J529</f>
        <v>1</v>
      </c>
    </row>
    <row r="530" customFormat="false" ht="15" hidden="false" customHeight="false" outlineLevel="0" collapsed="false">
      <c r="A530" s="53" t="s">
        <v>89</v>
      </c>
      <c r="B530" s="53" t="s">
        <v>124</v>
      </c>
      <c r="C530" s="53" t="s">
        <v>387</v>
      </c>
      <c r="D530" s="53" t="s">
        <v>58</v>
      </c>
      <c r="E530" s="54" t="n">
        <v>90.86</v>
      </c>
      <c r="F530" s="53" t="n">
        <v>1</v>
      </c>
      <c r="G530" s="53" t="n">
        <v>5</v>
      </c>
      <c r="H530" s="54" t="n">
        <v>402.95</v>
      </c>
      <c r="I530" s="53" t="n">
        <f aca="false">IF(B530&gt;=Settings!$B$13,1,0)</f>
        <v>1</v>
      </c>
      <c r="J530" s="53" t="n">
        <v>1</v>
      </c>
      <c r="K530" s="53" t="n">
        <f aca="false">G530*I530*J530</f>
        <v>5</v>
      </c>
      <c r="L530" s="53" t="n">
        <f aca="false">F530*I530*J530</f>
        <v>1</v>
      </c>
      <c r="M530" s="54" t="n">
        <f aca="false">H530*I530*J530</f>
        <v>402.95</v>
      </c>
      <c r="N530" s="54" t="n">
        <f aca="false">E530*I530*J530</f>
        <v>90.86</v>
      </c>
      <c r="O530" s="53" t="n">
        <f aca="false">G530*J530</f>
        <v>5</v>
      </c>
      <c r="P530" s="53" t="n">
        <f aca="false">F530*J530</f>
        <v>1</v>
      </c>
    </row>
    <row r="531" customFormat="false" ht="15" hidden="false" customHeight="false" outlineLevel="0" collapsed="false">
      <c r="A531" s="53" t="s">
        <v>93</v>
      </c>
      <c r="B531" s="53" t="s">
        <v>124</v>
      </c>
      <c r="C531" s="53" t="s">
        <v>162</v>
      </c>
      <c r="D531" s="53" t="s">
        <v>42</v>
      </c>
      <c r="E531" s="54" t="n">
        <v>189.02</v>
      </c>
      <c r="F531" s="53" t="n">
        <v>2</v>
      </c>
      <c r="G531" s="53" t="n">
        <v>68</v>
      </c>
      <c r="H531" s="54" t="n">
        <v>8396.63</v>
      </c>
      <c r="I531" s="53" t="n">
        <f aca="false">IF(B531&gt;=Settings!$B$13,1,0)</f>
        <v>1</v>
      </c>
      <c r="J531" s="53" t="n">
        <v>1</v>
      </c>
      <c r="K531" s="53" t="n">
        <f aca="false">G531*I531*J531</f>
        <v>68</v>
      </c>
      <c r="L531" s="53" t="n">
        <f aca="false">F531*I531*J531</f>
        <v>2</v>
      </c>
      <c r="M531" s="54" t="n">
        <f aca="false">H531*I531*J531</f>
        <v>8396.63</v>
      </c>
      <c r="N531" s="54" t="n">
        <f aca="false">E531*I531*J531</f>
        <v>189.02</v>
      </c>
      <c r="O531" s="53" t="n">
        <f aca="false">G531*J531</f>
        <v>68</v>
      </c>
      <c r="P531" s="53" t="n">
        <f aca="false">F531*J531</f>
        <v>2</v>
      </c>
    </row>
    <row r="532" customFormat="false" ht="15" hidden="false" customHeight="false" outlineLevel="0" collapsed="false">
      <c r="A532" s="53" t="s">
        <v>89</v>
      </c>
      <c r="B532" s="53" t="s">
        <v>124</v>
      </c>
      <c r="C532" s="53" t="s">
        <v>160</v>
      </c>
      <c r="D532" s="53" t="s">
        <v>58</v>
      </c>
      <c r="E532" s="54" t="n">
        <v>77.23</v>
      </c>
      <c r="F532" s="53" t="n">
        <v>1</v>
      </c>
      <c r="G532" s="53" t="n">
        <v>22</v>
      </c>
      <c r="H532" s="54" t="n">
        <v>1680.76</v>
      </c>
      <c r="I532" s="53" t="n">
        <f aca="false">IF(B532&gt;=Settings!$B$13,1,0)</f>
        <v>1</v>
      </c>
      <c r="J532" s="53" t="n">
        <v>1</v>
      </c>
      <c r="K532" s="53" t="n">
        <f aca="false">G532*I532*J532</f>
        <v>22</v>
      </c>
      <c r="L532" s="53" t="n">
        <f aca="false">F532*I532*J532</f>
        <v>1</v>
      </c>
      <c r="M532" s="54" t="n">
        <f aca="false">H532*I532*J532</f>
        <v>1680.76</v>
      </c>
      <c r="N532" s="54" t="n">
        <f aca="false">E532*I532*J532</f>
        <v>77.23</v>
      </c>
      <c r="O532" s="53" t="n">
        <f aca="false">G532*J532</f>
        <v>22</v>
      </c>
      <c r="P532" s="53" t="n">
        <f aca="false">F532*J532</f>
        <v>1</v>
      </c>
    </row>
    <row r="533" customFormat="false" ht="15" hidden="false" customHeight="false" outlineLevel="0" collapsed="false">
      <c r="A533" s="53" t="s">
        <v>97</v>
      </c>
      <c r="B533" s="53" t="s">
        <v>124</v>
      </c>
      <c r="C533" s="53" t="s">
        <v>371</v>
      </c>
      <c r="D533" s="53" t="s">
        <v>58</v>
      </c>
      <c r="E533" s="54" t="n">
        <v>0</v>
      </c>
      <c r="F533" s="53" t="n">
        <v>0</v>
      </c>
      <c r="G533" s="53" t="n">
        <v>7</v>
      </c>
      <c r="H533" s="54" t="n">
        <v>715.09</v>
      </c>
      <c r="I533" s="53" t="n">
        <f aca="false">IF(B533&gt;=Settings!$B$13,1,0)</f>
        <v>1</v>
      </c>
      <c r="J533" s="53" t="n">
        <v>1</v>
      </c>
      <c r="K533" s="53" t="n">
        <f aca="false">G533*I533*J533</f>
        <v>7</v>
      </c>
      <c r="L533" s="53" t="n">
        <f aca="false">F533*I533*J533</f>
        <v>0</v>
      </c>
      <c r="M533" s="54" t="n">
        <f aca="false">H533*I533*J533</f>
        <v>715.09</v>
      </c>
      <c r="N533" s="54" t="n">
        <f aca="false">E533*I533*J533</f>
        <v>-0</v>
      </c>
      <c r="O533" s="53" t="n">
        <f aca="false">G533*J533</f>
        <v>7</v>
      </c>
      <c r="P533" s="53" t="n">
        <f aca="false">F533*J533</f>
        <v>0</v>
      </c>
    </row>
    <row r="534" customFormat="false" ht="15" hidden="false" customHeight="false" outlineLevel="0" collapsed="false">
      <c r="A534" s="53" t="s">
        <v>93</v>
      </c>
      <c r="B534" s="53" t="s">
        <v>124</v>
      </c>
      <c r="C534" s="53" t="s">
        <v>360</v>
      </c>
      <c r="D534" s="53" t="s">
        <v>54</v>
      </c>
      <c r="E534" s="54" t="n">
        <v>0</v>
      </c>
      <c r="F534" s="53" t="n">
        <v>0</v>
      </c>
      <c r="G534" s="53" t="n">
        <v>17</v>
      </c>
      <c r="H534" s="54" t="n">
        <v>1476.44</v>
      </c>
      <c r="I534" s="53" t="n">
        <f aca="false">IF(B534&gt;=Settings!$B$13,1,0)</f>
        <v>1</v>
      </c>
      <c r="J534" s="53" t="n">
        <v>1</v>
      </c>
      <c r="K534" s="53" t="n">
        <f aca="false">G534*I534*J534</f>
        <v>17</v>
      </c>
      <c r="L534" s="53" t="n">
        <f aca="false">F534*I534*J534</f>
        <v>0</v>
      </c>
      <c r="M534" s="54" t="n">
        <f aca="false">H534*I534*J534</f>
        <v>1476.44</v>
      </c>
      <c r="N534" s="54" t="n">
        <f aca="false">E534*I534*J534</f>
        <v>-0</v>
      </c>
      <c r="O534" s="53" t="n">
        <f aca="false">G534*J534</f>
        <v>17</v>
      </c>
      <c r="P534" s="53" t="n">
        <f aca="false">F534*J534</f>
        <v>0</v>
      </c>
    </row>
    <row r="535" customFormat="false" ht="15" hidden="false" customHeight="false" outlineLevel="0" collapsed="false">
      <c r="A535" s="53" t="s">
        <v>89</v>
      </c>
      <c r="B535" s="53" t="s">
        <v>124</v>
      </c>
      <c r="C535" s="53" t="s">
        <v>146</v>
      </c>
      <c r="D535" s="53" t="s">
        <v>58</v>
      </c>
      <c r="E535" s="54" t="n">
        <v>0</v>
      </c>
      <c r="F535" s="53" t="n">
        <v>0</v>
      </c>
      <c r="G535" s="53" t="n">
        <v>1</v>
      </c>
      <c r="H535" s="54" t="n">
        <v>136.32</v>
      </c>
      <c r="I535" s="53" t="n">
        <f aca="false">IF(B535&gt;=Settings!$B$13,1,0)</f>
        <v>1</v>
      </c>
      <c r="J535" s="53" t="n">
        <v>1</v>
      </c>
      <c r="K535" s="53" t="n">
        <f aca="false">G535*I535*J535</f>
        <v>1</v>
      </c>
      <c r="L535" s="53" t="n">
        <f aca="false">F535*I535*J535</f>
        <v>0</v>
      </c>
      <c r="M535" s="54" t="n">
        <f aca="false">H535*I535*J535</f>
        <v>136.32</v>
      </c>
      <c r="N535" s="54" t="n">
        <f aca="false">E535*I535*J535</f>
        <v>-0</v>
      </c>
      <c r="O535" s="53" t="n">
        <f aca="false">G535*J535</f>
        <v>1</v>
      </c>
      <c r="P535" s="53" t="n">
        <f aca="false">F535*J535</f>
        <v>0</v>
      </c>
    </row>
    <row r="536" customFormat="false" ht="15" hidden="false" customHeight="false" outlineLevel="0" collapsed="false">
      <c r="A536" s="53" t="s">
        <v>89</v>
      </c>
      <c r="B536" s="53" t="s">
        <v>124</v>
      </c>
      <c r="C536" s="53" t="s">
        <v>162</v>
      </c>
      <c r="D536" s="53" t="s">
        <v>42</v>
      </c>
      <c r="E536" s="54" t="n">
        <v>840.58</v>
      </c>
      <c r="F536" s="53" t="n">
        <v>7</v>
      </c>
      <c r="G536" s="53" t="n">
        <v>140</v>
      </c>
      <c r="H536" s="54" t="n">
        <v>17024.78</v>
      </c>
      <c r="I536" s="53" t="n">
        <f aca="false">IF(B536&gt;=Settings!$B$13,1,0)</f>
        <v>1</v>
      </c>
      <c r="J536" s="53" t="n">
        <v>1</v>
      </c>
      <c r="K536" s="53" t="n">
        <f aca="false">G536*I536*J536</f>
        <v>140</v>
      </c>
      <c r="L536" s="53" t="n">
        <f aca="false">F536*I536*J536</f>
        <v>7</v>
      </c>
      <c r="M536" s="54" t="n">
        <f aca="false">H536*I536*J536</f>
        <v>17024.78</v>
      </c>
      <c r="N536" s="54" t="n">
        <f aca="false">E536*I536*J536</f>
        <v>840.58</v>
      </c>
      <c r="O536" s="53" t="n">
        <f aca="false">G536*J536</f>
        <v>140</v>
      </c>
      <c r="P536" s="53" t="n">
        <f aca="false">F536*J536</f>
        <v>7</v>
      </c>
    </row>
    <row r="537" customFormat="false" ht="15" hidden="false" customHeight="false" outlineLevel="0" collapsed="false">
      <c r="A537" s="53" t="s">
        <v>93</v>
      </c>
      <c r="B537" s="53" t="s">
        <v>124</v>
      </c>
      <c r="C537" s="53" t="s">
        <v>160</v>
      </c>
      <c r="D537" s="53" t="s">
        <v>58</v>
      </c>
      <c r="E537" s="54" t="n">
        <v>77.23</v>
      </c>
      <c r="F537" s="53" t="n">
        <v>1</v>
      </c>
      <c r="G537" s="53" t="n">
        <v>4</v>
      </c>
      <c r="H537" s="54" t="n">
        <v>299.81</v>
      </c>
      <c r="I537" s="53" t="n">
        <f aca="false">IF(B537&gt;=Settings!$B$13,1,0)</f>
        <v>1</v>
      </c>
      <c r="J537" s="53" t="n">
        <v>1</v>
      </c>
      <c r="K537" s="53" t="n">
        <f aca="false">G537*I537*J537</f>
        <v>4</v>
      </c>
      <c r="L537" s="53" t="n">
        <f aca="false">F537*I537*J537</f>
        <v>1</v>
      </c>
      <c r="M537" s="54" t="n">
        <f aca="false">H537*I537*J537</f>
        <v>299.81</v>
      </c>
      <c r="N537" s="54" t="n">
        <f aca="false">E537*I537*J537</f>
        <v>77.23</v>
      </c>
      <c r="O537" s="53" t="n">
        <f aca="false">G537*J537</f>
        <v>4</v>
      </c>
      <c r="P537" s="53" t="n">
        <f aca="false">F537*J537</f>
        <v>1</v>
      </c>
    </row>
    <row r="538" customFormat="false" ht="15" hidden="false" customHeight="false" outlineLevel="0" collapsed="false">
      <c r="A538" s="53" t="s">
        <v>97</v>
      </c>
      <c r="B538" s="53" t="s">
        <v>124</v>
      </c>
      <c r="C538" s="53" t="s">
        <v>165</v>
      </c>
      <c r="D538" s="53" t="s">
        <v>42</v>
      </c>
      <c r="E538" s="54" t="n">
        <v>0</v>
      </c>
      <c r="F538" s="53" t="n">
        <v>0</v>
      </c>
      <c r="G538" s="53" t="n">
        <v>52</v>
      </c>
      <c r="H538" s="54" t="n">
        <v>6152.1</v>
      </c>
      <c r="I538" s="53" t="n">
        <f aca="false">IF(B538&gt;=Settings!$B$13,1,0)</f>
        <v>1</v>
      </c>
      <c r="J538" s="53" t="n">
        <v>1</v>
      </c>
      <c r="K538" s="53" t="n">
        <f aca="false">G538*I538*J538</f>
        <v>52</v>
      </c>
      <c r="L538" s="53" t="n">
        <f aca="false">F538*I538*J538</f>
        <v>0</v>
      </c>
      <c r="M538" s="54" t="n">
        <f aca="false">H538*I538*J538</f>
        <v>6152.1</v>
      </c>
      <c r="N538" s="54" t="n">
        <f aca="false">E538*I538*J538</f>
        <v>-0</v>
      </c>
      <c r="O538" s="53" t="n">
        <f aca="false">G538*J538</f>
        <v>52</v>
      </c>
      <c r="P538" s="53" t="n">
        <f aca="false">F538*J538</f>
        <v>0</v>
      </c>
    </row>
    <row r="539" customFormat="false" ht="15" hidden="false" customHeight="false" outlineLevel="0" collapsed="false">
      <c r="A539" s="53" t="s">
        <v>93</v>
      </c>
      <c r="B539" s="53" t="s">
        <v>124</v>
      </c>
      <c r="C539" s="53" t="s">
        <v>316</v>
      </c>
      <c r="D539" s="53" t="s">
        <v>62</v>
      </c>
      <c r="E539" s="54" t="n">
        <v>0</v>
      </c>
      <c r="F539" s="53" t="n">
        <v>0</v>
      </c>
      <c r="G539" s="53" t="n">
        <v>1</v>
      </c>
      <c r="H539" s="54" t="n">
        <v>104.5</v>
      </c>
      <c r="I539" s="53" t="n">
        <f aca="false">IF(B539&gt;=Settings!$B$13,1,0)</f>
        <v>1</v>
      </c>
      <c r="J539" s="53" t="n">
        <v>1</v>
      </c>
      <c r="K539" s="53" t="n">
        <f aca="false">G539*I539*J539</f>
        <v>1</v>
      </c>
      <c r="L539" s="53" t="n">
        <f aca="false">F539*I539*J539</f>
        <v>0</v>
      </c>
      <c r="M539" s="54" t="n">
        <f aca="false">H539*I539*J539</f>
        <v>104.5</v>
      </c>
      <c r="N539" s="54" t="n">
        <f aca="false">E539*I539*J539</f>
        <v>-0</v>
      </c>
      <c r="O539" s="53" t="n">
        <f aca="false">G539*J539</f>
        <v>1</v>
      </c>
      <c r="P539" s="53" t="n">
        <f aca="false">F539*J539</f>
        <v>0</v>
      </c>
    </row>
    <row r="540" customFormat="false" ht="15" hidden="false" customHeight="false" outlineLevel="0" collapsed="false">
      <c r="A540" s="53" t="s">
        <v>93</v>
      </c>
      <c r="B540" s="53" t="s">
        <v>124</v>
      </c>
      <c r="C540" s="53" t="s">
        <v>347</v>
      </c>
      <c r="D540" s="53" t="s">
        <v>62</v>
      </c>
      <c r="E540" s="54" t="n">
        <v>0</v>
      </c>
      <c r="F540" s="53" t="n">
        <v>0</v>
      </c>
      <c r="G540" s="53" t="n">
        <v>5</v>
      </c>
      <c r="H540" s="54" t="n">
        <v>340.69</v>
      </c>
      <c r="I540" s="53" t="n">
        <f aca="false">IF(B540&gt;=Settings!$B$13,1,0)</f>
        <v>1</v>
      </c>
      <c r="J540" s="53" t="n">
        <v>1</v>
      </c>
      <c r="K540" s="53" t="n">
        <f aca="false">G540*I540*J540</f>
        <v>5</v>
      </c>
      <c r="L540" s="53" t="n">
        <f aca="false">F540*I540*J540</f>
        <v>0</v>
      </c>
      <c r="M540" s="54" t="n">
        <f aca="false">H540*I540*J540</f>
        <v>340.69</v>
      </c>
      <c r="N540" s="54" t="n">
        <f aca="false">E540*I540*J540</f>
        <v>-0</v>
      </c>
      <c r="O540" s="53" t="n">
        <f aca="false">G540*J540</f>
        <v>5</v>
      </c>
      <c r="P540" s="53" t="n">
        <f aca="false">F540*J540</f>
        <v>0</v>
      </c>
    </row>
    <row r="541" customFormat="false" ht="15" hidden="false" customHeight="false" outlineLevel="0" collapsed="false">
      <c r="A541" s="53" t="s">
        <v>97</v>
      </c>
      <c r="B541" s="53" t="s">
        <v>125</v>
      </c>
      <c r="C541" s="53" t="s">
        <v>387</v>
      </c>
      <c r="D541" s="53" t="s">
        <v>58</v>
      </c>
      <c r="E541" s="54" t="n">
        <v>218.05</v>
      </c>
      <c r="F541" s="53" t="n">
        <v>3</v>
      </c>
      <c r="G541" s="53" t="n">
        <v>15</v>
      </c>
      <c r="H541" s="54" t="n">
        <v>1135.64</v>
      </c>
      <c r="I541" s="53" t="n">
        <f aca="false">IF(B541&gt;=Settings!$B$13,1,0)</f>
        <v>1</v>
      </c>
      <c r="J541" s="53" t="n">
        <v>1</v>
      </c>
      <c r="K541" s="53" t="n">
        <f aca="false">G541*I541*J541</f>
        <v>15</v>
      </c>
      <c r="L541" s="53" t="n">
        <f aca="false">F541*I541*J541</f>
        <v>3</v>
      </c>
      <c r="M541" s="54" t="n">
        <f aca="false">H541*I541*J541</f>
        <v>1135.64</v>
      </c>
      <c r="N541" s="54" t="n">
        <f aca="false">E541*I541*J541</f>
        <v>218.05</v>
      </c>
      <c r="O541" s="53" t="n">
        <f aca="false">G541*J541</f>
        <v>15</v>
      </c>
      <c r="P541" s="53" t="n">
        <f aca="false">F541*J541</f>
        <v>3</v>
      </c>
    </row>
    <row r="542" customFormat="false" ht="15" hidden="false" customHeight="false" outlineLevel="0" collapsed="false">
      <c r="A542" s="53" t="s">
        <v>97</v>
      </c>
      <c r="B542" s="53" t="s">
        <v>125</v>
      </c>
      <c r="C542" s="53" t="s">
        <v>330</v>
      </c>
      <c r="D542" s="53" t="s">
        <v>46</v>
      </c>
      <c r="E542" s="54" t="n">
        <v>281.72</v>
      </c>
      <c r="F542" s="53" t="n">
        <v>2</v>
      </c>
      <c r="G542" s="53" t="n">
        <v>24</v>
      </c>
      <c r="H542" s="54" t="n">
        <v>3117.05</v>
      </c>
      <c r="I542" s="53" t="n">
        <f aca="false">IF(B542&gt;=Settings!$B$13,1,0)</f>
        <v>1</v>
      </c>
      <c r="J542" s="53" t="n">
        <v>1</v>
      </c>
      <c r="K542" s="53" t="n">
        <f aca="false">G542*I542*J542</f>
        <v>24</v>
      </c>
      <c r="L542" s="53" t="n">
        <f aca="false">F542*I542*J542</f>
        <v>2</v>
      </c>
      <c r="M542" s="54" t="n">
        <f aca="false">H542*I542*J542</f>
        <v>3117.05</v>
      </c>
      <c r="N542" s="54" t="n">
        <f aca="false">E542*I542*J542</f>
        <v>281.72</v>
      </c>
      <c r="O542" s="53" t="n">
        <f aca="false">G542*J542</f>
        <v>24</v>
      </c>
      <c r="P542" s="53" t="n">
        <f aca="false">F542*J542</f>
        <v>2</v>
      </c>
    </row>
    <row r="543" customFormat="false" ht="15" hidden="false" customHeight="false" outlineLevel="0" collapsed="false">
      <c r="A543" s="53" t="s">
        <v>89</v>
      </c>
      <c r="B543" s="53" t="s">
        <v>125</v>
      </c>
      <c r="C543" s="53" t="s">
        <v>374</v>
      </c>
      <c r="D543" s="53" t="s">
        <v>66</v>
      </c>
      <c r="E543" s="54" t="n">
        <v>0</v>
      </c>
      <c r="F543" s="53" t="n">
        <v>0</v>
      </c>
      <c r="G543" s="53" t="n">
        <v>4</v>
      </c>
      <c r="H543" s="54" t="n">
        <v>429.79</v>
      </c>
      <c r="I543" s="53" t="n">
        <f aca="false">IF(B543&gt;=Settings!$B$13,1,0)</f>
        <v>1</v>
      </c>
      <c r="J543" s="53" t="n">
        <v>1</v>
      </c>
      <c r="K543" s="53" t="n">
        <f aca="false">G543*I543*J543</f>
        <v>4</v>
      </c>
      <c r="L543" s="53" t="n">
        <f aca="false">F543*I543*J543</f>
        <v>0</v>
      </c>
      <c r="M543" s="54" t="n">
        <f aca="false">H543*I543*J543</f>
        <v>429.79</v>
      </c>
      <c r="N543" s="54" t="n">
        <f aca="false">E543*I543*J543</f>
        <v>-0</v>
      </c>
      <c r="O543" s="53" t="n">
        <f aca="false">G543*J543</f>
        <v>4</v>
      </c>
      <c r="P543" s="53" t="n">
        <f aca="false">F543*J543</f>
        <v>0</v>
      </c>
    </row>
    <row r="544" customFormat="false" ht="15" hidden="false" customHeight="false" outlineLevel="0" collapsed="false">
      <c r="A544" s="53" t="s">
        <v>100</v>
      </c>
      <c r="B544" s="53" t="s">
        <v>125</v>
      </c>
      <c r="C544" s="53" t="s">
        <v>393</v>
      </c>
      <c r="D544" s="53" t="s">
        <v>54</v>
      </c>
      <c r="E544" s="54" t="n">
        <v>54.51</v>
      </c>
      <c r="F544" s="53" t="n">
        <v>1</v>
      </c>
      <c r="G544" s="53" t="n">
        <v>7</v>
      </c>
      <c r="H544" s="54" t="n">
        <v>476.91</v>
      </c>
      <c r="I544" s="53" t="n">
        <f aca="false">IF(B544&gt;=Settings!$B$13,1,0)</f>
        <v>1</v>
      </c>
      <c r="J544" s="53" t="n">
        <v>1</v>
      </c>
      <c r="K544" s="53" t="n">
        <f aca="false">G544*I544*J544</f>
        <v>7</v>
      </c>
      <c r="L544" s="53" t="n">
        <f aca="false">F544*I544*J544</f>
        <v>1</v>
      </c>
      <c r="M544" s="54" t="n">
        <f aca="false">H544*I544*J544</f>
        <v>476.91</v>
      </c>
      <c r="N544" s="54" t="n">
        <f aca="false">E544*I544*J544</f>
        <v>54.51</v>
      </c>
      <c r="O544" s="53" t="n">
        <f aca="false">G544*J544</f>
        <v>7</v>
      </c>
      <c r="P544" s="53" t="n">
        <f aca="false">F544*J544</f>
        <v>1</v>
      </c>
    </row>
    <row r="545" customFormat="false" ht="15" hidden="false" customHeight="false" outlineLevel="0" collapsed="false">
      <c r="A545" s="53" t="s">
        <v>97</v>
      </c>
      <c r="B545" s="53" t="s">
        <v>125</v>
      </c>
      <c r="C545" s="53" t="s">
        <v>165</v>
      </c>
      <c r="D545" s="53" t="s">
        <v>42</v>
      </c>
      <c r="E545" s="54" t="n">
        <v>1245.94</v>
      </c>
      <c r="F545" s="53" t="n">
        <v>11</v>
      </c>
      <c r="G545" s="53" t="n">
        <v>123</v>
      </c>
      <c r="H545" s="54" t="n">
        <v>14758.04</v>
      </c>
      <c r="I545" s="53" t="n">
        <f aca="false">IF(B545&gt;=Settings!$B$13,1,0)</f>
        <v>1</v>
      </c>
      <c r="J545" s="53" t="n">
        <v>1</v>
      </c>
      <c r="K545" s="53" t="n">
        <f aca="false">G545*I545*J545</f>
        <v>123</v>
      </c>
      <c r="L545" s="53" t="n">
        <f aca="false">F545*I545*J545</f>
        <v>11</v>
      </c>
      <c r="M545" s="54" t="n">
        <f aca="false">H545*I545*J545</f>
        <v>14758.04</v>
      </c>
      <c r="N545" s="54" t="n">
        <f aca="false">E545*I545*J545</f>
        <v>1245.94</v>
      </c>
      <c r="O545" s="53" t="n">
        <f aca="false">G545*J545</f>
        <v>123</v>
      </c>
      <c r="P545" s="53" t="n">
        <f aca="false">F545*J545</f>
        <v>11</v>
      </c>
    </row>
    <row r="546" customFormat="false" ht="15" hidden="false" customHeight="false" outlineLevel="0" collapsed="false">
      <c r="A546" s="53" t="s">
        <v>89</v>
      </c>
      <c r="B546" s="53" t="s">
        <v>125</v>
      </c>
      <c r="C546" s="53" t="s">
        <v>162</v>
      </c>
      <c r="D546" s="53" t="s">
        <v>42</v>
      </c>
      <c r="E546" s="54" t="n">
        <v>1032.78</v>
      </c>
      <c r="F546" s="53" t="n">
        <v>10</v>
      </c>
      <c r="G546" s="53" t="n">
        <v>116</v>
      </c>
      <c r="H546" s="54" t="n">
        <v>14121.48</v>
      </c>
      <c r="I546" s="53" t="n">
        <f aca="false">IF(B546&gt;=Settings!$B$13,1,0)</f>
        <v>1</v>
      </c>
      <c r="J546" s="53" t="n">
        <v>1</v>
      </c>
      <c r="K546" s="53" t="n">
        <f aca="false">G546*I546*J546</f>
        <v>116</v>
      </c>
      <c r="L546" s="53" t="n">
        <f aca="false">F546*I546*J546</f>
        <v>10</v>
      </c>
      <c r="M546" s="54" t="n">
        <f aca="false">H546*I546*J546</f>
        <v>14121.48</v>
      </c>
      <c r="N546" s="54" t="n">
        <f aca="false">E546*I546*J546</f>
        <v>1032.78</v>
      </c>
      <c r="O546" s="53" t="n">
        <f aca="false">G546*J546</f>
        <v>116</v>
      </c>
      <c r="P546" s="53" t="n">
        <f aca="false">F546*J546</f>
        <v>10</v>
      </c>
    </row>
    <row r="547" customFormat="false" ht="15" hidden="false" customHeight="false" outlineLevel="0" collapsed="false">
      <c r="A547" s="53" t="s">
        <v>93</v>
      </c>
      <c r="B547" s="53" t="s">
        <v>125</v>
      </c>
      <c r="C547" s="53" t="s">
        <v>332</v>
      </c>
      <c r="D547" s="53" t="s">
        <v>46</v>
      </c>
      <c r="E547" s="54" t="n">
        <v>69.05</v>
      </c>
      <c r="F547" s="53" t="n">
        <v>1</v>
      </c>
      <c r="G547" s="53" t="n">
        <v>54</v>
      </c>
      <c r="H547" s="54" t="n">
        <v>5074.76</v>
      </c>
      <c r="I547" s="53" t="n">
        <f aca="false">IF(B547&gt;=Settings!$B$13,1,0)</f>
        <v>1</v>
      </c>
      <c r="J547" s="53" t="n">
        <v>1</v>
      </c>
      <c r="K547" s="53" t="n">
        <f aca="false">G547*I547*J547</f>
        <v>54</v>
      </c>
      <c r="L547" s="53" t="n">
        <f aca="false">F547*I547*J547</f>
        <v>1</v>
      </c>
      <c r="M547" s="54" t="n">
        <f aca="false">H547*I547*J547</f>
        <v>5074.76</v>
      </c>
      <c r="N547" s="54" t="n">
        <f aca="false">E547*I547*J547</f>
        <v>69.05</v>
      </c>
      <c r="O547" s="53" t="n">
        <f aca="false">G547*J547</f>
        <v>54</v>
      </c>
      <c r="P547" s="53" t="n">
        <f aca="false">F547*J547</f>
        <v>1</v>
      </c>
    </row>
    <row r="548" customFormat="false" ht="15" hidden="false" customHeight="false" outlineLevel="0" collapsed="false">
      <c r="A548" s="53" t="s">
        <v>93</v>
      </c>
      <c r="B548" s="53" t="s">
        <v>125</v>
      </c>
      <c r="C548" s="53" t="s">
        <v>322</v>
      </c>
      <c r="D548" s="53" t="s">
        <v>54</v>
      </c>
      <c r="E548" s="54" t="n">
        <v>0</v>
      </c>
      <c r="F548" s="53" t="n">
        <v>0</v>
      </c>
      <c r="G548" s="53" t="n">
        <v>11</v>
      </c>
      <c r="H548" s="54" t="n">
        <v>817.63</v>
      </c>
      <c r="I548" s="53" t="n">
        <f aca="false">IF(B548&gt;=Settings!$B$13,1,0)</f>
        <v>1</v>
      </c>
      <c r="J548" s="53" t="n">
        <v>1</v>
      </c>
      <c r="K548" s="53" t="n">
        <f aca="false">G548*I548*J548</f>
        <v>11</v>
      </c>
      <c r="L548" s="53" t="n">
        <f aca="false">F548*I548*J548</f>
        <v>0</v>
      </c>
      <c r="M548" s="54" t="n">
        <f aca="false">H548*I548*J548</f>
        <v>817.63</v>
      </c>
      <c r="N548" s="54" t="n">
        <f aca="false">E548*I548*J548</f>
        <v>-0</v>
      </c>
      <c r="O548" s="53" t="n">
        <f aca="false">G548*J548</f>
        <v>11</v>
      </c>
      <c r="P548" s="53" t="n">
        <f aca="false">F548*J548</f>
        <v>0</v>
      </c>
    </row>
    <row r="549" customFormat="false" ht="15" hidden="false" customHeight="false" outlineLevel="0" collapsed="false">
      <c r="A549" s="53" t="s">
        <v>93</v>
      </c>
      <c r="B549" s="53" t="s">
        <v>125</v>
      </c>
      <c r="C549" s="53" t="s">
        <v>391</v>
      </c>
      <c r="D549" s="53" t="s">
        <v>50</v>
      </c>
      <c r="E549" s="54" t="n">
        <v>0</v>
      </c>
      <c r="F549" s="53" t="n">
        <v>0</v>
      </c>
      <c r="G549" s="53" t="n">
        <v>1</v>
      </c>
      <c r="H549" s="54" t="n">
        <v>159.05</v>
      </c>
      <c r="I549" s="53" t="n">
        <f aca="false">IF(B549&gt;=Settings!$B$13,1,0)</f>
        <v>1</v>
      </c>
      <c r="J549" s="53" t="n">
        <v>1</v>
      </c>
      <c r="K549" s="53" t="n">
        <f aca="false">G549*I549*J549</f>
        <v>1</v>
      </c>
      <c r="L549" s="53" t="n">
        <f aca="false">F549*I549*J549</f>
        <v>0</v>
      </c>
      <c r="M549" s="54" t="n">
        <f aca="false">H549*I549*J549</f>
        <v>159.05</v>
      </c>
      <c r="N549" s="54" t="n">
        <f aca="false">E549*I549*J549</f>
        <v>-0</v>
      </c>
      <c r="O549" s="53" t="n">
        <f aca="false">G549*J549</f>
        <v>1</v>
      </c>
      <c r="P549" s="53" t="n">
        <f aca="false">F549*J549</f>
        <v>0</v>
      </c>
    </row>
    <row r="550" customFormat="false" ht="15" hidden="false" customHeight="false" outlineLevel="0" collapsed="false">
      <c r="A550" s="53" t="s">
        <v>89</v>
      </c>
      <c r="B550" s="53" t="s">
        <v>125</v>
      </c>
      <c r="C550" s="53" t="s">
        <v>142</v>
      </c>
      <c r="D550" s="53" t="s">
        <v>66</v>
      </c>
      <c r="E550" s="54" t="n">
        <v>116.55</v>
      </c>
      <c r="F550" s="53" t="n">
        <v>1</v>
      </c>
      <c r="G550" s="53" t="n">
        <v>3</v>
      </c>
      <c r="H550" s="54" t="n">
        <v>330.87</v>
      </c>
      <c r="I550" s="53" t="n">
        <f aca="false">IF(B550&gt;=Settings!$B$13,1,0)</f>
        <v>1</v>
      </c>
      <c r="J550" s="53" t="n">
        <v>1</v>
      </c>
      <c r="K550" s="53" t="n">
        <f aca="false">G550*I550*J550</f>
        <v>3</v>
      </c>
      <c r="L550" s="53" t="n">
        <f aca="false">F550*I550*J550</f>
        <v>1</v>
      </c>
      <c r="M550" s="54" t="n">
        <f aca="false">H550*I550*J550</f>
        <v>330.87</v>
      </c>
      <c r="N550" s="54" t="n">
        <f aca="false">E550*I550*J550</f>
        <v>116.55</v>
      </c>
      <c r="O550" s="53" t="n">
        <f aca="false">G550*J550</f>
        <v>3</v>
      </c>
      <c r="P550" s="53" t="n">
        <f aca="false">F550*J550</f>
        <v>1</v>
      </c>
    </row>
    <row r="551" customFormat="false" ht="15" hidden="false" customHeight="false" outlineLevel="0" collapsed="false">
      <c r="A551" s="53" t="s">
        <v>93</v>
      </c>
      <c r="B551" s="53" t="s">
        <v>125</v>
      </c>
      <c r="C551" s="53" t="s">
        <v>145</v>
      </c>
      <c r="D551" s="53" t="s">
        <v>62</v>
      </c>
      <c r="E551" s="54" t="n">
        <v>0</v>
      </c>
      <c r="F551" s="53" t="n">
        <v>0</v>
      </c>
      <c r="G551" s="53" t="n">
        <v>6</v>
      </c>
      <c r="H551" s="54" t="n">
        <v>849.7</v>
      </c>
      <c r="I551" s="53" t="n">
        <f aca="false">IF(B551&gt;=Settings!$B$13,1,0)</f>
        <v>1</v>
      </c>
      <c r="J551" s="53" t="n">
        <v>1</v>
      </c>
      <c r="K551" s="53" t="n">
        <f aca="false">G551*I551*J551</f>
        <v>6</v>
      </c>
      <c r="L551" s="53" t="n">
        <f aca="false">F551*I551*J551</f>
        <v>0</v>
      </c>
      <c r="M551" s="54" t="n">
        <f aca="false">H551*I551*J551</f>
        <v>849.7</v>
      </c>
      <c r="N551" s="54" t="n">
        <f aca="false">E551*I551*J551</f>
        <v>-0</v>
      </c>
      <c r="O551" s="53" t="n">
        <f aca="false">G551*J551</f>
        <v>6</v>
      </c>
      <c r="P551" s="53" t="n">
        <f aca="false">F551*J551</f>
        <v>0</v>
      </c>
    </row>
    <row r="552" customFormat="false" ht="15" hidden="false" customHeight="false" outlineLevel="0" collapsed="false">
      <c r="A552" s="53" t="s">
        <v>97</v>
      </c>
      <c r="B552" s="53" t="s">
        <v>125</v>
      </c>
      <c r="C552" s="53" t="s">
        <v>338</v>
      </c>
      <c r="D552" s="53" t="s">
        <v>50</v>
      </c>
      <c r="E552" s="54" t="n">
        <v>62.51</v>
      </c>
      <c r="F552" s="53" t="n">
        <v>1</v>
      </c>
      <c r="G552" s="53" t="n">
        <v>28</v>
      </c>
      <c r="H552" s="54" t="n">
        <v>2201.33</v>
      </c>
      <c r="I552" s="53" t="n">
        <f aca="false">IF(B552&gt;=Settings!$B$13,1,0)</f>
        <v>1</v>
      </c>
      <c r="J552" s="53" t="n">
        <v>1</v>
      </c>
      <c r="K552" s="53" t="n">
        <f aca="false">G552*I552*J552</f>
        <v>28</v>
      </c>
      <c r="L552" s="53" t="n">
        <f aca="false">F552*I552*J552</f>
        <v>1</v>
      </c>
      <c r="M552" s="54" t="n">
        <f aca="false">H552*I552*J552</f>
        <v>2201.33</v>
      </c>
      <c r="N552" s="54" t="n">
        <f aca="false">E552*I552*J552</f>
        <v>62.51</v>
      </c>
      <c r="O552" s="53" t="n">
        <f aca="false">G552*J552</f>
        <v>28</v>
      </c>
      <c r="P552" s="53" t="n">
        <f aca="false">F552*J552</f>
        <v>1</v>
      </c>
    </row>
    <row r="553" customFormat="false" ht="15" hidden="false" customHeight="false" outlineLevel="0" collapsed="false">
      <c r="A553" s="53" t="s">
        <v>89</v>
      </c>
      <c r="B553" s="53" t="s">
        <v>125</v>
      </c>
      <c r="C553" s="53" t="s">
        <v>155</v>
      </c>
      <c r="D553" s="53" t="s">
        <v>50</v>
      </c>
      <c r="E553" s="54" t="n">
        <v>1090.27</v>
      </c>
      <c r="F553" s="53" t="n">
        <v>16</v>
      </c>
      <c r="G553" s="53" t="n">
        <v>219</v>
      </c>
      <c r="H553" s="54" t="n">
        <v>16416.58</v>
      </c>
      <c r="I553" s="53" t="n">
        <f aca="false">IF(B553&gt;=Settings!$B$13,1,0)</f>
        <v>1</v>
      </c>
      <c r="J553" s="53" t="n">
        <v>1</v>
      </c>
      <c r="K553" s="53" t="n">
        <f aca="false">G553*I553*J553</f>
        <v>219</v>
      </c>
      <c r="L553" s="53" t="n">
        <f aca="false">F553*I553*J553</f>
        <v>16</v>
      </c>
      <c r="M553" s="54" t="n">
        <f aca="false">H553*I553*J553</f>
        <v>16416.58</v>
      </c>
      <c r="N553" s="54" t="n">
        <f aca="false">E553*I553*J553</f>
        <v>1090.27</v>
      </c>
      <c r="O553" s="53" t="n">
        <f aca="false">G553*J553</f>
        <v>219</v>
      </c>
      <c r="P553" s="53" t="n">
        <f aca="false">F553*J553</f>
        <v>16</v>
      </c>
    </row>
    <row r="554" customFormat="false" ht="15" hidden="false" customHeight="false" outlineLevel="0" collapsed="false">
      <c r="A554" s="53" t="s">
        <v>100</v>
      </c>
      <c r="B554" s="53" t="s">
        <v>125</v>
      </c>
      <c r="C554" s="53" t="s">
        <v>357</v>
      </c>
      <c r="D554" s="53" t="s">
        <v>54</v>
      </c>
      <c r="E554" s="54" t="n">
        <v>65.42</v>
      </c>
      <c r="F554" s="53" t="n">
        <v>1</v>
      </c>
      <c r="G554" s="53" t="n">
        <v>4</v>
      </c>
      <c r="H554" s="54" t="n">
        <v>313.43</v>
      </c>
      <c r="I554" s="53" t="n">
        <f aca="false">IF(B554&gt;=Settings!$B$13,1,0)</f>
        <v>1</v>
      </c>
      <c r="J554" s="53" t="n">
        <v>1</v>
      </c>
      <c r="K554" s="53" t="n">
        <f aca="false">G554*I554*J554</f>
        <v>4</v>
      </c>
      <c r="L554" s="53" t="n">
        <f aca="false">F554*I554*J554</f>
        <v>1</v>
      </c>
      <c r="M554" s="54" t="n">
        <f aca="false">H554*I554*J554</f>
        <v>313.43</v>
      </c>
      <c r="N554" s="54" t="n">
        <f aca="false">E554*I554*J554</f>
        <v>65.42</v>
      </c>
      <c r="O554" s="53" t="n">
        <f aca="false">G554*J554</f>
        <v>4</v>
      </c>
      <c r="P554" s="53" t="n">
        <f aca="false">F554*J554</f>
        <v>1</v>
      </c>
    </row>
    <row r="555" customFormat="false" ht="15" hidden="false" customHeight="false" outlineLevel="0" collapsed="false">
      <c r="A555" s="53" t="s">
        <v>89</v>
      </c>
      <c r="B555" s="53" t="s">
        <v>125</v>
      </c>
      <c r="C555" s="53" t="s">
        <v>332</v>
      </c>
      <c r="D555" s="53" t="s">
        <v>46</v>
      </c>
      <c r="E555" s="54" t="n">
        <v>745.09</v>
      </c>
      <c r="F555" s="53" t="n">
        <v>9</v>
      </c>
      <c r="G555" s="53" t="n">
        <v>95</v>
      </c>
      <c r="H555" s="54" t="n">
        <v>8818.21</v>
      </c>
      <c r="I555" s="53" t="n">
        <f aca="false">IF(B555&gt;=Settings!$B$13,1,0)</f>
        <v>1</v>
      </c>
      <c r="J555" s="53" t="n">
        <v>1</v>
      </c>
      <c r="K555" s="53" t="n">
        <f aca="false">G555*I555*J555</f>
        <v>95</v>
      </c>
      <c r="L555" s="53" t="n">
        <f aca="false">F555*I555*J555</f>
        <v>9</v>
      </c>
      <c r="M555" s="54" t="n">
        <f aca="false">H555*I555*J555</f>
        <v>8818.21</v>
      </c>
      <c r="N555" s="54" t="n">
        <f aca="false">E555*I555*J555</f>
        <v>745.09</v>
      </c>
      <c r="O555" s="53" t="n">
        <f aca="false">G555*J555</f>
        <v>95</v>
      </c>
      <c r="P555" s="53" t="n">
        <f aca="false">F555*J555</f>
        <v>9</v>
      </c>
    </row>
    <row r="556" customFormat="false" ht="15" hidden="false" customHeight="false" outlineLevel="0" collapsed="false">
      <c r="A556" s="53" t="s">
        <v>97</v>
      </c>
      <c r="B556" s="53" t="s">
        <v>125</v>
      </c>
      <c r="C556" s="53" t="s">
        <v>146</v>
      </c>
      <c r="D556" s="53" t="s">
        <v>58</v>
      </c>
      <c r="E556" s="54" t="n">
        <v>122.68</v>
      </c>
      <c r="F556" s="53" t="n">
        <v>1</v>
      </c>
      <c r="G556" s="53" t="n">
        <v>13</v>
      </c>
      <c r="H556" s="54" t="n">
        <v>1722.08</v>
      </c>
      <c r="I556" s="53" t="n">
        <f aca="false">IF(B556&gt;=Settings!$B$13,1,0)</f>
        <v>1</v>
      </c>
      <c r="J556" s="53" t="n">
        <v>1</v>
      </c>
      <c r="K556" s="53" t="n">
        <f aca="false">G556*I556*J556</f>
        <v>13</v>
      </c>
      <c r="L556" s="53" t="n">
        <f aca="false">F556*I556*J556</f>
        <v>1</v>
      </c>
      <c r="M556" s="54" t="n">
        <f aca="false">H556*I556*J556</f>
        <v>1722.08</v>
      </c>
      <c r="N556" s="54" t="n">
        <f aca="false">E556*I556*J556</f>
        <v>122.68</v>
      </c>
      <c r="O556" s="53" t="n">
        <f aca="false">G556*J556</f>
        <v>13</v>
      </c>
      <c r="P556" s="53" t="n">
        <f aca="false">F556*J556</f>
        <v>1</v>
      </c>
    </row>
    <row r="557" customFormat="false" ht="15" hidden="false" customHeight="false" outlineLevel="0" collapsed="false">
      <c r="A557" s="53" t="s">
        <v>89</v>
      </c>
      <c r="B557" s="53" t="s">
        <v>125</v>
      </c>
      <c r="C557" s="53" t="s">
        <v>333</v>
      </c>
      <c r="D557" s="53" t="s">
        <v>54</v>
      </c>
      <c r="E557" s="54" t="n">
        <v>54.52</v>
      </c>
      <c r="F557" s="53" t="n">
        <v>1</v>
      </c>
      <c r="G557" s="53" t="n">
        <v>9</v>
      </c>
      <c r="H557" s="54" t="n">
        <v>681.4</v>
      </c>
      <c r="I557" s="53" t="n">
        <f aca="false">IF(B557&gt;=Settings!$B$13,1,0)</f>
        <v>1</v>
      </c>
      <c r="J557" s="53" t="n">
        <v>1</v>
      </c>
      <c r="K557" s="53" t="n">
        <f aca="false">G557*I557*J557</f>
        <v>9</v>
      </c>
      <c r="L557" s="53" t="n">
        <f aca="false">F557*I557*J557</f>
        <v>1</v>
      </c>
      <c r="M557" s="54" t="n">
        <f aca="false">H557*I557*J557</f>
        <v>681.4</v>
      </c>
      <c r="N557" s="54" t="n">
        <f aca="false">E557*I557*J557</f>
        <v>54.52</v>
      </c>
      <c r="O557" s="53" t="n">
        <f aca="false">G557*J557</f>
        <v>9</v>
      </c>
      <c r="P557" s="53" t="n">
        <f aca="false">F557*J557</f>
        <v>1</v>
      </c>
    </row>
    <row r="558" customFormat="false" ht="15" hidden="false" customHeight="false" outlineLevel="0" collapsed="false">
      <c r="A558" s="53" t="s">
        <v>97</v>
      </c>
      <c r="B558" s="53" t="s">
        <v>125</v>
      </c>
      <c r="C558" s="53" t="s">
        <v>385</v>
      </c>
      <c r="D558" s="53" t="s">
        <v>54</v>
      </c>
      <c r="E558" s="54" t="n">
        <v>53.64</v>
      </c>
      <c r="F558" s="53" t="n">
        <v>1</v>
      </c>
      <c r="G558" s="53" t="n">
        <v>12</v>
      </c>
      <c r="H558" s="54" t="n">
        <v>855.43</v>
      </c>
      <c r="I558" s="53" t="n">
        <f aca="false">IF(B558&gt;=Settings!$B$13,1,0)</f>
        <v>1</v>
      </c>
      <c r="J558" s="53" t="n">
        <v>1</v>
      </c>
      <c r="K558" s="53" t="n">
        <f aca="false">G558*I558*J558</f>
        <v>12</v>
      </c>
      <c r="L558" s="53" t="n">
        <f aca="false">F558*I558*J558</f>
        <v>1</v>
      </c>
      <c r="M558" s="54" t="n">
        <f aca="false">H558*I558*J558</f>
        <v>855.43</v>
      </c>
      <c r="N558" s="54" t="n">
        <f aca="false">E558*I558*J558</f>
        <v>53.64</v>
      </c>
      <c r="O558" s="53" t="n">
        <f aca="false">G558*J558</f>
        <v>12</v>
      </c>
      <c r="P558" s="53" t="n">
        <f aca="false">F558*J558</f>
        <v>1</v>
      </c>
    </row>
    <row r="559" customFormat="false" ht="15" hidden="false" customHeight="false" outlineLevel="0" collapsed="false">
      <c r="A559" s="53" t="s">
        <v>93</v>
      </c>
      <c r="B559" s="53" t="s">
        <v>125</v>
      </c>
      <c r="C559" s="53" t="s">
        <v>330</v>
      </c>
      <c r="D559" s="53" t="s">
        <v>46</v>
      </c>
      <c r="E559" s="54" t="n">
        <v>413.49</v>
      </c>
      <c r="F559" s="53" t="n">
        <v>3</v>
      </c>
      <c r="G559" s="53" t="n">
        <v>85</v>
      </c>
      <c r="H559" s="54" t="n">
        <v>11423.06</v>
      </c>
      <c r="I559" s="53" t="n">
        <f aca="false">IF(B559&gt;=Settings!$B$13,1,0)</f>
        <v>1</v>
      </c>
      <c r="J559" s="53" t="n">
        <v>1</v>
      </c>
      <c r="K559" s="53" t="n">
        <f aca="false">G559*I559*J559</f>
        <v>85</v>
      </c>
      <c r="L559" s="53" t="n">
        <f aca="false">F559*I559*J559</f>
        <v>3</v>
      </c>
      <c r="M559" s="54" t="n">
        <f aca="false">H559*I559*J559</f>
        <v>11423.06</v>
      </c>
      <c r="N559" s="54" t="n">
        <f aca="false">E559*I559*J559</f>
        <v>413.49</v>
      </c>
      <c r="O559" s="53" t="n">
        <f aca="false">G559*J559</f>
        <v>85</v>
      </c>
      <c r="P559" s="53" t="n">
        <f aca="false">F559*J559</f>
        <v>3</v>
      </c>
    </row>
    <row r="560" customFormat="false" ht="15" hidden="false" customHeight="false" outlineLevel="0" collapsed="false">
      <c r="A560" s="53" t="s">
        <v>89</v>
      </c>
      <c r="B560" s="53" t="s">
        <v>125</v>
      </c>
      <c r="C560" s="53" t="s">
        <v>360</v>
      </c>
      <c r="D560" s="53" t="s">
        <v>54</v>
      </c>
      <c r="E560" s="54" t="n">
        <v>90.86</v>
      </c>
      <c r="F560" s="53" t="n">
        <v>1</v>
      </c>
      <c r="G560" s="53" t="n">
        <v>36</v>
      </c>
      <c r="H560" s="54" t="n">
        <v>3125.53</v>
      </c>
      <c r="I560" s="53" t="n">
        <f aca="false">IF(B560&gt;=Settings!$B$13,1,0)</f>
        <v>1</v>
      </c>
      <c r="J560" s="53" t="n">
        <v>1</v>
      </c>
      <c r="K560" s="53" t="n">
        <f aca="false">G560*I560*J560</f>
        <v>36</v>
      </c>
      <c r="L560" s="53" t="n">
        <f aca="false">F560*I560*J560</f>
        <v>1</v>
      </c>
      <c r="M560" s="54" t="n">
        <f aca="false">H560*I560*J560</f>
        <v>3125.53</v>
      </c>
      <c r="N560" s="54" t="n">
        <f aca="false">E560*I560*J560</f>
        <v>90.86</v>
      </c>
      <c r="O560" s="53" t="n">
        <f aca="false">G560*J560</f>
        <v>36</v>
      </c>
      <c r="P560" s="53" t="n">
        <f aca="false">F560*J560</f>
        <v>1</v>
      </c>
    </row>
    <row r="561" customFormat="false" ht="15" hidden="false" customHeight="false" outlineLevel="0" collapsed="false">
      <c r="A561" s="53" t="s">
        <v>93</v>
      </c>
      <c r="B561" s="53" t="s">
        <v>125</v>
      </c>
      <c r="C561" s="53" t="s">
        <v>158</v>
      </c>
      <c r="D561" s="53" t="s">
        <v>42</v>
      </c>
      <c r="E561" s="54" t="n">
        <v>265.35</v>
      </c>
      <c r="F561" s="53" t="n">
        <v>3</v>
      </c>
      <c r="G561" s="53" t="n">
        <v>47</v>
      </c>
      <c r="H561" s="54" t="n">
        <v>5134.16</v>
      </c>
      <c r="I561" s="53" t="n">
        <f aca="false">IF(B561&gt;=Settings!$B$13,1,0)</f>
        <v>1</v>
      </c>
      <c r="J561" s="53" t="n">
        <v>1</v>
      </c>
      <c r="K561" s="53" t="n">
        <f aca="false">G561*I561*J561</f>
        <v>47</v>
      </c>
      <c r="L561" s="53" t="n">
        <f aca="false">F561*I561*J561</f>
        <v>3</v>
      </c>
      <c r="M561" s="54" t="n">
        <f aca="false">H561*I561*J561</f>
        <v>5134.16</v>
      </c>
      <c r="N561" s="54" t="n">
        <f aca="false">E561*I561*J561</f>
        <v>265.35</v>
      </c>
      <c r="O561" s="53" t="n">
        <f aca="false">G561*J561</f>
        <v>47</v>
      </c>
      <c r="P561" s="53" t="n">
        <f aca="false">F561*J561</f>
        <v>3</v>
      </c>
    </row>
    <row r="562" customFormat="false" ht="15" hidden="false" customHeight="false" outlineLevel="0" collapsed="false">
      <c r="A562" s="53" t="s">
        <v>89</v>
      </c>
      <c r="B562" s="53" t="s">
        <v>125</v>
      </c>
      <c r="C562" s="53" t="s">
        <v>144</v>
      </c>
      <c r="D562" s="53" t="s">
        <v>58</v>
      </c>
      <c r="E562" s="54" t="n">
        <v>105.42</v>
      </c>
      <c r="F562" s="53" t="n">
        <v>1</v>
      </c>
      <c r="G562" s="53" t="n">
        <v>7</v>
      </c>
      <c r="H562" s="54" t="n">
        <v>858.73</v>
      </c>
      <c r="I562" s="53" t="n">
        <f aca="false">IF(B562&gt;=Settings!$B$13,1,0)</f>
        <v>1</v>
      </c>
      <c r="J562" s="53" t="n">
        <v>1</v>
      </c>
      <c r="K562" s="53" t="n">
        <f aca="false">G562*I562*J562</f>
        <v>7</v>
      </c>
      <c r="L562" s="53" t="n">
        <f aca="false">F562*I562*J562</f>
        <v>1</v>
      </c>
      <c r="M562" s="54" t="n">
        <f aca="false">H562*I562*J562</f>
        <v>858.73</v>
      </c>
      <c r="N562" s="54" t="n">
        <f aca="false">E562*I562*J562</f>
        <v>105.42</v>
      </c>
      <c r="O562" s="53" t="n">
        <f aca="false">G562*J562</f>
        <v>7</v>
      </c>
      <c r="P562" s="53" t="n">
        <f aca="false">F562*J562</f>
        <v>1</v>
      </c>
    </row>
    <row r="563" customFormat="false" ht="15" hidden="false" customHeight="false" outlineLevel="0" collapsed="false">
      <c r="A563" s="53" t="s">
        <v>89</v>
      </c>
      <c r="B563" s="53" t="s">
        <v>125</v>
      </c>
      <c r="C563" s="53" t="s">
        <v>371</v>
      </c>
      <c r="D563" s="53" t="s">
        <v>58</v>
      </c>
      <c r="E563" s="54" t="n">
        <v>0</v>
      </c>
      <c r="F563" s="53" t="n">
        <v>0</v>
      </c>
      <c r="G563" s="53" t="n">
        <v>5</v>
      </c>
      <c r="H563" s="54" t="n">
        <v>533.38</v>
      </c>
      <c r="I563" s="53" t="n">
        <f aca="false">IF(B563&gt;=Settings!$B$13,1,0)</f>
        <v>1</v>
      </c>
      <c r="J563" s="53" t="n">
        <v>1</v>
      </c>
      <c r="K563" s="53" t="n">
        <f aca="false">G563*I563*J563</f>
        <v>5</v>
      </c>
      <c r="L563" s="53" t="n">
        <f aca="false">F563*I563*J563</f>
        <v>0</v>
      </c>
      <c r="M563" s="54" t="n">
        <f aca="false">H563*I563*J563</f>
        <v>533.38</v>
      </c>
      <c r="N563" s="54" t="n">
        <f aca="false">E563*I563*J563</f>
        <v>-0</v>
      </c>
      <c r="O563" s="53" t="n">
        <f aca="false">G563*J563</f>
        <v>5</v>
      </c>
      <c r="P563" s="53" t="n">
        <f aca="false">F563*J563</f>
        <v>0</v>
      </c>
    </row>
    <row r="564" customFormat="false" ht="15" hidden="false" customHeight="false" outlineLevel="0" collapsed="false">
      <c r="A564" s="53" t="s">
        <v>93</v>
      </c>
      <c r="B564" s="53" t="s">
        <v>125</v>
      </c>
      <c r="C564" s="53" t="s">
        <v>160</v>
      </c>
      <c r="D564" s="53" t="s">
        <v>58</v>
      </c>
      <c r="E564" s="54" t="n">
        <v>0</v>
      </c>
      <c r="F564" s="53" t="n">
        <v>0</v>
      </c>
      <c r="G564" s="53" t="n">
        <v>6</v>
      </c>
      <c r="H564" s="54" t="n">
        <v>467.9</v>
      </c>
      <c r="I564" s="53" t="n">
        <f aca="false">IF(B564&gt;=Settings!$B$13,1,0)</f>
        <v>1</v>
      </c>
      <c r="J564" s="53" t="n">
        <v>1</v>
      </c>
      <c r="K564" s="53" t="n">
        <f aca="false">G564*I564*J564</f>
        <v>6</v>
      </c>
      <c r="L564" s="53" t="n">
        <f aca="false">F564*I564*J564</f>
        <v>0</v>
      </c>
      <c r="M564" s="54" t="n">
        <f aca="false">H564*I564*J564</f>
        <v>467.9</v>
      </c>
      <c r="N564" s="54" t="n">
        <f aca="false">E564*I564*J564</f>
        <v>-0</v>
      </c>
      <c r="O564" s="53" t="n">
        <f aca="false">G564*J564</f>
        <v>6</v>
      </c>
      <c r="P564" s="53" t="n">
        <f aca="false">F564*J564</f>
        <v>0</v>
      </c>
    </row>
    <row r="565" customFormat="false" ht="15" hidden="false" customHeight="false" outlineLevel="0" collapsed="false">
      <c r="A565" s="53" t="s">
        <v>89</v>
      </c>
      <c r="B565" s="53" t="s">
        <v>125</v>
      </c>
      <c r="C565" s="53" t="s">
        <v>318</v>
      </c>
      <c r="D565" s="53" t="s">
        <v>58</v>
      </c>
      <c r="E565" s="54" t="n">
        <v>203.56</v>
      </c>
      <c r="F565" s="53" t="n">
        <v>2</v>
      </c>
      <c r="G565" s="53" t="n">
        <v>14</v>
      </c>
      <c r="H565" s="54" t="n">
        <v>1908.42</v>
      </c>
      <c r="I565" s="53" t="n">
        <f aca="false">IF(B565&gt;=Settings!$B$13,1,0)</f>
        <v>1</v>
      </c>
      <c r="J565" s="53" t="n">
        <v>1</v>
      </c>
      <c r="K565" s="53" t="n">
        <f aca="false">G565*I565*J565</f>
        <v>14</v>
      </c>
      <c r="L565" s="53" t="n">
        <f aca="false">F565*I565*J565</f>
        <v>2</v>
      </c>
      <c r="M565" s="54" t="n">
        <f aca="false">H565*I565*J565</f>
        <v>1908.42</v>
      </c>
      <c r="N565" s="54" t="n">
        <f aca="false">E565*I565*J565</f>
        <v>203.56</v>
      </c>
      <c r="O565" s="53" t="n">
        <f aca="false">G565*J565</f>
        <v>14</v>
      </c>
      <c r="P565" s="53" t="n">
        <f aca="false">F565*J565</f>
        <v>2</v>
      </c>
    </row>
    <row r="566" customFormat="false" ht="15" hidden="false" customHeight="false" outlineLevel="0" collapsed="false">
      <c r="A566" s="53" t="s">
        <v>89</v>
      </c>
      <c r="B566" s="53" t="s">
        <v>125</v>
      </c>
      <c r="C566" s="53" t="s">
        <v>160</v>
      </c>
      <c r="D566" s="53" t="s">
        <v>58</v>
      </c>
      <c r="E566" s="54" t="n">
        <v>192.61</v>
      </c>
      <c r="F566" s="53" t="n">
        <v>3</v>
      </c>
      <c r="G566" s="53" t="n">
        <v>21</v>
      </c>
      <c r="H566" s="54" t="n">
        <v>1608.06</v>
      </c>
      <c r="I566" s="53" t="n">
        <f aca="false">IF(B566&gt;=Settings!$B$13,1,0)</f>
        <v>1</v>
      </c>
      <c r="J566" s="53" t="n">
        <v>1</v>
      </c>
      <c r="K566" s="53" t="n">
        <f aca="false">G566*I566*J566</f>
        <v>21</v>
      </c>
      <c r="L566" s="53" t="n">
        <f aca="false">F566*I566*J566</f>
        <v>3</v>
      </c>
      <c r="M566" s="54" t="n">
        <f aca="false">H566*I566*J566</f>
        <v>1608.06</v>
      </c>
      <c r="N566" s="54" t="n">
        <f aca="false">E566*I566*J566</f>
        <v>192.61</v>
      </c>
      <c r="O566" s="53" t="n">
        <f aca="false">G566*J566</f>
        <v>21</v>
      </c>
      <c r="P566" s="53" t="n">
        <f aca="false">F566*J566</f>
        <v>3</v>
      </c>
    </row>
    <row r="567" customFormat="false" ht="15" hidden="false" customHeight="false" outlineLevel="0" collapsed="false">
      <c r="A567" s="53" t="s">
        <v>97</v>
      </c>
      <c r="B567" s="53" t="s">
        <v>125</v>
      </c>
      <c r="C567" s="53" t="s">
        <v>332</v>
      </c>
      <c r="D567" s="53" t="s">
        <v>46</v>
      </c>
      <c r="E567" s="54" t="n">
        <v>68.14</v>
      </c>
      <c r="F567" s="53" t="n">
        <v>1</v>
      </c>
      <c r="G567" s="53" t="n">
        <v>22</v>
      </c>
      <c r="H567" s="54" t="n">
        <v>1848.99</v>
      </c>
      <c r="I567" s="53" t="n">
        <f aca="false">IF(B567&gt;=Settings!$B$13,1,0)</f>
        <v>1</v>
      </c>
      <c r="J567" s="53" t="n">
        <v>1</v>
      </c>
      <c r="K567" s="53" t="n">
        <f aca="false">G567*I567*J567</f>
        <v>22</v>
      </c>
      <c r="L567" s="53" t="n">
        <f aca="false">F567*I567*J567</f>
        <v>1</v>
      </c>
      <c r="M567" s="54" t="n">
        <f aca="false">H567*I567*J567</f>
        <v>1848.99</v>
      </c>
      <c r="N567" s="54" t="n">
        <f aca="false">E567*I567*J567</f>
        <v>68.14</v>
      </c>
      <c r="O567" s="53" t="n">
        <f aca="false">G567*J567</f>
        <v>22</v>
      </c>
      <c r="P567" s="53" t="n">
        <f aca="false">F567*J567</f>
        <v>1</v>
      </c>
    </row>
    <row r="568" customFormat="false" ht="15" hidden="false" customHeight="false" outlineLevel="0" collapsed="false">
      <c r="A568" s="53" t="s">
        <v>89</v>
      </c>
      <c r="B568" s="53" t="s">
        <v>125</v>
      </c>
      <c r="C568" s="53" t="s">
        <v>156</v>
      </c>
      <c r="D568" s="53" t="s">
        <v>58</v>
      </c>
      <c r="E568" s="54" t="n">
        <v>116.3</v>
      </c>
      <c r="F568" s="53" t="n">
        <v>2</v>
      </c>
      <c r="G568" s="53" t="n">
        <v>71</v>
      </c>
      <c r="H568" s="54" t="n">
        <v>5809.46</v>
      </c>
      <c r="I568" s="53" t="n">
        <f aca="false">IF(B568&gt;=Settings!$B$13,1,0)</f>
        <v>1</v>
      </c>
      <c r="J568" s="53" t="n">
        <v>1</v>
      </c>
      <c r="K568" s="53" t="n">
        <f aca="false">G568*I568*J568</f>
        <v>71</v>
      </c>
      <c r="L568" s="53" t="n">
        <f aca="false">F568*I568*J568</f>
        <v>2</v>
      </c>
      <c r="M568" s="54" t="n">
        <f aca="false">H568*I568*J568</f>
        <v>5809.46</v>
      </c>
      <c r="N568" s="54" t="n">
        <f aca="false">E568*I568*J568</f>
        <v>116.3</v>
      </c>
      <c r="O568" s="53" t="n">
        <f aca="false">G568*J568</f>
        <v>71</v>
      </c>
      <c r="P568" s="53" t="n">
        <f aca="false">F568*J568</f>
        <v>2</v>
      </c>
    </row>
    <row r="569" customFormat="false" ht="15" hidden="false" customHeight="false" outlineLevel="0" collapsed="false">
      <c r="A569" s="53" t="s">
        <v>97</v>
      </c>
      <c r="B569" s="53" t="s">
        <v>125</v>
      </c>
      <c r="C569" s="53" t="s">
        <v>344</v>
      </c>
      <c r="D569" s="53" t="s">
        <v>50</v>
      </c>
      <c r="E569" s="54" t="n">
        <v>359.85</v>
      </c>
      <c r="F569" s="53" t="n">
        <v>4</v>
      </c>
      <c r="G569" s="53" t="n">
        <v>27</v>
      </c>
      <c r="H569" s="54" t="n">
        <v>2930.53</v>
      </c>
      <c r="I569" s="53" t="n">
        <f aca="false">IF(B569&gt;=Settings!$B$13,1,0)</f>
        <v>1</v>
      </c>
      <c r="J569" s="53" t="n">
        <v>1</v>
      </c>
      <c r="K569" s="53" t="n">
        <f aca="false">G569*I569*J569</f>
        <v>27</v>
      </c>
      <c r="L569" s="53" t="n">
        <f aca="false">F569*I569*J569</f>
        <v>4</v>
      </c>
      <c r="M569" s="54" t="n">
        <f aca="false">H569*I569*J569</f>
        <v>2930.53</v>
      </c>
      <c r="N569" s="54" t="n">
        <f aca="false">E569*I569*J569</f>
        <v>359.85</v>
      </c>
      <c r="O569" s="53" t="n">
        <f aca="false">G569*J569</f>
        <v>27</v>
      </c>
      <c r="P569" s="53" t="n">
        <f aca="false">F569*J569</f>
        <v>4</v>
      </c>
    </row>
    <row r="570" customFormat="false" ht="15" hidden="false" customHeight="false" outlineLevel="0" collapsed="false">
      <c r="A570" s="53" t="s">
        <v>97</v>
      </c>
      <c r="B570" s="53" t="s">
        <v>125</v>
      </c>
      <c r="C570" s="53" t="s">
        <v>372</v>
      </c>
      <c r="D570" s="53" t="s">
        <v>42</v>
      </c>
      <c r="E570" s="54" t="n">
        <v>373.67</v>
      </c>
      <c r="F570" s="53" t="n">
        <v>4</v>
      </c>
      <c r="G570" s="53" t="n">
        <v>46</v>
      </c>
      <c r="H570" s="54" t="n">
        <v>5326.02</v>
      </c>
      <c r="I570" s="53" t="n">
        <f aca="false">IF(B570&gt;=Settings!$B$13,1,0)</f>
        <v>1</v>
      </c>
      <c r="J570" s="53" t="n">
        <v>1</v>
      </c>
      <c r="K570" s="53" t="n">
        <f aca="false">G570*I570*J570</f>
        <v>46</v>
      </c>
      <c r="L570" s="53" t="n">
        <f aca="false">F570*I570*J570</f>
        <v>4</v>
      </c>
      <c r="M570" s="54" t="n">
        <f aca="false">H570*I570*J570</f>
        <v>5326.02</v>
      </c>
      <c r="N570" s="54" t="n">
        <f aca="false">E570*I570*J570</f>
        <v>373.67</v>
      </c>
      <c r="O570" s="53" t="n">
        <f aca="false">G570*J570</f>
        <v>46</v>
      </c>
      <c r="P570" s="53" t="n">
        <f aca="false">F570*J570</f>
        <v>4</v>
      </c>
    </row>
    <row r="571" customFormat="false" ht="15" hidden="false" customHeight="false" outlineLevel="0" collapsed="false">
      <c r="A571" s="53" t="s">
        <v>93</v>
      </c>
      <c r="B571" s="53" t="s">
        <v>125</v>
      </c>
      <c r="C571" s="53" t="s">
        <v>154</v>
      </c>
      <c r="D571" s="53" t="s">
        <v>42</v>
      </c>
      <c r="E571" s="54" t="n">
        <v>308.91</v>
      </c>
      <c r="F571" s="53" t="n">
        <v>5</v>
      </c>
      <c r="G571" s="53" t="n">
        <v>70</v>
      </c>
      <c r="H571" s="54" t="n">
        <v>5482.93</v>
      </c>
      <c r="I571" s="53" t="n">
        <f aca="false">IF(B571&gt;=Settings!$B$13,1,0)</f>
        <v>1</v>
      </c>
      <c r="J571" s="53" t="n">
        <v>1</v>
      </c>
      <c r="K571" s="53" t="n">
        <f aca="false">G571*I571*J571</f>
        <v>70</v>
      </c>
      <c r="L571" s="53" t="n">
        <f aca="false">F571*I571*J571</f>
        <v>5</v>
      </c>
      <c r="M571" s="54" t="n">
        <f aca="false">H571*I571*J571</f>
        <v>5482.93</v>
      </c>
      <c r="N571" s="54" t="n">
        <f aca="false">E571*I571*J571</f>
        <v>308.91</v>
      </c>
      <c r="O571" s="53" t="n">
        <f aca="false">G571*J571</f>
        <v>70</v>
      </c>
      <c r="P571" s="53" t="n">
        <f aca="false">F571*J571</f>
        <v>5</v>
      </c>
    </row>
    <row r="572" customFormat="false" ht="15" hidden="false" customHeight="false" outlineLevel="0" collapsed="false">
      <c r="A572" s="53" t="s">
        <v>89</v>
      </c>
      <c r="B572" s="53" t="s">
        <v>125</v>
      </c>
      <c r="C572" s="53" t="s">
        <v>317</v>
      </c>
      <c r="D572" s="53" t="s">
        <v>46</v>
      </c>
      <c r="E572" s="54" t="n">
        <v>1091.33</v>
      </c>
      <c r="F572" s="53" t="n">
        <v>12</v>
      </c>
      <c r="G572" s="53" t="n">
        <v>148</v>
      </c>
      <c r="H572" s="54" t="n">
        <v>16128.85</v>
      </c>
      <c r="I572" s="53" t="n">
        <f aca="false">IF(B572&gt;=Settings!$B$13,1,0)</f>
        <v>1</v>
      </c>
      <c r="J572" s="53" t="n">
        <v>1</v>
      </c>
      <c r="K572" s="53" t="n">
        <f aca="false">G572*I572*J572</f>
        <v>148</v>
      </c>
      <c r="L572" s="53" t="n">
        <f aca="false">F572*I572*J572</f>
        <v>12</v>
      </c>
      <c r="M572" s="54" t="n">
        <f aca="false">H572*I572*J572</f>
        <v>16128.85</v>
      </c>
      <c r="N572" s="54" t="n">
        <f aca="false">E572*I572*J572</f>
        <v>1091.33</v>
      </c>
      <c r="O572" s="53" t="n">
        <f aca="false">G572*J572</f>
        <v>148</v>
      </c>
      <c r="P572" s="53" t="n">
        <f aca="false">F572*J572</f>
        <v>12</v>
      </c>
    </row>
    <row r="573" customFormat="false" ht="15" hidden="false" customHeight="false" outlineLevel="0" collapsed="false">
      <c r="A573" s="53" t="s">
        <v>93</v>
      </c>
      <c r="B573" s="53" t="s">
        <v>125</v>
      </c>
      <c r="C573" s="53" t="s">
        <v>344</v>
      </c>
      <c r="D573" s="53" t="s">
        <v>50</v>
      </c>
      <c r="E573" s="54" t="n">
        <v>94.51</v>
      </c>
      <c r="F573" s="53" t="n">
        <v>1</v>
      </c>
      <c r="G573" s="53" t="n">
        <v>4</v>
      </c>
      <c r="H573" s="54" t="n">
        <v>422.55</v>
      </c>
      <c r="I573" s="53" t="n">
        <f aca="false">IF(B573&gt;=Settings!$B$13,1,0)</f>
        <v>1</v>
      </c>
      <c r="J573" s="53" t="n">
        <v>1</v>
      </c>
      <c r="K573" s="53" t="n">
        <f aca="false">G573*I573*J573</f>
        <v>4</v>
      </c>
      <c r="L573" s="53" t="n">
        <f aca="false">F573*I573*J573</f>
        <v>1</v>
      </c>
      <c r="M573" s="54" t="n">
        <f aca="false">H573*I573*J573</f>
        <v>422.55</v>
      </c>
      <c r="N573" s="54" t="n">
        <f aca="false">E573*I573*J573</f>
        <v>94.51</v>
      </c>
      <c r="O573" s="53" t="n">
        <f aca="false">G573*J573</f>
        <v>4</v>
      </c>
      <c r="P573" s="53" t="n">
        <f aca="false">F573*J573</f>
        <v>1</v>
      </c>
    </row>
    <row r="574" customFormat="false" ht="15" hidden="false" customHeight="false" outlineLevel="0" collapsed="false">
      <c r="A574" s="53" t="s">
        <v>93</v>
      </c>
      <c r="B574" s="53" t="s">
        <v>125</v>
      </c>
      <c r="C574" s="53" t="s">
        <v>317</v>
      </c>
      <c r="D574" s="53" t="s">
        <v>46</v>
      </c>
      <c r="E574" s="54" t="n">
        <v>1035.47</v>
      </c>
      <c r="F574" s="53" t="n">
        <v>11</v>
      </c>
      <c r="G574" s="53" t="n">
        <v>122</v>
      </c>
      <c r="H574" s="54" t="n">
        <v>13152.85</v>
      </c>
      <c r="I574" s="53" t="n">
        <f aca="false">IF(B574&gt;=Settings!$B$13,1,0)</f>
        <v>1</v>
      </c>
      <c r="J574" s="53" t="n">
        <v>1</v>
      </c>
      <c r="K574" s="53" t="n">
        <f aca="false">G574*I574*J574</f>
        <v>122</v>
      </c>
      <c r="L574" s="53" t="n">
        <f aca="false">F574*I574*J574</f>
        <v>11</v>
      </c>
      <c r="M574" s="54" t="n">
        <f aca="false">H574*I574*J574</f>
        <v>13152.85</v>
      </c>
      <c r="N574" s="54" t="n">
        <f aca="false">E574*I574*J574</f>
        <v>1035.47</v>
      </c>
      <c r="O574" s="53" t="n">
        <f aca="false">G574*J574</f>
        <v>122</v>
      </c>
      <c r="P574" s="53" t="n">
        <f aca="false">F574*J574</f>
        <v>11</v>
      </c>
    </row>
    <row r="575" customFormat="false" ht="15" hidden="false" customHeight="false" outlineLevel="0" collapsed="false">
      <c r="A575" s="53" t="s">
        <v>89</v>
      </c>
      <c r="B575" s="53" t="s">
        <v>125</v>
      </c>
      <c r="C575" s="53" t="s">
        <v>344</v>
      </c>
      <c r="D575" s="53" t="s">
        <v>50</v>
      </c>
      <c r="E575" s="54" t="n">
        <v>0</v>
      </c>
      <c r="F575" s="53" t="n">
        <v>0</v>
      </c>
      <c r="G575" s="53" t="n">
        <v>3</v>
      </c>
      <c r="H575" s="54" t="n">
        <v>358.95</v>
      </c>
      <c r="I575" s="53" t="n">
        <f aca="false">IF(B575&gt;=Settings!$B$13,1,0)</f>
        <v>1</v>
      </c>
      <c r="J575" s="53" t="n">
        <v>1</v>
      </c>
      <c r="K575" s="53" t="n">
        <f aca="false">G575*I575*J575</f>
        <v>3</v>
      </c>
      <c r="L575" s="53" t="n">
        <f aca="false">F575*I575*J575</f>
        <v>0</v>
      </c>
      <c r="M575" s="54" t="n">
        <f aca="false">H575*I575*J575</f>
        <v>358.95</v>
      </c>
      <c r="N575" s="54" t="n">
        <f aca="false">E575*I575*J575</f>
        <v>-0</v>
      </c>
      <c r="O575" s="53" t="n">
        <f aca="false">G575*J575</f>
        <v>3</v>
      </c>
      <c r="P575" s="53" t="n">
        <f aca="false">F575*J575</f>
        <v>0</v>
      </c>
    </row>
    <row r="576" customFormat="false" ht="15" hidden="false" customHeight="false" outlineLevel="0" collapsed="false">
      <c r="A576" s="53" t="s">
        <v>97</v>
      </c>
      <c r="B576" s="53" t="s">
        <v>125</v>
      </c>
      <c r="C576" s="53" t="s">
        <v>328</v>
      </c>
      <c r="D576" s="53" t="s">
        <v>50</v>
      </c>
      <c r="E576" s="54" t="n">
        <v>81.11</v>
      </c>
      <c r="F576" s="53" t="n">
        <v>1</v>
      </c>
      <c r="G576" s="53" t="n">
        <v>9</v>
      </c>
      <c r="H576" s="54" t="n">
        <v>740.48</v>
      </c>
      <c r="I576" s="53" t="n">
        <f aca="false">IF(B576&gt;=Settings!$B$13,1,0)</f>
        <v>1</v>
      </c>
      <c r="J576" s="53" t="n">
        <v>1</v>
      </c>
      <c r="K576" s="53" t="n">
        <f aca="false">G576*I576*J576</f>
        <v>9</v>
      </c>
      <c r="L576" s="53" t="n">
        <f aca="false">F576*I576*J576</f>
        <v>1</v>
      </c>
      <c r="M576" s="54" t="n">
        <f aca="false">H576*I576*J576</f>
        <v>740.48</v>
      </c>
      <c r="N576" s="54" t="n">
        <f aca="false">E576*I576*J576</f>
        <v>81.11</v>
      </c>
      <c r="O576" s="53" t="n">
        <f aca="false">G576*J576</f>
        <v>9</v>
      </c>
      <c r="P576" s="53" t="n">
        <f aca="false">F576*J576</f>
        <v>1</v>
      </c>
    </row>
    <row r="577" customFormat="false" ht="15" hidden="false" customHeight="false" outlineLevel="0" collapsed="false">
      <c r="A577" s="53" t="s">
        <v>89</v>
      </c>
      <c r="B577" s="53" t="s">
        <v>125</v>
      </c>
      <c r="C577" s="53" t="s">
        <v>328</v>
      </c>
      <c r="D577" s="53" t="s">
        <v>50</v>
      </c>
      <c r="E577" s="54" t="n">
        <v>220.56</v>
      </c>
      <c r="F577" s="53" t="n">
        <v>3</v>
      </c>
      <c r="G577" s="53" t="n">
        <v>35</v>
      </c>
      <c r="H577" s="54" t="n">
        <v>3039.23</v>
      </c>
      <c r="I577" s="53" t="n">
        <f aca="false">IF(B577&gt;=Settings!$B$13,1,0)</f>
        <v>1</v>
      </c>
      <c r="J577" s="53" t="n">
        <v>1</v>
      </c>
      <c r="K577" s="53" t="n">
        <f aca="false">G577*I577*J577</f>
        <v>35</v>
      </c>
      <c r="L577" s="53" t="n">
        <f aca="false">F577*I577*J577</f>
        <v>3</v>
      </c>
      <c r="M577" s="54" t="n">
        <f aca="false">H577*I577*J577</f>
        <v>3039.23</v>
      </c>
      <c r="N577" s="54" t="n">
        <f aca="false">E577*I577*J577</f>
        <v>220.56</v>
      </c>
      <c r="O577" s="53" t="n">
        <f aca="false">G577*J577</f>
        <v>35</v>
      </c>
      <c r="P577" s="53" t="n">
        <f aca="false">F577*J577</f>
        <v>3</v>
      </c>
    </row>
    <row r="578" customFormat="false" ht="15" hidden="false" customHeight="false" outlineLevel="0" collapsed="false">
      <c r="A578" s="53" t="s">
        <v>93</v>
      </c>
      <c r="B578" s="53" t="s">
        <v>125</v>
      </c>
      <c r="C578" s="53" t="s">
        <v>162</v>
      </c>
      <c r="D578" s="53" t="s">
        <v>42</v>
      </c>
      <c r="E578" s="54" t="n">
        <v>98.15</v>
      </c>
      <c r="F578" s="53" t="n">
        <v>1</v>
      </c>
      <c r="G578" s="53" t="n">
        <v>55</v>
      </c>
      <c r="H578" s="54" t="n">
        <v>6810.91</v>
      </c>
      <c r="I578" s="53" t="n">
        <f aca="false">IF(B578&gt;=Settings!$B$13,1,0)</f>
        <v>1</v>
      </c>
      <c r="J578" s="53" t="n">
        <v>1</v>
      </c>
      <c r="K578" s="53" t="n">
        <f aca="false">G578*I578*J578</f>
        <v>55</v>
      </c>
      <c r="L578" s="53" t="n">
        <f aca="false">F578*I578*J578</f>
        <v>1</v>
      </c>
      <c r="M578" s="54" t="n">
        <f aca="false">H578*I578*J578</f>
        <v>6810.91</v>
      </c>
      <c r="N578" s="54" t="n">
        <f aca="false">E578*I578*J578</f>
        <v>98.15</v>
      </c>
      <c r="O578" s="53" t="n">
        <f aca="false">G578*J578</f>
        <v>55</v>
      </c>
      <c r="P578" s="53" t="n">
        <f aca="false">F578*J578</f>
        <v>1</v>
      </c>
    </row>
    <row r="579" customFormat="false" ht="15" hidden="false" customHeight="false" outlineLevel="0" collapsed="false">
      <c r="A579" s="53" t="s">
        <v>97</v>
      </c>
      <c r="B579" s="53" t="s">
        <v>125</v>
      </c>
      <c r="C579" s="53" t="s">
        <v>390</v>
      </c>
      <c r="D579" s="53" t="s">
        <v>54</v>
      </c>
      <c r="E579" s="54" t="n">
        <v>270.4</v>
      </c>
      <c r="F579" s="53" t="n">
        <v>4</v>
      </c>
      <c r="G579" s="53" t="n">
        <v>41</v>
      </c>
      <c r="H579" s="54" t="n">
        <v>3309.9</v>
      </c>
      <c r="I579" s="53" t="n">
        <f aca="false">IF(B579&gt;=Settings!$B$13,1,0)</f>
        <v>1</v>
      </c>
      <c r="J579" s="53" t="n">
        <v>1</v>
      </c>
      <c r="K579" s="53" t="n">
        <f aca="false">G579*I579*J579</f>
        <v>41</v>
      </c>
      <c r="L579" s="53" t="n">
        <f aca="false">F579*I579*J579</f>
        <v>4</v>
      </c>
      <c r="M579" s="54" t="n">
        <f aca="false">H579*I579*J579</f>
        <v>3309.9</v>
      </c>
      <c r="N579" s="54" t="n">
        <f aca="false">E579*I579*J579</f>
        <v>270.4</v>
      </c>
      <c r="O579" s="53" t="n">
        <f aca="false">G579*J579</f>
        <v>41</v>
      </c>
      <c r="P579" s="53" t="n">
        <f aca="false">F579*J579</f>
        <v>4</v>
      </c>
    </row>
    <row r="580" customFormat="false" ht="15" hidden="false" customHeight="false" outlineLevel="0" collapsed="false">
      <c r="A580" s="53" t="s">
        <v>93</v>
      </c>
      <c r="B580" s="53" t="s">
        <v>125</v>
      </c>
      <c r="C580" s="53" t="s">
        <v>144</v>
      </c>
      <c r="D580" s="53" t="s">
        <v>58</v>
      </c>
      <c r="E580" s="54" t="n">
        <v>0</v>
      </c>
      <c r="F580" s="53" t="n">
        <v>0</v>
      </c>
      <c r="G580" s="53" t="n">
        <v>2</v>
      </c>
      <c r="H580" s="54" t="n">
        <v>227.16</v>
      </c>
      <c r="I580" s="53" t="n">
        <f aca="false">IF(B580&gt;=Settings!$B$13,1,0)</f>
        <v>1</v>
      </c>
      <c r="J580" s="53" t="n">
        <v>1</v>
      </c>
      <c r="K580" s="53" t="n">
        <f aca="false">G580*I580*J580</f>
        <v>2</v>
      </c>
      <c r="L580" s="53" t="n">
        <f aca="false">F580*I580*J580</f>
        <v>0</v>
      </c>
      <c r="M580" s="54" t="n">
        <f aca="false">H580*I580*J580</f>
        <v>227.16</v>
      </c>
      <c r="N580" s="54" t="n">
        <f aca="false">E580*I580*J580</f>
        <v>-0</v>
      </c>
      <c r="O580" s="53" t="n">
        <f aca="false">G580*J580</f>
        <v>2</v>
      </c>
      <c r="P580" s="53" t="n">
        <f aca="false">F580*J580</f>
        <v>0</v>
      </c>
    </row>
    <row r="581" customFormat="false" ht="15" hidden="false" customHeight="false" outlineLevel="0" collapsed="false">
      <c r="A581" s="53" t="s">
        <v>97</v>
      </c>
      <c r="B581" s="53" t="s">
        <v>125</v>
      </c>
      <c r="C581" s="53" t="s">
        <v>371</v>
      </c>
      <c r="D581" s="53" t="s">
        <v>58</v>
      </c>
      <c r="E581" s="54" t="n">
        <v>440.79</v>
      </c>
      <c r="F581" s="53" t="n">
        <v>5</v>
      </c>
      <c r="G581" s="53" t="n">
        <v>16</v>
      </c>
      <c r="H581" s="54" t="n">
        <v>1691.01</v>
      </c>
      <c r="I581" s="53" t="n">
        <f aca="false">IF(B581&gt;=Settings!$B$13,1,0)</f>
        <v>1</v>
      </c>
      <c r="J581" s="53" t="n">
        <v>1</v>
      </c>
      <c r="K581" s="53" t="n">
        <f aca="false">G581*I581*J581</f>
        <v>16</v>
      </c>
      <c r="L581" s="53" t="n">
        <f aca="false">F581*I581*J581</f>
        <v>5</v>
      </c>
      <c r="M581" s="54" t="n">
        <f aca="false">H581*I581*J581</f>
        <v>1691.01</v>
      </c>
      <c r="N581" s="54" t="n">
        <f aca="false">E581*I581*J581</f>
        <v>440.79</v>
      </c>
      <c r="O581" s="53" t="n">
        <f aca="false">G581*J581</f>
        <v>16</v>
      </c>
      <c r="P581" s="53" t="n">
        <f aca="false">F581*J581</f>
        <v>5</v>
      </c>
    </row>
    <row r="582" customFormat="false" ht="15" hidden="false" customHeight="false" outlineLevel="0" collapsed="false">
      <c r="A582" s="53" t="s">
        <v>89</v>
      </c>
      <c r="B582" s="53" t="s">
        <v>125</v>
      </c>
      <c r="C582" s="53" t="s">
        <v>330</v>
      </c>
      <c r="D582" s="53" t="s">
        <v>46</v>
      </c>
      <c r="E582" s="54" t="n">
        <v>751.56</v>
      </c>
      <c r="F582" s="53" t="n">
        <v>6</v>
      </c>
      <c r="G582" s="53" t="n">
        <v>67</v>
      </c>
      <c r="H582" s="54" t="n">
        <v>9096.7</v>
      </c>
      <c r="I582" s="53" t="n">
        <f aca="false">IF(B582&gt;=Settings!$B$13,1,0)</f>
        <v>1</v>
      </c>
      <c r="J582" s="53" t="n">
        <v>1</v>
      </c>
      <c r="K582" s="53" t="n">
        <f aca="false">G582*I582*J582</f>
        <v>67</v>
      </c>
      <c r="L582" s="53" t="n">
        <f aca="false">F582*I582*J582</f>
        <v>6</v>
      </c>
      <c r="M582" s="54" t="n">
        <f aca="false">H582*I582*J582</f>
        <v>9096.7</v>
      </c>
      <c r="N582" s="54" t="n">
        <f aca="false">E582*I582*J582</f>
        <v>751.56</v>
      </c>
      <c r="O582" s="53" t="n">
        <f aca="false">G582*J582</f>
        <v>67</v>
      </c>
      <c r="P582" s="53" t="n">
        <f aca="false">F582*J582</f>
        <v>6</v>
      </c>
    </row>
    <row r="583" customFormat="false" ht="15" hidden="false" customHeight="false" outlineLevel="0" collapsed="false">
      <c r="A583" s="53" t="s">
        <v>93</v>
      </c>
      <c r="B583" s="53" t="s">
        <v>125</v>
      </c>
      <c r="C583" s="53" t="s">
        <v>316</v>
      </c>
      <c r="D583" s="53" t="s">
        <v>62</v>
      </c>
      <c r="E583" s="54" t="n">
        <v>0</v>
      </c>
      <c r="F583" s="53" t="n">
        <v>0</v>
      </c>
      <c r="G583" s="53" t="n">
        <v>6</v>
      </c>
      <c r="H583" s="54" t="n">
        <v>617.88</v>
      </c>
      <c r="I583" s="53" t="n">
        <f aca="false">IF(B583&gt;=Settings!$B$13,1,0)</f>
        <v>1</v>
      </c>
      <c r="J583" s="53" t="n">
        <v>1</v>
      </c>
      <c r="K583" s="53" t="n">
        <f aca="false">G583*I583*J583</f>
        <v>6</v>
      </c>
      <c r="L583" s="53" t="n">
        <f aca="false">F583*I583*J583</f>
        <v>0</v>
      </c>
      <c r="M583" s="54" t="n">
        <f aca="false">H583*I583*J583</f>
        <v>617.88</v>
      </c>
      <c r="N583" s="54" t="n">
        <f aca="false">E583*I583*J583</f>
        <v>-0</v>
      </c>
      <c r="O583" s="53" t="n">
        <f aca="false">G583*J583</f>
        <v>6</v>
      </c>
      <c r="P583" s="53" t="n">
        <f aca="false">F583*J583</f>
        <v>0</v>
      </c>
    </row>
    <row r="584" customFormat="false" ht="15" hidden="false" customHeight="false" outlineLevel="0" collapsed="false">
      <c r="A584" s="53" t="s">
        <v>89</v>
      </c>
      <c r="B584" s="53" t="s">
        <v>125</v>
      </c>
      <c r="C584" s="53" t="s">
        <v>163</v>
      </c>
      <c r="D584" s="53" t="s">
        <v>50</v>
      </c>
      <c r="E584" s="54" t="n">
        <v>0</v>
      </c>
      <c r="F584" s="53" t="n">
        <v>0</v>
      </c>
      <c r="G584" s="53" t="n">
        <v>11</v>
      </c>
      <c r="H584" s="54" t="n">
        <v>1454.01</v>
      </c>
      <c r="I584" s="53" t="n">
        <f aca="false">IF(B584&gt;=Settings!$B$13,1,0)</f>
        <v>1</v>
      </c>
      <c r="J584" s="53" t="n">
        <v>1</v>
      </c>
      <c r="K584" s="53" t="n">
        <f aca="false">G584*I584*J584</f>
        <v>11</v>
      </c>
      <c r="L584" s="53" t="n">
        <f aca="false">F584*I584*J584</f>
        <v>0</v>
      </c>
      <c r="M584" s="54" t="n">
        <f aca="false">H584*I584*J584</f>
        <v>1454.01</v>
      </c>
      <c r="N584" s="54" t="n">
        <f aca="false">E584*I584*J584</f>
        <v>-0</v>
      </c>
      <c r="O584" s="53" t="n">
        <f aca="false">G584*J584</f>
        <v>11</v>
      </c>
      <c r="P584" s="53" t="n">
        <f aca="false">F584*J584</f>
        <v>0</v>
      </c>
    </row>
    <row r="585" customFormat="false" ht="15" hidden="false" customHeight="false" outlineLevel="0" collapsed="false">
      <c r="A585" s="53" t="s">
        <v>100</v>
      </c>
      <c r="B585" s="53" t="s">
        <v>125</v>
      </c>
      <c r="C585" s="53" t="s">
        <v>322</v>
      </c>
      <c r="D585" s="53" t="s">
        <v>54</v>
      </c>
      <c r="E585" s="54" t="n">
        <v>0</v>
      </c>
      <c r="F585" s="53" t="n">
        <v>0</v>
      </c>
      <c r="G585" s="53" t="n">
        <v>3</v>
      </c>
      <c r="H585" s="54" t="n">
        <v>190.76</v>
      </c>
      <c r="I585" s="53" t="n">
        <f aca="false">IF(B585&gt;=Settings!$B$13,1,0)</f>
        <v>1</v>
      </c>
      <c r="J585" s="53" t="n">
        <v>1</v>
      </c>
      <c r="K585" s="53" t="n">
        <f aca="false">G585*I585*J585</f>
        <v>3</v>
      </c>
      <c r="L585" s="53" t="n">
        <f aca="false">F585*I585*J585</f>
        <v>0</v>
      </c>
      <c r="M585" s="54" t="n">
        <f aca="false">H585*I585*J585</f>
        <v>190.76</v>
      </c>
      <c r="N585" s="54" t="n">
        <f aca="false">E585*I585*J585</f>
        <v>-0</v>
      </c>
      <c r="O585" s="53" t="n">
        <f aca="false">G585*J585</f>
        <v>3</v>
      </c>
      <c r="P585" s="53" t="n">
        <f aca="false">F585*J585</f>
        <v>0</v>
      </c>
    </row>
    <row r="586" customFormat="false" ht="15" hidden="false" customHeight="false" outlineLevel="0" collapsed="false">
      <c r="A586" s="53" t="s">
        <v>89</v>
      </c>
      <c r="B586" s="53" t="s">
        <v>125</v>
      </c>
      <c r="C586" s="53" t="s">
        <v>357</v>
      </c>
      <c r="D586" s="53" t="s">
        <v>54</v>
      </c>
      <c r="E586" s="54" t="n">
        <v>367.98</v>
      </c>
      <c r="F586" s="53" t="n">
        <v>5</v>
      </c>
      <c r="G586" s="53" t="n">
        <v>15</v>
      </c>
      <c r="H586" s="54" t="n">
        <v>1285.64</v>
      </c>
      <c r="I586" s="53" t="n">
        <f aca="false">IF(B586&gt;=Settings!$B$13,1,0)</f>
        <v>1</v>
      </c>
      <c r="J586" s="53" t="n">
        <v>1</v>
      </c>
      <c r="K586" s="53" t="n">
        <f aca="false">G586*I586*J586</f>
        <v>15</v>
      </c>
      <c r="L586" s="53" t="n">
        <f aca="false">F586*I586*J586</f>
        <v>5</v>
      </c>
      <c r="M586" s="54" t="n">
        <f aca="false">H586*I586*J586</f>
        <v>1285.64</v>
      </c>
      <c r="N586" s="54" t="n">
        <f aca="false">E586*I586*J586</f>
        <v>367.98</v>
      </c>
      <c r="O586" s="53" t="n">
        <f aca="false">G586*J586</f>
        <v>15</v>
      </c>
      <c r="P586" s="53" t="n">
        <f aca="false">F586*J586</f>
        <v>5</v>
      </c>
    </row>
    <row r="587" customFormat="false" ht="15" hidden="false" customHeight="false" outlineLevel="0" collapsed="false">
      <c r="A587" s="53" t="s">
        <v>93</v>
      </c>
      <c r="B587" s="53" t="s">
        <v>125</v>
      </c>
      <c r="C587" s="53" t="s">
        <v>156</v>
      </c>
      <c r="D587" s="53" t="s">
        <v>58</v>
      </c>
      <c r="E587" s="54" t="n">
        <v>0</v>
      </c>
      <c r="F587" s="53" t="n">
        <v>0</v>
      </c>
      <c r="G587" s="53" t="n">
        <v>5</v>
      </c>
      <c r="H587" s="54" t="n">
        <v>468.03</v>
      </c>
      <c r="I587" s="53" t="n">
        <f aca="false">IF(B587&gt;=Settings!$B$13,1,0)</f>
        <v>1</v>
      </c>
      <c r="J587" s="53" t="n">
        <v>1</v>
      </c>
      <c r="K587" s="53" t="n">
        <f aca="false">G587*I587*J587</f>
        <v>5</v>
      </c>
      <c r="L587" s="53" t="n">
        <f aca="false">F587*I587*J587</f>
        <v>0</v>
      </c>
      <c r="M587" s="54" t="n">
        <f aca="false">H587*I587*J587</f>
        <v>468.03</v>
      </c>
      <c r="N587" s="54" t="n">
        <f aca="false">E587*I587*J587</f>
        <v>-0</v>
      </c>
      <c r="O587" s="53" t="n">
        <f aca="false">G587*J587</f>
        <v>5</v>
      </c>
      <c r="P587" s="53" t="n">
        <f aca="false">F587*J587</f>
        <v>0</v>
      </c>
    </row>
    <row r="588" customFormat="false" ht="15" hidden="false" customHeight="false" outlineLevel="0" collapsed="false">
      <c r="A588" s="53" t="s">
        <v>93</v>
      </c>
      <c r="B588" s="53" t="s">
        <v>125</v>
      </c>
      <c r="C588" s="53" t="s">
        <v>357</v>
      </c>
      <c r="D588" s="53" t="s">
        <v>54</v>
      </c>
      <c r="E588" s="54" t="n">
        <v>0</v>
      </c>
      <c r="F588" s="53" t="n">
        <v>0</v>
      </c>
      <c r="G588" s="53" t="n">
        <v>24</v>
      </c>
      <c r="H588" s="54" t="n">
        <v>1989.72</v>
      </c>
      <c r="I588" s="53" t="n">
        <f aca="false">IF(B588&gt;=Settings!$B$13,1,0)</f>
        <v>1</v>
      </c>
      <c r="J588" s="53" t="n">
        <v>1</v>
      </c>
      <c r="K588" s="53" t="n">
        <f aca="false">G588*I588*J588</f>
        <v>24</v>
      </c>
      <c r="L588" s="53" t="n">
        <f aca="false">F588*I588*J588</f>
        <v>0</v>
      </c>
      <c r="M588" s="54" t="n">
        <f aca="false">H588*I588*J588</f>
        <v>1989.72</v>
      </c>
      <c r="N588" s="54" t="n">
        <f aca="false">E588*I588*J588</f>
        <v>-0</v>
      </c>
      <c r="O588" s="53" t="n">
        <f aca="false">G588*J588</f>
        <v>24</v>
      </c>
      <c r="P588" s="53" t="n">
        <f aca="false">F588*J588</f>
        <v>0</v>
      </c>
    </row>
    <row r="589" customFormat="false" ht="15" hidden="false" customHeight="false" outlineLevel="0" collapsed="false">
      <c r="A589" s="53" t="s">
        <v>89</v>
      </c>
      <c r="B589" s="53" t="s">
        <v>125</v>
      </c>
      <c r="C589" s="53" t="s">
        <v>146</v>
      </c>
      <c r="D589" s="53" t="s">
        <v>58</v>
      </c>
      <c r="E589" s="54" t="n">
        <v>0</v>
      </c>
      <c r="F589" s="53" t="n">
        <v>0</v>
      </c>
      <c r="G589" s="53" t="n">
        <v>1</v>
      </c>
      <c r="H589" s="54" t="n">
        <v>136.32</v>
      </c>
      <c r="I589" s="53" t="n">
        <f aca="false">IF(B589&gt;=Settings!$B$13,1,0)</f>
        <v>1</v>
      </c>
      <c r="J589" s="53" t="n">
        <v>1</v>
      </c>
      <c r="K589" s="53" t="n">
        <f aca="false">G589*I589*J589</f>
        <v>1</v>
      </c>
      <c r="L589" s="53" t="n">
        <f aca="false">F589*I589*J589</f>
        <v>0</v>
      </c>
      <c r="M589" s="54" t="n">
        <f aca="false">H589*I589*J589</f>
        <v>136.32</v>
      </c>
      <c r="N589" s="54" t="n">
        <f aca="false">E589*I589*J589</f>
        <v>-0</v>
      </c>
      <c r="O589" s="53" t="n">
        <f aca="false">G589*J589</f>
        <v>1</v>
      </c>
      <c r="P589" s="53" t="n">
        <f aca="false">F589*J589</f>
        <v>0</v>
      </c>
    </row>
    <row r="590" customFormat="false" ht="15" hidden="false" customHeight="false" outlineLevel="0" collapsed="false">
      <c r="A590" s="53" t="s">
        <v>89</v>
      </c>
      <c r="B590" s="53" t="s">
        <v>125</v>
      </c>
      <c r="C590" s="53" t="s">
        <v>322</v>
      </c>
      <c r="D590" s="53" t="s">
        <v>54</v>
      </c>
      <c r="E590" s="54" t="n">
        <v>142.65</v>
      </c>
      <c r="F590" s="53" t="n">
        <v>2</v>
      </c>
      <c r="G590" s="53" t="n">
        <v>39</v>
      </c>
      <c r="H590" s="54" t="n">
        <v>2829.94</v>
      </c>
      <c r="I590" s="53" t="n">
        <f aca="false">IF(B590&gt;=Settings!$B$13,1,0)</f>
        <v>1</v>
      </c>
      <c r="J590" s="53" t="n">
        <v>1</v>
      </c>
      <c r="K590" s="53" t="n">
        <f aca="false">G590*I590*J590</f>
        <v>39</v>
      </c>
      <c r="L590" s="53" t="n">
        <f aca="false">F590*I590*J590</f>
        <v>2</v>
      </c>
      <c r="M590" s="54" t="n">
        <f aca="false">H590*I590*J590</f>
        <v>2829.94</v>
      </c>
      <c r="N590" s="54" t="n">
        <f aca="false">E590*I590*J590</f>
        <v>142.65</v>
      </c>
      <c r="O590" s="53" t="n">
        <f aca="false">G590*J590</f>
        <v>39</v>
      </c>
      <c r="P590" s="53" t="n">
        <f aca="false">F590*J590</f>
        <v>2</v>
      </c>
    </row>
    <row r="591" customFormat="false" ht="15" hidden="false" customHeight="false" outlineLevel="0" collapsed="false">
      <c r="A591" s="53" t="s">
        <v>97</v>
      </c>
      <c r="B591" s="53" t="s">
        <v>125</v>
      </c>
      <c r="C591" s="53" t="s">
        <v>154</v>
      </c>
      <c r="D591" s="53" t="s">
        <v>42</v>
      </c>
      <c r="E591" s="54" t="n">
        <v>290.74</v>
      </c>
      <c r="F591" s="53" t="n">
        <v>4</v>
      </c>
      <c r="G591" s="53" t="n">
        <v>72</v>
      </c>
      <c r="H591" s="54" t="n">
        <v>5033.04</v>
      </c>
      <c r="I591" s="53" t="n">
        <f aca="false">IF(B591&gt;=Settings!$B$13,1,0)</f>
        <v>1</v>
      </c>
      <c r="J591" s="53" t="n">
        <v>1</v>
      </c>
      <c r="K591" s="53" t="n">
        <f aca="false">G591*I591*J591</f>
        <v>72</v>
      </c>
      <c r="L591" s="53" t="n">
        <f aca="false">F591*I591*J591</f>
        <v>4</v>
      </c>
      <c r="M591" s="54" t="n">
        <f aca="false">H591*I591*J591</f>
        <v>5033.04</v>
      </c>
      <c r="N591" s="54" t="n">
        <f aca="false">E591*I591*J591</f>
        <v>290.74</v>
      </c>
      <c r="O591" s="53" t="n">
        <f aca="false">G591*J591</f>
        <v>72</v>
      </c>
      <c r="P591" s="53" t="n">
        <f aca="false">F591*J591</f>
        <v>4</v>
      </c>
    </row>
    <row r="592" customFormat="false" ht="15" hidden="false" customHeight="false" outlineLevel="0" collapsed="false">
      <c r="A592" s="53" t="s">
        <v>100</v>
      </c>
      <c r="B592" s="53" t="s">
        <v>125</v>
      </c>
      <c r="C592" s="53" t="s">
        <v>143</v>
      </c>
      <c r="D592" s="53" t="s">
        <v>54</v>
      </c>
      <c r="E592" s="54" t="n">
        <v>105.42</v>
      </c>
      <c r="F592" s="53" t="n">
        <v>1</v>
      </c>
      <c r="G592" s="53" t="n">
        <v>5</v>
      </c>
      <c r="H592" s="54" t="n">
        <v>599.75</v>
      </c>
      <c r="I592" s="53" t="n">
        <f aca="false">IF(B592&gt;=Settings!$B$13,1,0)</f>
        <v>1</v>
      </c>
      <c r="J592" s="53" t="n">
        <v>1</v>
      </c>
      <c r="K592" s="53" t="n">
        <f aca="false">G592*I592*J592</f>
        <v>5</v>
      </c>
      <c r="L592" s="53" t="n">
        <f aca="false">F592*I592*J592</f>
        <v>1</v>
      </c>
      <c r="M592" s="54" t="n">
        <f aca="false">H592*I592*J592</f>
        <v>599.75</v>
      </c>
      <c r="N592" s="54" t="n">
        <f aca="false">E592*I592*J592</f>
        <v>105.42</v>
      </c>
      <c r="O592" s="53" t="n">
        <f aca="false">G592*J592</f>
        <v>5</v>
      </c>
      <c r="P592" s="53" t="n">
        <f aca="false">F592*J592</f>
        <v>1</v>
      </c>
    </row>
    <row r="593" customFormat="false" ht="15" hidden="false" customHeight="false" outlineLevel="0" collapsed="false">
      <c r="A593" s="53" t="s">
        <v>100</v>
      </c>
      <c r="B593" s="53" t="s">
        <v>125</v>
      </c>
      <c r="C593" s="53" t="s">
        <v>392</v>
      </c>
      <c r="D593" s="53" t="s">
        <v>54</v>
      </c>
      <c r="E593" s="54" t="n">
        <v>79.96</v>
      </c>
      <c r="F593" s="53" t="n">
        <v>1</v>
      </c>
      <c r="G593" s="53" t="n">
        <v>14</v>
      </c>
      <c r="H593" s="54" t="n">
        <v>1335.65</v>
      </c>
      <c r="I593" s="53" t="n">
        <f aca="false">IF(B593&gt;=Settings!$B$13,1,0)</f>
        <v>1</v>
      </c>
      <c r="J593" s="53" t="n">
        <v>1</v>
      </c>
      <c r="K593" s="53" t="n">
        <f aca="false">G593*I593*J593</f>
        <v>14</v>
      </c>
      <c r="L593" s="53" t="n">
        <f aca="false">F593*I593*J593</f>
        <v>1</v>
      </c>
      <c r="M593" s="54" t="n">
        <f aca="false">H593*I593*J593</f>
        <v>1335.65</v>
      </c>
      <c r="N593" s="54" t="n">
        <f aca="false">E593*I593*J593</f>
        <v>79.96</v>
      </c>
      <c r="O593" s="53" t="n">
        <f aca="false">G593*J593</f>
        <v>14</v>
      </c>
      <c r="P593" s="53" t="n">
        <f aca="false">F593*J593</f>
        <v>1</v>
      </c>
    </row>
    <row r="594" customFormat="false" ht="15" hidden="false" customHeight="false" outlineLevel="0" collapsed="false">
      <c r="A594" s="53" t="s">
        <v>97</v>
      </c>
      <c r="B594" s="53" t="s">
        <v>125</v>
      </c>
      <c r="C594" s="53" t="s">
        <v>162</v>
      </c>
      <c r="D594" s="53" t="s">
        <v>42</v>
      </c>
      <c r="E594" s="54" t="n">
        <v>446.41</v>
      </c>
      <c r="F594" s="53" t="n">
        <v>4</v>
      </c>
      <c r="G594" s="53" t="n">
        <v>68</v>
      </c>
      <c r="H594" s="54" t="n">
        <v>7833.11</v>
      </c>
      <c r="I594" s="53" t="n">
        <f aca="false">IF(B594&gt;=Settings!$B$13,1,0)</f>
        <v>1</v>
      </c>
      <c r="J594" s="53" t="n">
        <v>1</v>
      </c>
      <c r="K594" s="53" t="n">
        <f aca="false">G594*I594*J594</f>
        <v>68</v>
      </c>
      <c r="L594" s="53" t="n">
        <f aca="false">F594*I594*J594</f>
        <v>4</v>
      </c>
      <c r="M594" s="54" t="n">
        <f aca="false">H594*I594*J594</f>
        <v>7833.11</v>
      </c>
      <c r="N594" s="54" t="n">
        <f aca="false">E594*I594*J594</f>
        <v>446.41</v>
      </c>
      <c r="O594" s="53" t="n">
        <f aca="false">G594*J594</f>
        <v>68</v>
      </c>
      <c r="P594" s="53" t="n">
        <f aca="false">F594*J594</f>
        <v>4</v>
      </c>
    </row>
    <row r="595" customFormat="false" ht="15" hidden="false" customHeight="false" outlineLevel="0" collapsed="false">
      <c r="A595" s="53" t="s">
        <v>89</v>
      </c>
      <c r="B595" s="53" t="s">
        <v>125</v>
      </c>
      <c r="C595" s="53" t="s">
        <v>387</v>
      </c>
      <c r="D595" s="53" t="s">
        <v>58</v>
      </c>
      <c r="E595" s="54" t="n">
        <v>72.68</v>
      </c>
      <c r="F595" s="53" t="n">
        <v>1</v>
      </c>
      <c r="G595" s="53" t="n">
        <v>7</v>
      </c>
      <c r="H595" s="54" t="n">
        <v>522.39</v>
      </c>
      <c r="I595" s="53" t="n">
        <f aca="false">IF(B595&gt;=Settings!$B$13,1,0)</f>
        <v>1</v>
      </c>
      <c r="J595" s="53" t="n">
        <v>1</v>
      </c>
      <c r="K595" s="53" t="n">
        <f aca="false">G595*I595*J595</f>
        <v>7</v>
      </c>
      <c r="L595" s="53" t="n">
        <f aca="false">F595*I595*J595</f>
        <v>1</v>
      </c>
      <c r="M595" s="54" t="n">
        <f aca="false">H595*I595*J595</f>
        <v>522.39</v>
      </c>
      <c r="N595" s="54" t="n">
        <f aca="false">E595*I595*J595</f>
        <v>72.68</v>
      </c>
      <c r="O595" s="53" t="n">
        <f aca="false">G595*J595</f>
        <v>7</v>
      </c>
      <c r="P595" s="53" t="n">
        <f aca="false">F595*J595</f>
        <v>1</v>
      </c>
    </row>
    <row r="596" customFormat="false" ht="15" hidden="false" customHeight="false" outlineLevel="0" collapsed="false">
      <c r="A596" s="53" t="s">
        <v>89</v>
      </c>
      <c r="B596" s="53" t="s">
        <v>125</v>
      </c>
      <c r="C596" s="53" t="s">
        <v>158</v>
      </c>
      <c r="D596" s="53" t="s">
        <v>42</v>
      </c>
      <c r="E596" s="54" t="n">
        <v>1562.98</v>
      </c>
      <c r="F596" s="53" t="n">
        <v>17</v>
      </c>
      <c r="G596" s="53" t="n">
        <v>211</v>
      </c>
      <c r="H596" s="54" t="n">
        <v>23026.2</v>
      </c>
      <c r="I596" s="53" t="n">
        <f aca="false">IF(B596&gt;=Settings!$B$13,1,0)</f>
        <v>1</v>
      </c>
      <c r="J596" s="53" t="n">
        <v>1</v>
      </c>
      <c r="K596" s="53" t="n">
        <f aca="false">G596*I596*J596</f>
        <v>211</v>
      </c>
      <c r="L596" s="53" t="n">
        <f aca="false">F596*I596*J596</f>
        <v>17</v>
      </c>
      <c r="M596" s="54" t="n">
        <f aca="false">H596*I596*J596</f>
        <v>23026.2</v>
      </c>
      <c r="N596" s="54" t="n">
        <f aca="false">E596*I596*J596</f>
        <v>1562.98</v>
      </c>
      <c r="O596" s="53" t="n">
        <f aca="false">G596*J596</f>
        <v>211</v>
      </c>
      <c r="P596" s="53" t="n">
        <f aca="false">F596*J596</f>
        <v>17</v>
      </c>
    </row>
    <row r="597" customFormat="false" ht="15" hidden="false" customHeight="false" outlineLevel="0" collapsed="false">
      <c r="A597" s="53" t="s">
        <v>89</v>
      </c>
      <c r="B597" s="53" t="s">
        <v>125</v>
      </c>
      <c r="C597" s="53" t="s">
        <v>347</v>
      </c>
      <c r="D597" s="53" t="s">
        <v>62</v>
      </c>
      <c r="E597" s="54" t="n">
        <v>65.42</v>
      </c>
      <c r="F597" s="53" t="n">
        <v>1</v>
      </c>
      <c r="G597" s="53" t="n">
        <v>13</v>
      </c>
      <c r="H597" s="54" t="n">
        <v>981.18</v>
      </c>
      <c r="I597" s="53" t="n">
        <f aca="false">IF(B597&gt;=Settings!$B$13,1,0)</f>
        <v>1</v>
      </c>
      <c r="J597" s="53" t="n">
        <v>1</v>
      </c>
      <c r="K597" s="53" t="n">
        <f aca="false">G597*I597*J597</f>
        <v>13</v>
      </c>
      <c r="L597" s="53" t="n">
        <f aca="false">F597*I597*J597</f>
        <v>1</v>
      </c>
      <c r="M597" s="54" t="n">
        <f aca="false">H597*I597*J597</f>
        <v>981.18</v>
      </c>
      <c r="N597" s="54" t="n">
        <f aca="false">E597*I597*J597</f>
        <v>65.42</v>
      </c>
      <c r="O597" s="53" t="n">
        <f aca="false">G597*J597</f>
        <v>13</v>
      </c>
      <c r="P597" s="53" t="n">
        <f aca="false">F597*J597</f>
        <v>1</v>
      </c>
    </row>
    <row r="598" customFormat="false" ht="15" hidden="false" customHeight="false" outlineLevel="0" collapsed="false">
      <c r="A598" s="53" t="s">
        <v>89</v>
      </c>
      <c r="B598" s="53" t="s">
        <v>125</v>
      </c>
      <c r="C598" s="53" t="s">
        <v>165</v>
      </c>
      <c r="D598" s="53" t="s">
        <v>42</v>
      </c>
      <c r="E598" s="54" t="n">
        <v>1484.01</v>
      </c>
      <c r="F598" s="53" t="n">
        <v>13</v>
      </c>
      <c r="G598" s="53" t="n">
        <v>269</v>
      </c>
      <c r="H598" s="54" t="n">
        <v>34041.28</v>
      </c>
      <c r="I598" s="53" t="n">
        <f aca="false">IF(B598&gt;=Settings!$B$13,1,0)</f>
        <v>1</v>
      </c>
      <c r="J598" s="53" t="n">
        <v>1</v>
      </c>
      <c r="K598" s="53" t="n">
        <f aca="false">G598*I598*J598</f>
        <v>269</v>
      </c>
      <c r="L598" s="53" t="n">
        <f aca="false">F598*I598*J598</f>
        <v>13</v>
      </c>
      <c r="M598" s="54" t="n">
        <f aca="false">H598*I598*J598</f>
        <v>34041.28</v>
      </c>
      <c r="N598" s="54" t="n">
        <f aca="false">E598*I598*J598</f>
        <v>1484.01</v>
      </c>
      <c r="O598" s="53" t="n">
        <f aca="false">G598*J598</f>
        <v>269</v>
      </c>
      <c r="P598" s="53" t="n">
        <f aca="false">F598*J598</f>
        <v>13</v>
      </c>
    </row>
    <row r="599" customFormat="false" ht="15" hidden="false" customHeight="false" outlineLevel="0" collapsed="false">
      <c r="A599" s="53" t="s">
        <v>97</v>
      </c>
      <c r="B599" s="53" t="s">
        <v>125</v>
      </c>
      <c r="C599" s="53" t="s">
        <v>317</v>
      </c>
      <c r="D599" s="53" t="s">
        <v>46</v>
      </c>
      <c r="E599" s="54" t="n">
        <v>713.32</v>
      </c>
      <c r="F599" s="53" t="n">
        <v>7</v>
      </c>
      <c r="G599" s="53" t="n">
        <v>76</v>
      </c>
      <c r="H599" s="54" t="n">
        <v>7923.53</v>
      </c>
      <c r="I599" s="53" t="n">
        <f aca="false">IF(B599&gt;=Settings!$B$13,1,0)</f>
        <v>1</v>
      </c>
      <c r="J599" s="53" t="n">
        <v>1</v>
      </c>
      <c r="K599" s="53" t="n">
        <f aca="false">G599*I599*J599</f>
        <v>76</v>
      </c>
      <c r="L599" s="53" t="n">
        <f aca="false">F599*I599*J599</f>
        <v>7</v>
      </c>
      <c r="M599" s="54" t="n">
        <f aca="false">H599*I599*J599</f>
        <v>7923.53</v>
      </c>
      <c r="N599" s="54" t="n">
        <f aca="false">E599*I599*J599</f>
        <v>713.32</v>
      </c>
      <c r="O599" s="53" t="n">
        <f aca="false">G599*J599</f>
        <v>76</v>
      </c>
      <c r="P599" s="53" t="n">
        <f aca="false">F599*J599</f>
        <v>7</v>
      </c>
    </row>
    <row r="600" customFormat="false" ht="15" hidden="false" customHeight="false" outlineLevel="0" collapsed="false">
      <c r="A600" s="53" t="s">
        <v>97</v>
      </c>
      <c r="B600" s="53" t="s">
        <v>125</v>
      </c>
      <c r="C600" s="53" t="s">
        <v>159</v>
      </c>
      <c r="D600" s="53" t="s">
        <v>50</v>
      </c>
      <c r="E600" s="54" t="n">
        <v>118.14</v>
      </c>
      <c r="F600" s="53" t="n">
        <v>1</v>
      </c>
      <c r="G600" s="53" t="n">
        <v>17</v>
      </c>
      <c r="H600" s="54" t="n">
        <v>1790.09</v>
      </c>
      <c r="I600" s="53" t="n">
        <f aca="false">IF(B600&gt;=Settings!$B$13,1,0)</f>
        <v>1</v>
      </c>
      <c r="J600" s="53" t="n">
        <v>1</v>
      </c>
      <c r="K600" s="53" t="n">
        <f aca="false">G600*I600*J600</f>
        <v>17</v>
      </c>
      <c r="L600" s="53" t="n">
        <f aca="false">F600*I600*J600</f>
        <v>1</v>
      </c>
      <c r="M600" s="54" t="n">
        <f aca="false">H600*I600*J600</f>
        <v>1790.09</v>
      </c>
      <c r="N600" s="54" t="n">
        <f aca="false">E600*I600*J600</f>
        <v>118.14</v>
      </c>
      <c r="O600" s="53" t="n">
        <f aca="false">G600*J600</f>
        <v>17</v>
      </c>
      <c r="P600" s="53" t="n">
        <f aca="false">F600*J600</f>
        <v>1</v>
      </c>
    </row>
    <row r="601" customFormat="false" ht="15" hidden="false" customHeight="false" outlineLevel="0" collapsed="false">
      <c r="A601" s="53" t="s">
        <v>97</v>
      </c>
      <c r="B601" s="53" t="s">
        <v>125</v>
      </c>
      <c r="C601" s="53" t="s">
        <v>158</v>
      </c>
      <c r="D601" s="53" t="s">
        <v>42</v>
      </c>
      <c r="E601" s="54" t="n">
        <v>880.03</v>
      </c>
      <c r="F601" s="53" t="n">
        <v>9</v>
      </c>
      <c r="G601" s="53" t="n">
        <v>96</v>
      </c>
      <c r="H601" s="54" t="n">
        <v>9750.03</v>
      </c>
      <c r="I601" s="53" t="n">
        <f aca="false">IF(B601&gt;=Settings!$B$13,1,0)</f>
        <v>1</v>
      </c>
      <c r="J601" s="53" t="n">
        <v>1</v>
      </c>
      <c r="K601" s="53" t="n">
        <f aca="false">G601*I601*J601</f>
        <v>96</v>
      </c>
      <c r="L601" s="53" t="n">
        <f aca="false">F601*I601*J601</f>
        <v>9</v>
      </c>
      <c r="M601" s="54" t="n">
        <f aca="false">H601*I601*J601</f>
        <v>9750.03</v>
      </c>
      <c r="N601" s="54" t="n">
        <f aca="false">E601*I601*J601</f>
        <v>880.03</v>
      </c>
      <c r="O601" s="53" t="n">
        <f aca="false">G601*J601</f>
        <v>96</v>
      </c>
      <c r="P601" s="53" t="n">
        <f aca="false">F601*J601</f>
        <v>9</v>
      </c>
    </row>
    <row r="602" customFormat="false" ht="15" hidden="false" customHeight="false" outlineLevel="0" collapsed="false">
      <c r="A602" s="53" t="s">
        <v>93</v>
      </c>
      <c r="B602" s="53" t="s">
        <v>125</v>
      </c>
      <c r="C602" s="53" t="s">
        <v>323</v>
      </c>
      <c r="D602" s="53" t="s">
        <v>62</v>
      </c>
      <c r="E602" s="54" t="n">
        <v>0</v>
      </c>
      <c r="F602" s="53" t="n">
        <v>0</v>
      </c>
      <c r="G602" s="53" t="n">
        <v>3</v>
      </c>
      <c r="H602" s="54" t="n">
        <v>349.85</v>
      </c>
      <c r="I602" s="53" t="n">
        <f aca="false">IF(B602&gt;=Settings!$B$13,1,0)</f>
        <v>1</v>
      </c>
      <c r="J602" s="53" t="n">
        <v>1</v>
      </c>
      <c r="K602" s="53" t="n">
        <f aca="false">G602*I602*J602</f>
        <v>3</v>
      </c>
      <c r="L602" s="53" t="n">
        <f aca="false">F602*I602*J602</f>
        <v>0</v>
      </c>
      <c r="M602" s="54" t="n">
        <f aca="false">H602*I602*J602</f>
        <v>349.85</v>
      </c>
      <c r="N602" s="54" t="n">
        <f aca="false">E602*I602*J602</f>
        <v>-0</v>
      </c>
      <c r="O602" s="53" t="n">
        <f aca="false">G602*J602</f>
        <v>3</v>
      </c>
      <c r="P602" s="53" t="n">
        <f aca="false">F602*J602</f>
        <v>0</v>
      </c>
    </row>
    <row r="603" customFormat="false" ht="15" hidden="false" customHeight="false" outlineLevel="0" collapsed="false">
      <c r="A603" s="53" t="s">
        <v>89</v>
      </c>
      <c r="B603" s="53" t="s">
        <v>125</v>
      </c>
      <c r="C603" s="53" t="s">
        <v>316</v>
      </c>
      <c r="D603" s="53" t="s">
        <v>62</v>
      </c>
      <c r="E603" s="54" t="n">
        <v>304.41</v>
      </c>
      <c r="F603" s="53" t="n">
        <v>3</v>
      </c>
      <c r="G603" s="53" t="n">
        <v>11</v>
      </c>
      <c r="H603" s="54" t="n">
        <v>1149.45</v>
      </c>
      <c r="I603" s="53" t="n">
        <f aca="false">IF(B603&gt;=Settings!$B$13,1,0)</f>
        <v>1</v>
      </c>
      <c r="J603" s="53" t="n">
        <v>1</v>
      </c>
      <c r="K603" s="53" t="n">
        <f aca="false">G603*I603*J603</f>
        <v>11</v>
      </c>
      <c r="L603" s="53" t="n">
        <f aca="false">F603*I603*J603</f>
        <v>3</v>
      </c>
      <c r="M603" s="54" t="n">
        <f aca="false">H603*I603*J603</f>
        <v>1149.45</v>
      </c>
      <c r="N603" s="54" t="n">
        <f aca="false">E603*I603*J603</f>
        <v>304.41</v>
      </c>
      <c r="O603" s="53" t="n">
        <f aca="false">G603*J603</f>
        <v>11</v>
      </c>
      <c r="P603" s="53" t="n">
        <f aca="false">F603*J603</f>
        <v>3</v>
      </c>
    </row>
    <row r="604" customFormat="false" ht="15" hidden="false" customHeight="false" outlineLevel="0" collapsed="false">
      <c r="A604" s="53" t="s">
        <v>97</v>
      </c>
      <c r="B604" s="53" t="s">
        <v>125</v>
      </c>
      <c r="C604" s="53" t="s">
        <v>141</v>
      </c>
      <c r="D604" s="53" t="s">
        <v>50</v>
      </c>
      <c r="E604" s="54" t="n">
        <v>235.57</v>
      </c>
      <c r="F604" s="53" t="n">
        <v>2</v>
      </c>
      <c r="G604" s="53" t="n">
        <v>14</v>
      </c>
      <c r="H604" s="54" t="n">
        <v>2017.55</v>
      </c>
      <c r="I604" s="53" t="n">
        <f aca="false">IF(B604&gt;=Settings!$B$13,1,0)</f>
        <v>1</v>
      </c>
      <c r="J604" s="53" t="n">
        <v>1</v>
      </c>
      <c r="K604" s="53" t="n">
        <f aca="false">G604*I604*J604</f>
        <v>14</v>
      </c>
      <c r="L604" s="53" t="n">
        <f aca="false">F604*I604*J604</f>
        <v>2</v>
      </c>
      <c r="M604" s="54" t="n">
        <f aca="false">H604*I604*J604</f>
        <v>2017.55</v>
      </c>
      <c r="N604" s="54" t="n">
        <f aca="false">E604*I604*J604</f>
        <v>235.57</v>
      </c>
      <c r="O604" s="53" t="n">
        <f aca="false">G604*J604</f>
        <v>14</v>
      </c>
      <c r="P604" s="53" t="n">
        <f aca="false">F604*J604</f>
        <v>2</v>
      </c>
    </row>
    <row r="605" customFormat="false" ht="15" hidden="false" customHeight="false" outlineLevel="0" collapsed="false">
      <c r="A605" s="53" t="s">
        <v>89</v>
      </c>
      <c r="B605" s="53" t="s">
        <v>125</v>
      </c>
      <c r="C605" s="53" t="s">
        <v>154</v>
      </c>
      <c r="D605" s="53" t="s">
        <v>42</v>
      </c>
      <c r="E605" s="54" t="n">
        <v>565.12</v>
      </c>
      <c r="F605" s="53" t="n">
        <v>9</v>
      </c>
      <c r="G605" s="53" t="n">
        <v>269</v>
      </c>
      <c r="H605" s="54" t="n">
        <v>20382.31</v>
      </c>
      <c r="I605" s="53" t="n">
        <f aca="false">IF(B605&gt;=Settings!$B$13,1,0)</f>
        <v>1</v>
      </c>
      <c r="J605" s="53" t="n">
        <v>1</v>
      </c>
      <c r="K605" s="53" t="n">
        <f aca="false">G605*I605*J605</f>
        <v>269</v>
      </c>
      <c r="L605" s="53" t="n">
        <f aca="false">F605*I605*J605</f>
        <v>9</v>
      </c>
      <c r="M605" s="54" t="n">
        <f aca="false">H605*I605*J605</f>
        <v>20382.31</v>
      </c>
      <c r="N605" s="54" t="n">
        <f aca="false">E605*I605*J605</f>
        <v>565.12</v>
      </c>
      <c r="O605" s="53" t="n">
        <f aca="false">G605*J605</f>
        <v>269</v>
      </c>
      <c r="P605" s="53" t="n">
        <f aca="false">F605*J605</f>
        <v>9</v>
      </c>
    </row>
    <row r="606" customFormat="false" ht="15" hidden="false" customHeight="false" outlineLevel="0" collapsed="false">
      <c r="A606" s="53" t="s">
        <v>97</v>
      </c>
      <c r="B606" s="53" t="s">
        <v>125</v>
      </c>
      <c r="C606" s="53" t="s">
        <v>347</v>
      </c>
      <c r="D606" s="53" t="s">
        <v>62</v>
      </c>
      <c r="E606" s="54" t="n">
        <v>0</v>
      </c>
      <c r="F606" s="53" t="n">
        <v>0</v>
      </c>
      <c r="G606" s="53" t="n">
        <v>3</v>
      </c>
      <c r="H606" s="54" t="n">
        <v>258.95</v>
      </c>
      <c r="I606" s="53" t="n">
        <f aca="false">IF(B606&gt;=Settings!$B$13,1,0)</f>
        <v>1</v>
      </c>
      <c r="J606" s="53" t="n">
        <v>1</v>
      </c>
      <c r="K606" s="53" t="n">
        <f aca="false">G606*I606*J606</f>
        <v>3</v>
      </c>
      <c r="L606" s="53" t="n">
        <f aca="false">F606*I606*J606</f>
        <v>0</v>
      </c>
      <c r="M606" s="54" t="n">
        <f aca="false">H606*I606*J606</f>
        <v>258.95</v>
      </c>
      <c r="N606" s="54" t="n">
        <f aca="false">E606*I606*J606</f>
        <v>-0</v>
      </c>
      <c r="O606" s="53" t="n">
        <f aca="false">G606*J606</f>
        <v>3</v>
      </c>
      <c r="P606" s="53" t="n">
        <f aca="false">F606*J606</f>
        <v>0</v>
      </c>
    </row>
    <row r="607" customFormat="false" ht="15" hidden="false" customHeight="false" outlineLevel="0" collapsed="false">
      <c r="A607" s="53" t="s">
        <v>93</v>
      </c>
      <c r="B607" s="53" t="s">
        <v>125</v>
      </c>
      <c r="C607" s="53" t="s">
        <v>333</v>
      </c>
      <c r="D607" s="53" t="s">
        <v>54</v>
      </c>
      <c r="E607" s="54" t="n">
        <v>77.23</v>
      </c>
      <c r="F607" s="53" t="n">
        <v>1</v>
      </c>
      <c r="G607" s="53" t="n">
        <v>10</v>
      </c>
      <c r="H607" s="54" t="n">
        <v>726.8</v>
      </c>
      <c r="I607" s="53" t="n">
        <f aca="false">IF(B607&gt;=Settings!$B$13,1,0)</f>
        <v>1</v>
      </c>
      <c r="J607" s="53" t="n">
        <v>1</v>
      </c>
      <c r="K607" s="53" t="n">
        <f aca="false">G607*I607*J607</f>
        <v>10</v>
      </c>
      <c r="L607" s="53" t="n">
        <f aca="false">F607*I607*J607</f>
        <v>1</v>
      </c>
      <c r="M607" s="54" t="n">
        <f aca="false">H607*I607*J607</f>
        <v>726.8</v>
      </c>
      <c r="N607" s="54" t="n">
        <f aca="false">E607*I607*J607</f>
        <v>77.23</v>
      </c>
      <c r="O607" s="53" t="n">
        <f aca="false">G607*J607</f>
        <v>10</v>
      </c>
      <c r="P607" s="53" t="n">
        <f aca="false">F607*J607</f>
        <v>1</v>
      </c>
    </row>
    <row r="608" customFormat="false" ht="15" hidden="false" customHeight="false" outlineLevel="0" collapsed="false">
      <c r="A608" s="53" t="s">
        <v>97</v>
      </c>
      <c r="B608" s="53" t="s">
        <v>125</v>
      </c>
      <c r="C608" s="53" t="s">
        <v>369</v>
      </c>
      <c r="D608" s="53" t="s">
        <v>54</v>
      </c>
      <c r="E608" s="54" t="n">
        <v>547.83</v>
      </c>
      <c r="F608" s="53" t="n">
        <v>11</v>
      </c>
      <c r="G608" s="53" t="n">
        <v>73</v>
      </c>
      <c r="H608" s="54" t="n">
        <v>4388.24</v>
      </c>
      <c r="I608" s="53" t="n">
        <f aca="false">IF(B608&gt;=Settings!$B$13,1,0)</f>
        <v>1</v>
      </c>
      <c r="J608" s="53" t="n">
        <v>1</v>
      </c>
      <c r="K608" s="53" t="n">
        <f aca="false">G608*I608*J608</f>
        <v>73</v>
      </c>
      <c r="L608" s="53" t="n">
        <f aca="false">F608*I608*J608</f>
        <v>11</v>
      </c>
      <c r="M608" s="54" t="n">
        <f aca="false">H608*I608*J608</f>
        <v>4388.24</v>
      </c>
      <c r="N608" s="54" t="n">
        <f aca="false">E608*I608*J608</f>
        <v>547.83</v>
      </c>
      <c r="O608" s="53" t="n">
        <f aca="false">G608*J608</f>
        <v>73</v>
      </c>
      <c r="P608" s="53" t="n">
        <f aca="false">F608*J608</f>
        <v>11</v>
      </c>
    </row>
    <row r="609" customFormat="false" ht="15" hidden="false" customHeight="false" outlineLevel="0" collapsed="false">
      <c r="A609" s="53" t="s">
        <v>89</v>
      </c>
      <c r="B609" s="53" t="s">
        <v>125</v>
      </c>
      <c r="C609" s="53" t="s">
        <v>381</v>
      </c>
      <c r="D609" s="53" t="s">
        <v>66</v>
      </c>
      <c r="E609" s="54" t="n">
        <v>0</v>
      </c>
      <c r="F609" s="53" t="n">
        <v>0</v>
      </c>
      <c r="G609" s="53" t="n">
        <v>1</v>
      </c>
      <c r="H609" s="54" t="n">
        <v>152.68</v>
      </c>
      <c r="I609" s="53" t="n">
        <f aca="false">IF(B609&gt;=Settings!$B$13,1,0)</f>
        <v>1</v>
      </c>
      <c r="J609" s="53" t="n">
        <v>1</v>
      </c>
      <c r="K609" s="53" t="n">
        <f aca="false">G609*I609*J609</f>
        <v>1</v>
      </c>
      <c r="L609" s="53" t="n">
        <f aca="false">F609*I609*J609</f>
        <v>0</v>
      </c>
      <c r="M609" s="54" t="n">
        <f aca="false">H609*I609*J609</f>
        <v>152.68</v>
      </c>
      <c r="N609" s="54" t="n">
        <f aca="false">E609*I609*J609</f>
        <v>-0</v>
      </c>
      <c r="O609" s="53" t="n">
        <f aca="false">G609*J609</f>
        <v>1</v>
      </c>
      <c r="P609" s="53" t="n">
        <f aca="false">F609*J609</f>
        <v>0</v>
      </c>
    </row>
    <row r="610" customFormat="false" ht="15" hidden="false" customHeight="false" outlineLevel="0" collapsed="false">
      <c r="A610" s="53" t="s">
        <v>97</v>
      </c>
      <c r="B610" s="53" t="s">
        <v>125</v>
      </c>
      <c r="C610" s="53" t="s">
        <v>386</v>
      </c>
      <c r="D610" s="53" t="s">
        <v>54</v>
      </c>
      <c r="E610" s="54" t="n">
        <v>134.83</v>
      </c>
      <c r="F610" s="53" t="n">
        <v>2</v>
      </c>
      <c r="G610" s="53" t="n">
        <v>34</v>
      </c>
      <c r="H610" s="54" t="n">
        <v>2605.63</v>
      </c>
      <c r="I610" s="53" t="n">
        <f aca="false">IF(B610&gt;=Settings!$B$13,1,0)</f>
        <v>1</v>
      </c>
      <c r="J610" s="53" t="n">
        <v>1</v>
      </c>
      <c r="K610" s="53" t="n">
        <f aca="false">G610*I610*J610</f>
        <v>34</v>
      </c>
      <c r="L610" s="53" t="n">
        <f aca="false">F610*I610*J610</f>
        <v>2</v>
      </c>
      <c r="M610" s="54" t="n">
        <f aca="false">H610*I610*J610</f>
        <v>2605.63</v>
      </c>
      <c r="N610" s="54" t="n">
        <f aca="false">E610*I610*J610</f>
        <v>134.83</v>
      </c>
      <c r="O610" s="53" t="n">
        <f aca="false">G610*J610</f>
        <v>34</v>
      </c>
      <c r="P610" s="53" t="n">
        <f aca="false">F610*J610</f>
        <v>2</v>
      </c>
    </row>
    <row r="611" customFormat="false" ht="15" hidden="false" customHeight="false" outlineLevel="0" collapsed="false">
      <c r="A611" s="53" t="s">
        <v>89</v>
      </c>
      <c r="B611" s="53" t="s">
        <v>125</v>
      </c>
      <c r="C611" s="53" t="s">
        <v>145</v>
      </c>
      <c r="D611" s="53" t="s">
        <v>62</v>
      </c>
      <c r="E611" s="54" t="n">
        <v>0</v>
      </c>
      <c r="F611" s="53" t="n">
        <v>0</v>
      </c>
      <c r="G611" s="53" t="n">
        <v>3</v>
      </c>
      <c r="H611" s="54" t="n">
        <v>422.59</v>
      </c>
      <c r="I611" s="53" t="n">
        <f aca="false">IF(B611&gt;=Settings!$B$13,1,0)</f>
        <v>1</v>
      </c>
      <c r="J611" s="53" t="n">
        <v>1</v>
      </c>
      <c r="K611" s="53" t="n">
        <f aca="false">G611*I611*J611</f>
        <v>3</v>
      </c>
      <c r="L611" s="53" t="n">
        <f aca="false">F611*I611*J611</f>
        <v>0</v>
      </c>
      <c r="M611" s="54" t="n">
        <f aca="false">H611*I611*J611</f>
        <v>422.59</v>
      </c>
      <c r="N611" s="54" t="n">
        <f aca="false">E611*I611*J611</f>
        <v>-0</v>
      </c>
      <c r="O611" s="53" t="n">
        <f aca="false">G611*J611</f>
        <v>3</v>
      </c>
      <c r="P611" s="53" t="n">
        <f aca="false">F611*J611</f>
        <v>0</v>
      </c>
    </row>
    <row r="612" customFormat="false" ht="15" hidden="false" customHeight="false" outlineLevel="0" collapsed="false">
      <c r="A612" s="53" t="s">
        <v>97</v>
      </c>
      <c r="B612" s="53" t="s">
        <v>125</v>
      </c>
      <c r="C612" s="53" t="s">
        <v>155</v>
      </c>
      <c r="D612" s="53" t="s">
        <v>50</v>
      </c>
      <c r="E612" s="54" t="n">
        <v>0</v>
      </c>
      <c r="F612" s="53" t="n">
        <v>0</v>
      </c>
      <c r="G612" s="53" t="n">
        <v>6</v>
      </c>
      <c r="H612" s="54" t="n">
        <v>395.19</v>
      </c>
      <c r="I612" s="53" t="n">
        <f aca="false">IF(B612&gt;=Settings!$B$13,1,0)</f>
        <v>1</v>
      </c>
      <c r="J612" s="53" t="n">
        <v>1</v>
      </c>
      <c r="K612" s="53" t="n">
        <f aca="false">G612*I612*J612</f>
        <v>6</v>
      </c>
      <c r="L612" s="53" t="n">
        <f aca="false">F612*I612*J612</f>
        <v>0</v>
      </c>
      <c r="M612" s="54" t="n">
        <f aca="false">H612*I612*J612</f>
        <v>395.19</v>
      </c>
      <c r="N612" s="54" t="n">
        <f aca="false">E612*I612*J612</f>
        <v>-0</v>
      </c>
      <c r="O612" s="53" t="n">
        <f aca="false">G612*J612</f>
        <v>6</v>
      </c>
      <c r="P612" s="53" t="n">
        <f aca="false">F612*J612</f>
        <v>0</v>
      </c>
    </row>
    <row r="613" customFormat="false" ht="15" hidden="false" customHeight="false" outlineLevel="0" collapsed="false">
      <c r="A613" s="53" t="s">
        <v>89</v>
      </c>
      <c r="B613" s="53" t="s">
        <v>125</v>
      </c>
      <c r="C613" s="53" t="s">
        <v>159</v>
      </c>
      <c r="D613" s="53" t="s">
        <v>50</v>
      </c>
      <c r="E613" s="54" t="n">
        <v>938.26</v>
      </c>
      <c r="F613" s="53" t="n">
        <v>9</v>
      </c>
      <c r="G613" s="53" t="n">
        <v>69</v>
      </c>
      <c r="H613" s="54" t="n">
        <v>7433.09</v>
      </c>
      <c r="I613" s="53" t="n">
        <f aca="false">IF(B613&gt;=Settings!$B$13,1,0)</f>
        <v>1</v>
      </c>
      <c r="J613" s="53" t="n">
        <v>1</v>
      </c>
      <c r="K613" s="53" t="n">
        <f aca="false">G613*I613*J613</f>
        <v>69</v>
      </c>
      <c r="L613" s="53" t="n">
        <f aca="false">F613*I613*J613</f>
        <v>9</v>
      </c>
      <c r="M613" s="54" t="n">
        <f aca="false">H613*I613*J613</f>
        <v>7433.09</v>
      </c>
      <c r="N613" s="54" t="n">
        <f aca="false">E613*I613*J613</f>
        <v>938.26</v>
      </c>
      <c r="O613" s="53" t="n">
        <f aca="false">G613*J613</f>
        <v>69</v>
      </c>
      <c r="P613" s="53" t="n">
        <f aca="false">F613*J613</f>
        <v>9</v>
      </c>
    </row>
    <row r="614" customFormat="false" ht="15" hidden="false" customHeight="false" outlineLevel="0" collapsed="false">
      <c r="A614" s="53" t="s">
        <v>100</v>
      </c>
      <c r="B614" s="53" t="s">
        <v>125</v>
      </c>
      <c r="C614" s="53" t="s">
        <v>360</v>
      </c>
      <c r="D614" s="53" t="s">
        <v>54</v>
      </c>
      <c r="E614" s="54" t="n">
        <v>119.93</v>
      </c>
      <c r="F614" s="53" t="n">
        <v>2</v>
      </c>
      <c r="G614" s="53" t="n">
        <v>9</v>
      </c>
      <c r="H614" s="54" t="n">
        <v>717.74</v>
      </c>
      <c r="I614" s="53" t="n">
        <f aca="false">IF(B614&gt;=Settings!$B$13,1,0)</f>
        <v>1</v>
      </c>
      <c r="J614" s="53" t="n">
        <v>1</v>
      </c>
      <c r="K614" s="53" t="n">
        <f aca="false">G614*I614*J614</f>
        <v>9</v>
      </c>
      <c r="L614" s="53" t="n">
        <f aca="false">F614*I614*J614</f>
        <v>2</v>
      </c>
      <c r="M614" s="54" t="n">
        <f aca="false">H614*I614*J614</f>
        <v>717.74</v>
      </c>
      <c r="N614" s="54" t="n">
        <f aca="false">E614*I614*J614</f>
        <v>119.93</v>
      </c>
      <c r="O614" s="53" t="n">
        <f aca="false">G614*J614</f>
        <v>9</v>
      </c>
      <c r="P614" s="53" t="n">
        <f aca="false">F614*J614</f>
        <v>2</v>
      </c>
    </row>
    <row r="615" customFormat="false" ht="15" hidden="false" customHeight="false" outlineLevel="0" collapsed="false">
      <c r="A615" s="53" t="s">
        <v>93</v>
      </c>
      <c r="B615" s="53" t="s">
        <v>125</v>
      </c>
      <c r="C615" s="53" t="s">
        <v>360</v>
      </c>
      <c r="D615" s="53" t="s">
        <v>54</v>
      </c>
      <c r="E615" s="54" t="n">
        <v>150.82</v>
      </c>
      <c r="F615" s="53" t="n">
        <v>2</v>
      </c>
      <c r="G615" s="53" t="n">
        <v>22</v>
      </c>
      <c r="H615" s="54" t="n">
        <v>1907.99</v>
      </c>
      <c r="I615" s="53" t="n">
        <f aca="false">IF(B615&gt;=Settings!$B$13,1,0)</f>
        <v>1</v>
      </c>
      <c r="J615" s="53" t="n">
        <v>1</v>
      </c>
      <c r="K615" s="53" t="n">
        <f aca="false">G615*I615*J615</f>
        <v>22</v>
      </c>
      <c r="L615" s="53" t="n">
        <f aca="false">F615*I615*J615</f>
        <v>2</v>
      </c>
      <c r="M615" s="54" t="n">
        <f aca="false">H615*I615*J615</f>
        <v>1907.99</v>
      </c>
      <c r="N615" s="54" t="n">
        <f aca="false">E615*I615*J615</f>
        <v>150.82</v>
      </c>
      <c r="O615" s="53" t="n">
        <f aca="false">G615*J615</f>
        <v>22</v>
      </c>
      <c r="P615" s="53" t="n">
        <f aca="false">F615*J615</f>
        <v>2</v>
      </c>
    </row>
    <row r="616" customFormat="false" ht="15" hidden="false" customHeight="false" outlineLevel="0" collapsed="false">
      <c r="A616" s="53" t="s">
        <v>89</v>
      </c>
      <c r="B616" s="53" t="s">
        <v>125</v>
      </c>
      <c r="C616" s="53" t="s">
        <v>323</v>
      </c>
      <c r="D616" s="53" t="s">
        <v>62</v>
      </c>
      <c r="E616" s="54" t="n">
        <v>0</v>
      </c>
      <c r="F616" s="53" t="n">
        <v>0</v>
      </c>
      <c r="G616" s="53" t="n">
        <v>2</v>
      </c>
      <c r="H616" s="54" t="n">
        <v>254.44</v>
      </c>
      <c r="I616" s="53" t="n">
        <f aca="false">IF(B616&gt;=Settings!$B$13,1,0)</f>
        <v>1</v>
      </c>
      <c r="J616" s="53" t="n">
        <v>1</v>
      </c>
      <c r="K616" s="53" t="n">
        <f aca="false">G616*I616*J616</f>
        <v>2</v>
      </c>
      <c r="L616" s="53" t="n">
        <f aca="false">F616*I616*J616</f>
        <v>0</v>
      </c>
      <c r="M616" s="54" t="n">
        <f aca="false">H616*I616*J616</f>
        <v>254.44</v>
      </c>
      <c r="N616" s="54" t="n">
        <f aca="false">E616*I616*J616</f>
        <v>-0</v>
      </c>
      <c r="O616" s="53" t="n">
        <f aca="false">G616*J616</f>
        <v>2</v>
      </c>
      <c r="P616" s="53" t="n">
        <f aca="false">F616*J616</f>
        <v>0</v>
      </c>
    </row>
    <row r="617" customFormat="false" ht="15" hidden="false" customHeight="false" outlineLevel="0" collapsed="false">
      <c r="A617" s="53" t="s">
        <v>97</v>
      </c>
      <c r="B617" s="53" t="s">
        <v>125</v>
      </c>
      <c r="C617" s="53" t="s">
        <v>375</v>
      </c>
      <c r="D617" s="53" t="s">
        <v>42</v>
      </c>
      <c r="E617" s="54" t="n">
        <v>292.17</v>
      </c>
      <c r="F617" s="53" t="n">
        <v>4</v>
      </c>
      <c r="G617" s="53" t="n">
        <v>28</v>
      </c>
      <c r="H617" s="54" t="n">
        <v>2391.33</v>
      </c>
      <c r="I617" s="53" t="n">
        <f aca="false">IF(B617&gt;=Settings!$B$13,1,0)</f>
        <v>1</v>
      </c>
      <c r="J617" s="53" t="n">
        <v>1</v>
      </c>
      <c r="K617" s="53" t="n">
        <f aca="false">G617*I617*J617</f>
        <v>28</v>
      </c>
      <c r="L617" s="53" t="n">
        <f aca="false">F617*I617*J617</f>
        <v>4</v>
      </c>
      <c r="M617" s="54" t="n">
        <f aca="false">H617*I617*J617</f>
        <v>2391.33</v>
      </c>
      <c r="N617" s="54" t="n">
        <f aca="false">E617*I617*J617</f>
        <v>292.17</v>
      </c>
      <c r="O617" s="53" t="n">
        <f aca="false">G617*J617</f>
        <v>28</v>
      </c>
      <c r="P617" s="53" t="n">
        <f aca="false">F617*J617</f>
        <v>4</v>
      </c>
    </row>
    <row r="618" customFormat="false" ht="15" hidden="false" customHeight="false" outlineLevel="0" collapsed="false">
      <c r="A618" s="53" t="s">
        <v>93</v>
      </c>
      <c r="B618" s="53" t="s">
        <v>125</v>
      </c>
      <c r="C618" s="53" t="s">
        <v>318</v>
      </c>
      <c r="D618" s="53" t="s">
        <v>58</v>
      </c>
      <c r="E618" s="54" t="n">
        <v>127.23</v>
      </c>
      <c r="F618" s="53" t="n">
        <v>1</v>
      </c>
      <c r="G618" s="53" t="n">
        <v>2</v>
      </c>
      <c r="H618" s="54" t="n">
        <v>254.45</v>
      </c>
      <c r="I618" s="53" t="n">
        <f aca="false">IF(B618&gt;=Settings!$B$13,1,0)</f>
        <v>1</v>
      </c>
      <c r="J618" s="53" t="n">
        <v>1</v>
      </c>
      <c r="K618" s="53" t="n">
        <f aca="false">G618*I618*J618</f>
        <v>2</v>
      </c>
      <c r="L618" s="53" t="n">
        <f aca="false">F618*I618*J618</f>
        <v>1</v>
      </c>
      <c r="M618" s="54" t="n">
        <f aca="false">H618*I618*J618</f>
        <v>254.45</v>
      </c>
      <c r="N618" s="54" t="n">
        <f aca="false">E618*I618*J618</f>
        <v>127.23</v>
      </c>
      <c r="O618" s="53" t="n">
        <f aca="false">G618*J618</f>
        <v>2</v>
      </c>
      <c r="P618" s="53" t="n">
        <f aca="false">F618*J618</f>
        <v>1</v>
      </c>
    </row>
    <row r="619" customFormat="false" ht="15" hidden="false" customHeight="false" outlineLevel="0" collapsed="false">
      <c r="A619" s="53" t="s">
        <v>97</v>
      </c>
      <c r="B619" s="53" t="s">
        <v>125</v>
      </c>
      <c r="C619" s="53" t="s">
        <v>373</v>
      </c>
      <c r="D619" s="53" t="s">
        <v>42</v>
      </c>
      <c r="E619" s="54" t="n">
        <v>168.91</v>
      </c>
      <c r="F619" s="53" t="n">
        <v>1</v>
      </c>
      <c r="G619" s="53" t="n">
        <v>15</v>
      </c>
      <c r="H619" s="54" t="n">
        <v>2562.7</v>
      </c>
      <c r="I619" s="53" t="n">
        <f aca="false">IF(B619&gt;=Settings!$B$13,1,0)</f>
        <v>1</v>
      </c>
      <c r="J619" s="53" t="n">
        <v>1</v>
      </c>
      <c r="K619" s="53" t="n">
        <f aca="false">G619*I619*J619</f>
        <v>15</v>
      </c>
      <c r="L619" s="53" t="n">
        <f aca="false">F619*I619*J619</f>
        <v>1</v>
      </c>
      <c r="M619" s="54" t="n">
        <f aca="false">H619*I619*J619</f>
        <v>2562.7</v>
      </c>
      <c r="N619" s="54" t="n">
        <f aca="false">E619*I619*J619</f>
        <v>168.91</v>
      </c>
      <c r="O619" s="53" t="n">
        <f aca="false">G619*J619</f>
        <v>15</v>
      </c>
      <c r="P619" s="53" t="n">
        <f aca="false">F619*J619</f>
        <v>1</v>
      </c>
    </row>
    <row r="620" customFormat="false" ht="15" hidden="false" customHeight="false" outlineLevel="0" collapsed="false">
      <c r="A620" s="53" t="s">
        <v>100</v>
      </c>
      <c r="B620" s="53" t="s">
        <v>125</v>
      </c>
      <c r="C620" s="53" t="s">
        <v>333</v>
      </c>
      <c r="D620" s="53" t="s">
        <v>54</v>
      </c>
      <c r="E620" s="54" t="n">
        <v>65.42</v>
      </c>
      <c r="F620" s="53" t="n">
        <v>1</v>
      </c>
      <c r="G620" s="53" t="n">
        <v>6</v>
      </c>
      <c r="H620" s="54" t="n">
        <v>417.88</v>
      </c>
      <c r="I620" s="53" t="n">
        <f aca="false">IF(B620&gt;=Settings!$B$13,1,0)</f>
        <v>1</v>
      </c>
      <c r="J620" s="53" t="n">
        <v>1</v>
      </c>
      <c r="K620" s="53" t="n">
        <f aca="false">G620*I620*J620</f>
        <v>6</v>
      </c>
      <c r="L620" s="53" t="n">
        <f aca="false">F620*I620*J620</f>
        <v>1</v>
      </c>
      <c r="M620" s="54" t="n">
        <f aca="false">H620*I620*J620</f>
        <v>417.88</v>
      </c>
      <c r="N620" s="54" t="n">
        <f aca="false">E620*I620*J620</f>
        <v>65.42</v>
      </c>
      <c r="O620" s="53" t="n">
        <f aca="false">G620*J620</f>
        <v>6</v>
      </c>
      <c r="P620" s="53" t="n">
        <f aca="false">F620*J620</f>
        <v>1</v>
      </c>
    </row>
    <row r="621" customFormat="false" ht="15" hidden="false" customHeight="false" outlineLevel="0" collapsed="false">
      <c r="A621" s="53" t="s">
        <v>89</v>
      </c>
      <c r="B621" s="53" t="s">
        <v>125</v>
      </c>
      <c r="C621" s="53" t="s">
        <v>166</v>
      </c>
      <c r="D621" s="53" t="s">
        <v>50</v>
      </c>
      <c r="E621" s="54" t="n">
        <v>123.6</v>
      </c>
      <c r="F621" s="53" t="n">
        <v>1</v>
      </c>
      <c r="G621" s="53" t="n">
        <v>20</v>
      </c>
      <c r="H621" s="54" t="n">
        <v>2980.87</v>
      </c>
      <c r="I621" s="53" t="n">
        <f aca="false">IF(B621&gt;=Settings!$B$13,1,0)</f>
        <v>1</v>
      </c>
      <c r="J621" s="53" t="n">
        <v>1</v>
      </c>
      <c r="K621" s="53" t="n">
        <f aca="false">G621*I621*J621</f>
        <v>20</v>
      </c>
      <c r="L621" s="53" t="n">
        <f aca="false">F621*I621*J621</f>
        <v>1</v>
      </c>
      <c r="M621" s="54" t="n">
        <f aca="false">H621*I621*J621</f>
        <v>2980.87</v>
      </c>
      <c r="N621" s="54" t="n">
        <f aca="false">E621*I621*J621</f>
        <v>123.6</v>
      </c>
      <c r="O621" s="53" t="n">
        <f aca="false">G621*J621</f>
        <v>20</v>
      </c>
      <c r="P621" s="53" t="n">
        <f aca="false">F621*J621</f>
        <v>1</v>
      </c>
    </row>
    <row r="622" customFormat="false" ht="15" hidden="false" customHeight="false" outlineLevel="0" collapsed="false">
      <c r="A622" s="53" t="s">
        <v>93</v>
      </c>
      <c r="B622" s="53" t="s">
        <v>125</v>
      </c>
      <c r="C622" s="53" t="s">
        <v>165</v>
      </c>
      <c r="D622" s="53" t="s">
        <v>42</v>
      </c>
      <c r="E622" s="54" t="n">
        <v>732.46</v>
      </c>
      <c r="F622" s="53" t="n">
        <v>7</v>
      </c>
      <c r="G622" s="53" t="n">
        <v>124</v>
      </c>
      <c r="H622" s="54" t="n">
        <v>15675.72</v>
      </c>
      <c r="I622" s="53" t="n">
        <f aca="false">IF(B622&gt;=Settings!$B$13,1,0)</f>
        <v>1</v>
      </c>
      <c r="J622" s="53" t="n">
        <v>1</v>
      </c>
      <c r="K622" s="53" t="n">
        <f aca="false">G622*I622*J622</f>
        <v>124</v>
      </c>
      <c r="L622" s="53" t="n">
        <f aca="false">F622*I622*J622</f>
        <v>7</v>
      </c>
      <c r="M622" s="54" t="n">
        <f aca="false">H622*I622*J622</f>
        <v>15675.72</v>
      </c>
      <c r="N622" s="54" t="n">
        <f aca="false">E622*I622*J622</f>
        <v>732.46</v>
      </c>
      <c r="O622" s="53" t="n">
        <f aca="false">G622*J622</f>
        <v>124</v>
      </c>
      <c r="P622" s="53" t="n">
        <f aca="false">F622*J622</f>
        <v>7</v>
      </c>
    </row>
    <row r="623" customFormat="false" ht="15" hidden="false" customHeight="false" outlineLevel="0" collapsed="false">
      <c r="A623" s="53" t="s">
        <v>93</v>
      </c>
      <c r="B623" s="53" t="s">
        <v>125</v>
      </c>
      <c r="C623" s="53" t="s">
        <v>347</v>
      </c>
      <c r="D623" s="53" t="s">
        <v>62</v>
      </c>
      <c r="E623" s="54" t="n">
        <v>69.05</v>
      </c>
      <c r="F623" s="53" t="n">
        <v>1</v>
      </c>
      <c r="G623" s="53" t="n">
        <v>4</v>
      </c>
      <c r="H623" s="54" t="n">
        <v>322.52</v>
      </c>
      <c r="I623" s="53" t="n">
        <f aca="false">IF(B623&gt;=Settings!$B$13,1,0)</f>
        <v>1</v>
      </c>
      <c r="J623" s="53" t="n">
        <v>1</v>
      </c>
      <c r="K623" s="53" t="n">
        <f aca="false">G623*I623*J623</f>
        <v>4</v>
      </c>
      <c r="L623" s="53" t="n">
        <f aca="false">F623*I623*J623</f>
        <v>1</v>
      </c>
      <c r="M623" s="54" t="n">
        <f aca="false">H623*I623*J623</f>
        <v>322.52</v>
      </c>
      <c r="N623" s="54" t="n">
        <f aca="false">E623*I623*J623</f>
        <v>69.05</v>
      </c>
      <c r="O623" s="53" t="n">
        <f aca="false">G623*J623</f>
        <v>4</v>
      </c>
      <c r="P623" s="53" t="n">
        <f aca="false">F623*J623</f>
        <v>1</v>
      </c>
    </row>
    <row r="624" customFormat="false" ht="15" hidden="false" customHeight="false" outlineLevel="0" collapsed="false">
      <c r="A624" s="53" t="s">
        <v>100</v>
      </c>
      <c r="B624" s="53" t="s">
        <v>126</v>
      </c>
      <c r="C624" s="53" t="s">
        <v>333</v>
      </c>
      <c r="D624" s="53" t="s">
        <v>54</v>
      </c>
      <c r="E624" s="54" t="n">
        <v>0</v>
      </c>
      <c r="F624" s="53" t="n">
        <v>0</v>
      </c>
      <c r="G624" s="53" t="n">
        <v>3</v>
      </c>
      <c r="H624" s="54" t="n">
        <v>218.03</v>
      </c>
      <c r="I624" s="53" t="n">
        <f aca="false">IF(B624&gt;=Settings!$B$13,1,0)</f>
        <v>1</v>
      </c>
      <c r="J624" s="53" t="n">
        <v>1</v>
      </c>
      <c r="K624" s="53" t="n">
        <f aca="false">G624*I624*J624</f>
        <v>3</v>
      </c>
      <c r="L624" s="53" t="n">
        <f aca="false">F624*I624*J624</f>
        <v>0</v>
      </c>
      <c r="M624" s="54" t="n">
        <f aca="false">H624*I624*J624</f>
        <v>218.03</v>
      </c>
      <c r="N624" s="54" t="n">
        <f aca="false">E624*I624*J624</f>
        <v>-0</v>
      </c>
      <c r="O624" s="53" t="n">
        <f aca="false">G624*J624</f>
        <v>3</v>
      </c>
      <c r="P624" s="53" t="n">
        <f aca="false">F624*J624</f>
        <v>0</v>
      </c>
    </row>
    <row r="625" customFormat="false" ht="15" hidden="false" customHeight="false" outlineLevel="0" collapsed="false">
      <c r="A625" s="53" t="s">
        <v>97</v>
      </c>
      <c r="B625" s="53" t="s">
        <v>126</v>
      </c>
      <c r="C625" s="53" t="s">
        <v>154</v>
      </c>
      <c r="D625" s="53" t="s">
        <v>42</v>
      </c>
      <c r="E625" s="54" t="n">
        <v>132.65</v>
      </c>
      <c r="F625" s="53" t="n">
        <v>2</v>
      </c>
      <c r="G625" s="53" t="n">
        <v>34</v>
      </c>
      <c r="H625" s="54" t="n">
        <v>2298.44</v>
      </c>
      <c r="I625" s="53" t="n">
        <f aca="false">IF(B625&gt;=Settings!$B$13,1,0)</f>
        <v>1</v>
      </c>
      <c r="J625" s="53" t="n">
        <v>1</v>
      </c>
      <c r="K625" s="53" t="n">
        <f aca="false">G625*I625*J625</f>
        <v>34</v>
      </c>
      <c r="L625" s="53" t="n">
        <f aca="false">F625*I625*J625</f>
        <v>2</v>
      </c>
      <c r="M625" s="54" t="n">
        <f aca="false">H625*I625*J625</f>
        <v>2298.44</v>
      </c>
      <c r="N625" s="54" t="n">
        <f aca="false">E625*I625*J625</f>
        <v>132.65</v>
      </c>
      <c r="O625" s="53" t="n">
        <f aca="false">G625*J625</f>
        <v>34</v>
      </c>
      <c r="P625" s="53" t="n">
        <f aca="false">F625*J625</f>
        <v>2</v>
      </c>
    </row>
    <row r="626" customFormat="false" ht="15" hidden="false" customHeight="false" outlineLevel="0" collapsed="false">
      <c r="A626" s="53" t="s">
        <v>93</v>
      </c>
      <c r="B626" s="53" t="s">
        <v>126</v>
      </c>
      <c r="C626" s="53" t="s">
        <v>357</v>
      </c>
      <c r="D626" s="53" t="s">
        <v>54</v>
      </c>
      <c r="E626" s="54" t="n">
        <v>0</v>
      </c>
      <c r="F626" s="53" t="n">
        <v>0</v>
      </c>
      <c r="G626" s="53" t="n">
        <v>5</v>
      </c>
      <c r="H626" s="54" t="n">
        <v>431.57</v>
      </c>
      <c r="I626" s="53" t="n">
        <f aca="false">IF(B626&gt;=Settings!$B$13,1,0)</f>
        <v>1</v>
      </c>
      <c r="J626" s="53" t="n">
        <v>1</v>
      </c>
      <c r="K626" s="53" t="n">
        <f aca="false">G626*I626*J626</f>
        <v>5</v>
      </c>
      <c r="L626" s="53" t="n">
        <f aca="false">F626*I626*J626</f>
        <v>0</v>
      </c>
      <c r="M626" s="54" t="n">
        <f aca="false">H626*I626*J626</f>
        <v>431.57</v>
      </c>
      <c r="N626" s="54" t="n">
        <f aca="false">E626*I626*J626</f>
        <v>-0</v>
      </c>
      <c r="O626" s="53" t="n">
        <f aca="false">G626*J626</f>
        <v>5</v>
      </c>
      <c r="P626" s="53" t="n">
        <f aca="false">F626*J626</f>
        <v>0</v>
      </c>
    </row>
    <row r="627" customFormat="false" ht="15" hidden="false" customHeight="false" outlineLevel="0" collapsed="false">
      <c r="A627" s="53" t="s">
        <v>97</v>
      </c>
      <c r="B627" s="53" t="s">
        <v>126</v>
      </c>
      <c r="C627" s="53" t="s">
        <v>162</v>
      </c>
      <c r="D627" s="53" t="s">
        <v>42</v>
      </c>
      <c r="E627" s="54" t="n">
        <v>122.68</v>
      </c>
      <c r="F627" s="53" t="n">
        <v>1</v>
      </c>
      <c r="G627" s="53" t="n">
        <v>27</v>
      </c>
      <c r="H627" s="54" t="n">
        <v>3139.61</v>
      </c>
      <c r="I627" s="53" t="n">
        <f aca="false">IF(B627&gt;=Settings!$B$13,1,0)</f>
        <v>1</v>
      </c>
      <c r="J627" s="53" t="n">
        <v>1</v>
      </c>
      <c r="K627" s="53" t="n">
        <f aca="false">G627*I627*J627</f>
        <v>27</v>
      </c>
      <c r="L627" s="53" t="n">
        <f aca="false">F627*I627*J627</f>
        <v>1</v>
      </c>
      <c r="M627" s="54" t="n">
        <f aca="false">H627*I627*J627</f>
        <v>3139.61</v>
      </c>
      <c r="N627" s="54" t="n">
        <f aca="false">E627*I627*J627</f>
        <v>122.68</v>
      </c>
      <c r="O627" s="53" t="n">
        <f aca="false">G627*J627</f>
        <v>27</v>
      </c>
      <c r="P627" s="53" t="n">
        <f aca="false">F627*J627</f>
        <v>1</v>
      </c>
    </row>
    <row r="628" customFormat="false" ht="15" hidden="false" customHeight="false" outlineLevel="0" collapsed="false">
      <c r="A628" s="53" t="s">
        <v>97</v>
      </c>
      <c r="B628" s="53" t="s">
        <v>126</v>
      </c>
      <c r="C628" s="53" t="s">
        <v>332</v>
      </c>
      <c r="D628" s="53" t="s">
        <v>46</v>
      </c>
      <c r="E628" s="54" t="n">
        <v>81.1</v>
      </c>
      <c r="F628" s="53" t="n">
        <v>1</v>
      </c>
      <c r="G628" s="53" t="n">
        <v>14</v>
      </c>
      <c r="H628" s="54" t="n">
        <v>1258.45</v>
      </c>
      <c r="I628" s="53" t="n">
        <f aca="false">IF(B628&gt;=Settings!$B$13,1,0)</f>
        <v>1</v>
      </c>
      <c r="J628" s="53" t="n">
        <v>1</v>
      </c>
      <c r="K628" s="53" t="n">
        <f aca="false">G628*I628*J628</f>
        <v>14</v>
      </c>
      <c r="L628" s="53" t="n">
        <f aca="false">F628*I628*J628</f>
        <v>1</v>
      </c>
      <c r="M628" s="54" t="n">
        <f aca="false">H628*I628*J628</f>
        <v>1258.45</v>
      </c>
      <c r="N628" s="54" t="n">
        <f aca="false">E628*I628*J628</f>
        <v>81.1</v>
      </c>
      <c r="O628" s="53" t="n">
        <f aca="false">G628*J628</f>
        <v>14</v>
      </c>
      <c r="P628" s="53" t="n">
        <f aca="false">F628*J628</f>
        <v>1</v>
      </c>
    </row>
    <row r="629" customFormat="false" ht="15" hidden="false" customHeight="false" outlineLevel="0" collapsed="false">
      <c r="A629" s="53" t="s">
        <v>93</v>
      </c>
      <c r="B629" s="53" t="s">
        <v>126</v>
      </c>
      <c r="C629" s="53" t="s">
        <v>332</v>
      </c>
      <c r="D629" s="53" t="s">
        <v>46</v>
      </c>
      <c r="E629" s="54" t="n">
        <v>92.69</v>
      </c>
      <c r="F629" s="53" t="n">
        <v>1</v>
      </c>
      <c r="G629" s="53" t="n">
        <v>14</v>
      </c>
      <c r="H629" s="54" t="n">
        <v>1281.18</v>
      </c>
      <c r="I629" s="53" t="n">
        <f aca="false">IF(B629&gt;=Settings!$B$13,1,0)</f>
        <v>1</v>
      </c>
      <c r="J629" s="53" t="n">
        <v>1</v>
      </c>
      <c r="K629" s="53" t="n">
        <f aca="false">G629*I629*J629</f>
        <v>14</v>
      </c>
      <c r="L629" s="53" t="n">
        <f aca="false">F629*I629*J629</f>
        <v>1</v>
      </c>
      <c r="M629" s="54" t="n">
        <f aca="false">H629*I629*J629</f>
        <v>1281.18</v>
      </c>
      <c r="N629" s="54" t="n">
        <f aca="false">E629*I629*J629</f>
        <v>92.69</v>
      </c>
      <c r="O629" s="53" t="n">
        <f aca="false">G629*J629</f>
        <v>14</v>
      </c>
      <c r="P629" s="53" t="n">
        <f aca="false">F629*J629</f>
        <v>1</v>
      </c>
    </row>
    <row r="630" customFormat="false" ht="15" hidden="false" customHeight="false" outlineLevel="0" collapsed="false">
      <c r="A630" s="53" t="s">
        <v>97</v>
      </c>
      <c r="B630" s="53" t="s">
        <v>126</v>
      </c>
      <c r="C630" s="53" t="s">
        <v>338</v>
      </c>
      <c r="D630" s="53" t="s">
        <v>50</v>
      </c>
      <c r="E630" s="54" t="n">
        <v>0</v>
      </c>
      <c r="F630" s="53" t="n">
        <v>0</v>
      </c>
      <c r="G630" s="53" t="n">
        <v>9</v>
      </c>
      <c r="H630" s="54" t="n">
        <v>703.2</v>
      </c>
      <c r="I630" s="53" t="n">
        <f aca="false">IF(B630&gt;=Settings!$B$13,1,0)</f>
        <v>1</v>
      </c>
      <c r="J630" s="53" t="n">
        <v>1</v>
      </c>
      <c r="K630" s="53" t="n">
        <f aca="false">G630*I630*J630</f>
        <v>9</v>
      </c>
      <c r="L630" s="53" t="n">
        <f aca="false">F630*I630*J630</f>
        <v>0</v>
      </c>
      <c r="M630" s="54" t="n">
        <f aca="false">H630*I630*J630</f>
        <v>703.2</v>
      </c>
      <c r="N630" s="54" t="n">
        <f aca="false">E630*I630*J630</f>
        <v>-0</v>
      </c>
      <c r="O630" s="53" t="n">
        <f aca="false">G630*J630</f>
        <v>9</v>
      </c>
      <c r="P630" s="53" t="n">
        <f aca="false">F630*J630</f>
        <v>0</v>
      </c>
    </row>
    <row r="631" customFormat="false" ht="15" hidden="false" customHeight="false" outlineLevel="0" collapsed="false">
      <c r="A631" s="53" t="s">
        <v>100</v>
      </c>
      <c r="B631" s="53" t="s">
        <v>126</v>
      </c>
      <c r="C631" s="53" t="s">
        <v>393</v>
      </c>
      <c r="D631" s="53" t="s">
        <v>54</v>
      </c>
      <c r="E631" s="54" t="n">
        <v>0</v>
      </c>
      <c r="F631" s="53" t="n">
        <v>0</v>
      </c>
      <c r="G631" s="53" t="n">
        <v>3</v>
      </c>
      <c r="H631" s="54" t="n">
        <v>204.39</v>
      </c>
      <c r="I631" s="53" t="n">
        <f aca="false">IF(B631&gt;=Settings!$B$13,1,0)</f>
        <v>1</v>
      </c>
      <c r="J631" s="53" t="n">
        <v>1</v>
      </c>
      <c r="K631" s="53" t="n">
        <f aca="false">G631*I631*J631</f>
        <v>3</v>
      </c>
      <c r="L631" s="53" t="n">
        <f aca="false">F631*I631*J631</f>
        <v>0</v>
      </c>
      <c r="M631" s="54" t="n">
        <f aca="false">H631*I631*J631</f>
        <v>204.39</v>
      </c>
      <c r="N631" s="54" t="n">
        <f aca="false">E631*I631*J631</f>
        <v>-0</v>
      </c>
      <c r="O631" s="53" t="n">
        <f aca="false">G631*J631</f>
        <v>3</v>
      </c>
      <c r="P631" s="53" t="n">
        <f aca="false">F631*J631</f>
        <v>0</v>
      </c>
    </row>
    <row r="632" customFormat="false" ht="15" hidden="false" customHeight="false" outlineLevel="0" collapsed="false">
      <c r="A632" s="53" t="s">
        <v>93</v>
      </c>
      <c r="B632" s="53" t="s">
        <v>126</v>
      </c>
      <c r="C632" s="53" t="s">
        <v>165</v>
      </c>
      <c r="D632" s="53" t="s">
        <v>42</v>
      </c>
      <c r="E632" s="54" t="n">
        <v>259</v>
      </c>
      <c r="F632" s="53" t="n">
        <v>2</v>
      </c>
      <c r="G632" s="53" t="n">
        <v>40</v>
      </c>
      <c r="H632" s="54" t="n">
        <v>5098.19</v>
      </c>
      <c r="I632" s="53" t="n">
        <f aca="false">IF(B632&gt;=Settings!$B$13,1,0)</f>
        <v>1</v>
      </c>
      <c r="J632" s="53" t="n">
        <v>1</v>
      </c>
      <c r="K632" s="53" t="n">
        <f aca="false">G632*I632*J632</f>
        <v>40</v>
      </c>
      <c r="L632" s="53" t="n">
        <f aca="false">F632*I632*J632</f>
        <v>2</v>
      </c>
      <c r="M632" s="54" t="n">
        <f aca="false">H632*I632*J632</f>
        <v>5098.19</v>
      </c>
      <c r="N632" s="54" t="n">
        <f aca="false">E632*I632*J632</f>
        <v>259</v>
      </c>
      <c r="O632" s="53" t="n">
        <f aca="false">G632*J632</f>
        <v>40</v>
      </c>
      <c r="P632" s="53" t="n">
        <f aca="false">F632*J632</f>
        <v>2</v>
      </c>
    </row>
    <row r="633" customFormat="false" ht="15" hidden="false" customHeight="false" outlineLevel="0" collapsed="false">
      <c r="A633" s="53" t="s">
        <v>89</v>
      </c>
      <c r="B633" s="53" t="s">
        <v>126</v>
      </c>
      <c r="C633" s="53" t="s">
        <v>344</v>
      </c>
      <c r="D633" s="53" t="s">
        <v>50</v>
      </c>
      <c r="E633" s="54" t="n">
        <v>0</v>
      </c>
      <c r="F633" s="53" t="n">
        <v>0</v>
      </c>
      <c r="G633" s="53" t="n">
        <v>2</v>
      </c>
      <c r="H633" s="54" t="n">
        <v>254.45</v>
      </c>
      <c r="I633" s="53" t="n">
        <f aca="false">IF(B633&gt;=Settings!$B$13,1,0)</f>
        <v>1</v>
      </c>
      <c r="J633" s="53" t="n">
        <v>1</v>
      </c>
      <c r="K633" s="53" t="n">
        <f aca="false">G633*I633*J633</f>
        <v>2</v>
      </c>
      <c r="L633" s="53" t="n">
        <f aca="false">F633*I633*J633</f>
        <v>0</v>
      </c>
      <c r="M633" s="54" t="n">
        <f aca="false">H633*I633*J633</f>
        <v>254.45</v>
      </c>
      <c r="N633" s="54" t="n">
        <f aca="false">E633*I633*J633</f>
        <v>-0</v>
      </c>
      <c r="O633" s="53" t="n">
        <f aca="false">G633*J633</f>
        <v>2</v>
      </c>
      <c r="P633" s="53" t="n">
        <f aca="false">F633*J633</f>
        <v>0</v>
      </c>
    </row>
    <row r="634" customFormat="false" ht="15" hidden="false" customHeight="false" outlineLevel="0" collapsed="false">
      <c r="A634" s="53" t="s">
        <v>100</v>
      </c>
      <c r="B634" s="53" t="s">
        <v>126</v>
      </c>
      <c r="C634" s="53" t="s">
        <v>322</v>
      </c>
      <c r="D634" s="53" t="s">
        <v>54</v>
      </c>
      <c r="E634" s="54" t="n">
        <v>0</v>
      </c>
      <c r="F634" s="53" t="n">
        <v>0</v>
      </c>
      <c r="G634" s="53" t="n">
        <v>2</v>
      </c>
      <c r="H634" s="54" t="n">
        <v>154.44</v>
      </c>
      <c r="I634" s="53" t="n">
        <f aca="false">IF(B634&gt;=Settings!$B$13,1,0)</f>
        <v>1</v>
      </c>
      <c r="J634" s="53" t="n">
        <v>1</v>
      </c>
      <c r="K634" s="53" t="n">
        <f aca="false">G634*I634*J634</f>
        <v>2</v>
      </c>
      <c r="L634" s="53" t="n">
        <f aca="false">F634*I634*J634</f>
        <v>0</v>
      </c>
      <c r="M634" s="54" t="n">
        <f aca="false">H634*I634*J634</f>
        <v>154.44</v>
      </c>
      <c r="N634" s="54" t="n">
        <f aca="false">E634*I634*J634</f>
        <v>-0</v>
      </c>
      <c r="O634" s="53" t="n">
        <f aca="false">G634*J634</f>
        <v>2</v>
      </c>
      <c r="P634" s="53" t="n">
        <f aca="false">F634*J634</f>
        <v>0</v>
      </c>
    </row>
    <row r="635" customFormat="false" ht="15" hidden="false" customHeight="false" outlineLevel="0" collapsed="false">
      <c r="A635" s="53" t="s">
        <v>97</v>
      </c>
      <c r="B635" s="53" t="s">
        <v>126</v>
      </c>
      <c r="C635" s="53" t="s">
        <v>385</v>
      </c>
      <c r="D635" s="53" t="s">
        <v>54</v>
      </c>
      <c r="E635" s="54" t="n">
        <v>0</v>
      </c>
      <c r="F635" s="53" t="n">
        <v>0</v>
      </c>
      <c r="G635" s="53" t="n">
        <v>4</v>
      </c>
      <c r="H635" s="54" t="n">
        <v>275.44</v>
      </c>
      <c r="I635" s="53" t="n">
        <f aca="false">IF(B635&gt;=Settings!$B$13,1,0)</f>
        <v>1</v>
      </c>
      <c r="J635" s="53" t="n">
        <v>1</v>
      </c>
      <c r="K635" s="53" t="n">
        <f aca="false">G635*I635*J635</f>
        <v>4</v>
      </c>
      <c r="L635" s="53" t="n">
        <f aca="false">F635*I635*J635</f>
        <v>0</v>
      </c>
      <c r="M635" s="54" t="n">
        <f aca="false">H635*I635*J635</f>
        <v>275.44</v>
      </c>
      <c r="N635" s="54" t="n">
        <f aca="false">E635*I635*J635</f>
        <v>-0</v>
      </c>
      <c r="O635" s="53" t="n">
        <f aca="false">G635*J635</f>
        <v>4</v>
      </c>
      <c r="P635" s="53" t="n">
        <f aca="false">F635*J635</f>
        <v>0</v>
      </c>
    </row>
    <row r="636" customFormat="false" ht="15" hidden="false" customHeight="false" outlineLevel="0" collapsed="false">
      <c r="A636" s="53" t="s">
        <v>89</v>
      </c>
      <c r="B636" s="53" t="s">
        <v>126</v>
      </c>
      <c r="C636" s="53" t="s">
        <v>381</v>
      </c>
      <c r="D636" s="53" t="s">
        <v>66</v>
      </c>
      <c r="E636" s="54" t="n">
        <v>0</v>
      </c>
      <c r="F636" s="53" t="n">
        <v>0</v>
      </c>
      <c r="G636" s="53" t="n">
        <v>1</v>
      </c>
      <c r="H636" s="54" t="n">
        <v>152.68</v>
      </c>
      <c r="I636" s="53" t="n">
        <f aca="false">IF(B636&gt;=Settings!$B$13,1,0)</f>
        <v>1</v>
      </c>
      <c r="J636" s="53" t="n">
        <v>1</v>
      </c>
      <c r="K636" s="53" t="n">
        <f aca="false">G636*I636*J636</f>
        <v>1</v>
      </c>
      <c r="L636" s="53" t="n">
        <f aca="false">F636*I636*J636</f>
        <v>0</v>
      </c>
      <c r="M636" s="54" t="n">
        <f aca="false">H636*I636*J636</f>
        <v>152.68</v>
      </c>
      <c r="N636" s="54" t="n">
        <f aca="false">E636*I636*J636</f>
        <v>-0</v>
      </c>
      <c r="O636" s="53" t="n">
        <f aca="false">G636*J636</f>
        <v>1</v>
      </c>
      <c r="P636" s="53" t="n">
        <f aca="false">F636*J636</f>
        <v>0</v>
      </c>
    </row>
    <row r="637" customFormat="false" ht="15" hidden="false" customHeight="false" outlineLevel="0" collapsed="false">
      <c r="A637" s="53" t="s">
        <v>93</v>
      </c>
      <c r="B637" s="53" t="s">
        <v>126</v>
      </c>
      <c r="C637" s="53" t="s">
        <v>158</v>
      </c>
      <c r="D637" s="53" t="s">
        <v>42</v>
      </c>
      <c r="E637" s="54" t="n">
        <v>0</v>
      </c>
      <c r="F637" s="53" t="n">
        <v>0</v>
      </c>
      <c r="G637" s="53" t="n">
        <v>25</v>
      </c>
      <c r="H637" s="54" t="n">
        <v>2680.64</v>
      </c>
      <c r="I637" s="53" t="n">
        <f aca="false">IF(B637&gt;=Settings!$B$13,1,0)</f>
        <v>1</v>
      </c>
      <c r="J637" s="53" t="n">
        <v>1</v>
      </c>
      <c r="K637" s="53" t="n">
        <f aca="false">G637*I637*J637</f>
        <v>25</v>
      </c>
      <c r="L637" s="53" t="n">
        <f aca="false">F637*I637*J637</f>
        <v>0</v>
      </c>
      <c r="M637" s="54" t="n">
        <f aca="false">H637*I637*J637</f>
        <v>2680.64</v>
      </c>
      <c r="N637" s="54" t="n">
        <f aca="false">E637*I637*J637</f>
        <v>-0</v>
      </c>
      <c r="O637" s="53" t="n">
        <f aca="false">G637*J637</f>
        <v>25</v>
      </c>
      <c r="P637" s="53" t="n">
        <f aca="false">F637*J637</f>
        <v>0</v>
      </c>
    </row>
    <row r="638" customFormat="false" ht="15" hidden="false" customHeight="false" outlineLevel="0" collapsed="false">
      <c r="A638" s="53" t="s">
        <v>93</v>
      </c>
      <c r="B638" s="53" t="s">
        <v>126</v>
      </c>
      <c r="C638" s="53" t="s">
        <v>333</v>
      </c>
      <c r="D638" s="53" t="s">
        <v>54</v>
      </c>
      <c r="E638" s="54" t="n">
        <v>0</v>
      </c>
      <c r="F638" s="53" t="n">
        <v>0</v>
      </c>
      <c r="G638" s="53" t="n">
        <v>7</v>
      </c>
      <c r="H638" s="54" t="n">
        <v>504.23</v>
      </c>
      <c r="I638" s="53" t="n">
        <f aca="false">IF(B638&gt;=Settings!$B$13,1,0)</f>
        <v>1</v>
      </c>
      <c r="J638" s="53" t="n">
        <v>1</v>
      </c>
      <c r="K638" s="53" t="n">
        <f aca="false">G638*I638*J638</f>
        <v>7</v>
      </c>
      <c r="L638" s="53" t="n">
        <f aca="false">F638*I638*J638</f>
        <v>0</v>
      </c>
      <c r="M638" s="54" t="n">
        <f aca="false">H638*I638*J638</f>
        <v>504.23</v>
      </c>
      <c r="N638" s="54" t="n">
        <f aca="false">E638*I638*J638</f>
        <v>-0</v>
      </c>
      <c r="O638" s="53" t="n">
        <f aca="false">G638*J638</f>
        <v>7</v>
      </c>
      <c r="P638" s="53" t="n">
        <f aca="false">F638*J638</f>
        <v>0</v>
      </c>
    </row>
    <row r="639" customFormat="false" ht="15" hidden="false" customHeight="false" outlineLevel="0" collapsed="false">
      <c r="A639" s="53" t="s">
        <v>97</v>
      </c>
      <c r="B639" s="53" t="s">
        <v>126</v>
      </c>
      <c r="C639" s="53" t="s">
        <v>165</v>
      </c>
      <c r="D639" s="53" t="s">
        <v>42</v>
      </c>
      <c r="E639" s="54" t="n">
        <v>649.33</v>
      </c>
      <c r="F639" s="53" t="n">
        <v>6</v>
      </c>
      <c r="G639" s="53" t="n">
        <v>63</v>
      </c>
      <c r="H639" s="54" t="n">
        <v>7715.27</v>
      </c>
      <c r="I639" s="53" t="n">
        <f aca="false">IF(B639&gt;=Settings!$B$13,1,0)</f>
        <v>1</v>
      </c>
      <c r="J639" s="53" t="n">
        <v>1</v>
      </c>
      <c r="K639" s="53" t="n">
        <f aca="false">G639*I639*J639</f>
        <v>63</v>
      </c>
      <c r="L639" s="53" t="n">
        <f aca="false">F639*I639*J639</f>
        <v>6</v>
      </c>
      <c r="M639" s="54" t="n">
        <f aca="false">H639*I639*J639</f>
        <v>7715.27</v>
      </c>
      <c r="N639" s="54" t="n">
        <f aca="false">E639*I639*J639</f>
        <v>649.33</v>
      </c>
      <c r="O639" s="53" t="n">
        <f aca="false">G639*J639</f>
        <v>63</v>
      </c>
      <c r="P639" s="53" t="n">
        <f aca="false">F639*J639</f>
        <v>6</v>
      </c>
    </row>
    <row r="640" customFormat="false" ht="15" hidden="false" customHeight="false" outlineLevel="0" collapsed="false">
      <c r="A640" s="53" t="s">
        <v>93</v>
      </c>
      <c r="B640" s="53" t="s">
        <v>126</v>
      </c>
      <c r="C640" s="53" t="s">
        <v>145</v>
      </c>
      <c r="D640" s="53" t="s">
        <v>62</v>
      </c>
      <c r="E640" s="54" t="n">
        <v>149.95</v>
      </c>
      <c r="F640" s="53" t="n">
        <v>1</v>
      </c>
      <c r="G640" s="53" t="n">
        <v>3</v>
      </c>
      <c r="H640" s="54" t="n">
        <v>427.13</v>
      </c>
      <c r="I640" s="53" t="n">
        <f aca="false">IF(B640&gt;=Settings!$B$13,1,0)</f>
        <v>1</v>
      </c>
      <c r="J640" s="53" t="n">
        <v>1</v>
      </c>
      <c r="K640" s="53" t="n">
        <f aca="false">G640*I640*J640</f>
        <v>3</v>
      </c>
      <c r="L640" s="53" t="n">
        <f aca="false">F640*I640*J640</f>
        <v>1</v>
      </c>
      <c r="M640" s="54" t="n">
        <f aca="false">H640*I640*J640</f>
        <v>427.13</v>
      </c>
      <c r="N640" s="54" t="n">
        <f aca="false">E640*I640*J640</f>
        <v>149.95</v>
      </c>
      <c r="O640" s="53" t="n">
        <f aca="false">G640*J640</f>
        <v>3</v>
      </c>
      <c r="P640" s="53" t="n">
        <f aca="false">F640*J640</f>
        <v>1</v>
      </c>
    </row>
    <row r="641" customFormat="false" ht="15" hidden="false" customHeight="false" outlineLevel="0" collapsed="false">
      <c r="A641" s="53" t="s">
        <v>97</v>
      </c>
      <c r="B641" s="53" t="s">
        <v>126</v>
      </c>
      <c r="C641" s="53" t="s">
        <v>328</v>
      </c>
      <c r="D641" s="53" t="s">
        <v>50</v>
      </c>
      <c r="E641" s="54" t="n">
        <v>0</v>
      </c>
      <c r="F641" s="53" t="n">
        <v>0</v>
      </c>
      <c r="G641" s="53" t="n">
        <v>3</v>
      </c>
      <c r="H641" s="54" t="n">
        <v>263.49</v>
      </c>
      <c r="I641" s="53" t="n">
        <f aca="false">IF(B641&gt;=Settings!$B$13,1,0)</f>
        <v>1</v>
      </c>
      <c r="J641" s="53" t="n">
        <v>1</v>
      </c>
      <c r="K641" s="53" t="n">
        <f aca="false">G641*I641*J641</f>
        <v>3</v>
      </c>
      <c r="L641" s="53" t="n">
        <f aca="false">F641*I641*J641</f>
        <v>0</v>
      </c>
      <c r="M641" s="54" t="n">
        <f aca="false">H641*I641*J641</f>
        <v>263.49</v>
      </c>
      <c r="N641" s="54" t="n">
        <f aca="false">E641*I641*J641</f>
        <v>-0</v>
      </c>
      <c r="O641" s="53" t="n">
        <f aca="false">G641*J641</f>
        <v>3</v>
      </c>
      <c r="P641" s="53" t="n">
        <f aca="false">F641*J641</f>
        <v>0</v>
      </c>
    </row>
    <row r="642" customFormat="false" ht="15" hidden="false" customHeight="false" outlineLevel="0" collapsed="false">
      <c r="A642" s="53" t="s">
        <v>93</v>
      </c>
      <c r="B642" s="53" t="s">
        <v>126</v>
      </c>
      <c r="C642" s="53" t="s">
        <v>316</v>
      </c>
      <c r="D642" s="53" t="s">
        <v>62</v>
      </c>
      <c r="E642" s="54" t="n">
        <v>0</v>
      </c>
      <c r="F642" s="53" t="n">
        <v>0</v>
      </c>
      <c r="G642" s="53" t="n">
        <v>6</v>
      </c>
      <c r="H642" s="54" t="n">
        <v>636.08</v>
      </c>
      <c r="I642" s="53" t="n">
        <f aca="false">IF(B642&gt;=Settings!$B$13,1,0)</f>
        <v>1</v>
      </c>
      <c r="J642" s="53" t="n">
        <v>1</v>
      </c>
      <c r="K642" s="53" t="n">
        <f aca="false">G642*I642*J642</f>
        <v>6</v>
      </c>
      <c r="L642" s="53" t="n">
        <f aca="false">F642*I642*J642</f>
        <v>0</v>
      </c>
      <c r="M642" s="54" t="n">
        <f aca="false">H642*I642*J642</f>
        <v>636.08</v>
      </c>
      <c r="N642" s="54" t="n">
        <f aca="false">E642*I642*J642</f>
        <v>-0</v>
      </c>
      <c r="O642" s="53" t="n">
        <f aca="false">G642*J642</f>
        <v>6</v>
      </c>
      <c r="P642" s="53" t="n">
        <f aca="false">F642*J642</f>
        <v>0</v>
      </c>
    </row>
    <row r="643" customFormat="false" ht="15" hidden="false" customHeight="false" outlineLevel="0" collapsed="false">
      <c r="A643" s="53" t="s">
        <v>89</v>
      </c>
      <c r="B643" s="53" t="s">
        <v>126</v>
      </c>
      <c r="C643" s="53" t="s">
        <v>155</v>
      </c>
      <c r="D643" s="53" t="s">
        <v>50</v>
      </c>
      <c r="E643" s="54" t="n">
        <v>582.17</v>
      </c>
      <c r="F643" s="53" t="n">
        <v>8</v>
      </c>
      <c r="G643" s="53" t="n">
        <v>64</v>
      </c>
      <c r="H643" s="54" t="n">
        <v>4965.28</v>
      </c>
      <c r="I643" s="53" t="n">
        <f aca="false">IF(B643&gt;=Settings!$B$13,1,0)</f>
        <v>1</v>
      </c>
      <c r="J643" s="53" t="n">
        <v>1</v>
      </c>
      <c r="K643" s="53" t="n">
        <f aca="false">G643*I643*J643</f>
        <v>64</v>
      </c>
      <c r="L643" s="53" t="n">
        <f aca="false">F643*I643*J643</f>
        <v>8</v>
      </c>
      <c r="M643" s="54" t="n">
        <f aca="false">H643*I643*J643</f>
        <v>4965.28</v>
      </c>
      <c r="N643" s="54" t="n">
        <f aca="false">E643*I643*J643</f>
        <v>582.17</v>
      </c>
      <c r="O643" s="53" t="n">
        <f aca="false">G643*J643</f>
        <v>64</v>
      </c>
      <c r="P643" s="53" t="n">
        <f aca="false">F643*J643</f>
        <v>8</v>
      </c>
    </row>
    <row r="644" customFormat="false" ht="15" hidden="false" customHeight="false" outlineLevel="0" collapsed="false">
      <c r="A644" s="53" t="s">
        <v>89</v>
      </c>
      <c r="B644" s="53" t="s">
        <v>126</v>
      </c>
      <c r="C644" s="53" t="s">
        <v>318</v>
      </c>
      <c r="D644" s="53" t="s">
        <v>58</v>
      </c>
      <c r="E644" s="54" t="n">
        <v>0</v>
      </c>
      <c r="F644" s="53" t="n">
        <v>0</v>
      </c>
      <c r="G644" s="53" t="n">
        <v>3</v>
      </c>
      <c r="H644" s="54" t="n">
        <v>386.22</v>
      </c>
      <c r="I644" s="53" t="n">
        <f aca="false">IF(B644&gt;=Settings!$B$13,1,0)</f>
        <v>1</v>
      </c>
      <c r="J644" s="53" t="n">
        <v>1</v>
      </c>
      <c r="K644" s="53" t="n">
        <f aca="false">G644*I644*J644</f>
        <v>3</v>
      </c>
      <c r="L644" s="53" t="n">
        <f aca="false">F644*I644*J644</f>
        <v>0</v>
      </c>
      <c r="M644" s="54" t="n">
        <f aca="false">H644*I644*J644</f>
        <v>386.22</v>
      </c>
      <c r="N644" s="54" t="n">
        <f aca="false">E644*I644*J644</f>
        <v>-0</v>
      </c>
      <c r="O644" s="53" t="n">
        <f aca="false">G644*J644</f>
        <v>3</v>
      </c>
      <c r="P644" s="53" t="n">
        <f aca="false">F644*J644</f>
        <v>0</v>
      </c>
    </row>
    <row r="645" customFormat="false" ht="15" hidden="false" customHeight="false" outlineLevel="0" collapsed="false">
      <c r="A645" s="53" t="s">
        <v>97</v>
      </c>
      <c r="B645" s="53" t="s">
        <v>126</v>
      </c>
      <c r="C645" s="53" t="s">
        <v>330</v>
      </c>
      <c r="D645" s="53" t="s">
        <v>46</v>
      </c>
      <c r="E645" s="54" t="n">
        <v>99.95</v>
      </c>
      <c r="F645" s="53" t="n">
        <v>1</v>
      </c>
      <c r="G645" s="53" t="n">
        <v>8</v>
      </c>
      <c r="H645" s="54" t="n">
        <v>972.34</v>
      </c>
      <c r="I645" s="53" t="n">
        <f aca="false">IF(B645&gt;=Settings!$B$13,1,0)</f>
        <v>1</v>
      </c>
      <c r="J645" s="53" t="n">
        <v>1</v>
      </c>
      <c r="K645" s="53" t="n">
        <f aca="false">G645*I645*J645</f>
        <v>8</v>
      </c>
      <c r="L645" s="53" t="n">
        <f aca="false">F645*I645*J645</f>
        <v>1</v>
      </c>
      <c r="M645" s="54" t="n">
        <f aca="false">H645*I645*J645</f>
        <v>972.34</v>
      </c>
      <c r="N645" s="54" t="n">
        <f aca="false">E645*I645*J645</f>
        <v>99.95</v>
      </c>
      <c r="O645" s="53" t="n">
        <f aca="false">G645*J645</f>
        <v>8</v>
      </c>
      <c r="P645" s="53" t="n">
        <f aca="false">F645*J645</f>
        <v>1</v>
      </c>
    </row>
    <row r="646" customFormat="false" ht="15" hidden="false" customHeight="false" outlineLevel="0" collapsed="false">
      <c r="A646" s="53" t="s">
        <v>93</v>
      </c>
      <c r="B646" s="53" t="s">
        <v>126</v>
      </c>
      <c r="C646" s="53" t="s">
        <v>317</v>
      </c>
      <c r="D646" s="53" t="s">
        <v>46</v>
      </c>
      <c r="E646" s="54" t="n">
        <v>327.13</v>
      </c>
      <c r="F646" s="53" t="n">
        <v>3</v>
      </c>
      <c r="G646" s="53" t="n">
        <v>37</v>
      </c>
      <c r="H646" s="54" t="n">
        <v>3857.25</v>
      </c>
      <c r="I646" s="53" t="n">
        <f aca="false">IF(B646&gt;=Settings!$B$13,1,0)</f>
        <v>1</v>
      </c>
      <c r="J646" s="53" t="n">
        <v>1</v>
      </c>
      <c r="K646" s="53" t="n">
        <f aca="false">G646*I646*J646</f>
        <v>37</v>
      </c>
      <c r="L646" s="53" t="n">
        <f aca="false">F646*I646*J646</f>
        <v>3</v>
      </c>
      <c r="M646" s="54" t="n">
        <f aca="false">H646*I646*J646</f>
        <v>3857.25</v>
      </c>
      <c r="N646" s="54" t="n">
        <f aca="false">E646*I646*J646</f>
        <v>327.13</v>
      </c>
      <c r="O646" s="53" t="n">
        <f aca="false">G646*J646</f>
        <v>37</v>
      </c>
      <c r="P646" s="53" t="n">
        <f aca="false">F646*J646</f>
        <v>3</v>
      </c>
    </row>
    <row r="647" customFormat="false" ht="15" hidden="false" customHeight="false" outlineLevel="0" collapsed="false">
      <c r="A647" s="53" t="s">
        <v>97</v>
      </c>
      <c r="B647" s="53" t="s">
        <v>126</v>
      </c>
      <c r="C647" s="53" t="s">
        <v>372</v>
      </c>
      <c r="D647" s="53" t="s">
        <v>42</v>
      </c>
      <c r="E647" s="54" t="n">
        <v>107.23</v>
      </c>
      <c r="F647" s="53" t="n">
        <v>1</v>
      </c>
      <c r="G647" s="53" t="n">
        <v>8</v>
      </c>
      <c r="H647" s="54" t="n">
        <v>927.82</v>
      </c>
      <c r="I647" s="53" t="n">
        <f aca="false">IF(B647&gt;=Settings!$B$13,1,0)</f>
        <v>1</v>
      </c>
      <c r="J647" s="53" t="n">
        <v>1</v>
      </c>
      <c r="K647" s="53" t="n">
        <f aca="false">G647*I647*J647</f>
        <v>8</v>
      </c>
      <c r="L647" s="53" t="n">
        <f aca="false">F647*I647*J647</f>
        <v>1</v>
      </c>
      <c r="M647" s="54" t="n">
        <f aca="false">H647*I647*J647</f>
        <v>927.82</v>
      </c>
      <c r="N647" s="54" t="n">
        <f aca="false">E647*I647*J647</f>
        <v>107.23</v>
      </c>
      <c r="O647" s="53" t="n">
        <f aca="false">G647*J647</f>
        <v>8</v>
      </c>
      <c r="P647" s="53" t="n">
        <f aca="false">F647*J647</f>
        <v>1</v>
      </c>
    </row>
    <row r="648" customFormat="false" ht="15" hidden="false" customHeight="false" outlineLevel="0" collapsed="false">
      <c r="A648" s="53" t="s">
        <v>97</v>
      </c>
      <c r="B648" s="53" t="s">
        <v>126</v>
      </c>
      <c r="C648" s="53" t="s">
        <v>159</v>
      </c>
      <c r="D648" s="53" t="s">
        <v>50</v>
      </c>
      <c r="E648" s="54" t="n">
        <v>303.05</v>
      </c>
      <c r="F648" s="53" t="n">
        <v>3</v>
      </c>
      <c r="G648" s="53" t="n">
        <v>12</v>
      </c>
      <c r="H648" s="54" t="n">
        <v>1253.97</v>
      </c>
      <c r="I648" s="53" t="n">
        <f aca="false">IF(B648&gt;=Settings!$B$13,1,0)</f>
        <v>1</v>
      </c>
      <c r="J648" s="53" t="n">
        <v>1</v>
      </c>
      <c r="K648" s="53" t="n">
        <f aca="false">G648*I648*J648</f>
        <v>12</v>
      </c>
      <c r="L648" s="53" t="n">
        <f aca="false">F648*I648*J648</f>
        <v>3</v>
      </c>
      <c r="M648" s="54" t="n">
        <f aca="false">H648*I648*J648</f>
        <v>1253.97</v>
      </c>
      <c r="N648" s="54" t="n">
        <f aca="false">E648*I648*J648</f>
        <v>303.05</v>
      </c>
      <c r="O648" s="53" t="n">
        <f aca="false">G648*J648</f>
        <v>12</v>
      </c>
      <c r="P648" s="53" t="n">
        <f aca="false">F648*J648</f>
        <v>3</v>
      </c>
    </row>
    <row r="649" customFormat="false" ht="15" hidden="false" customHeight="false" outlineLevel="0" collapsed="false">
      <c r="A649" s="53" t="s">
        <v>97</v>
      </c>
      <c r="B649" s="53" t="s">
        <v>126</v>
      </c>
      <c r="C649" s="53" t="s">
        <v>158</v>
      </c>
      <c r="D649" s="53" t="s">
        <v>42</v>
      </c>
      <c r="E649" s="54" t="n">
        <v>521.15</v>
      </c>
      <c r="F649" s="53" t="n">
        <v>5</v>
      </c>
      <c r="G649" s="53" t="n">
        <v>45</v>
      </c>
      <c r="H649" s="54" t="n">
        <v>4547.83</v>
      </c>
      <c r="I649" s="53" t="n">
        <f aca="false">IF(B649&gt;=Settings!$B$13,1,0)</f>
        <v>1</v>
      </c>
      <c r="J649" s="53" t="n">
        <v>1</v>
      </c>
      <c r="K649" s="53" t="n">
        <f aca="false">G649*I649*J649</f>
        <v>45</v>
      </c>
      <c r="L649" s="53" t="n">
        <f aca="false">F649*I649*J649</f>
        <v>5</v>
      </c>
      <c r="M649" s="54" t="n">
        <f aca="false">H649*I649*J649</f>
        <v>4547.83</v>
      </c>
      <c r="N649" s="54" t="n">
        <f aca="false">E649*I649*J649</f>
        <v>521.15</v>
      </c>
      <c r="O649" s="53" t="n">
        <f aca="false">G649*J649</f>
        <v>45</v>
      </c>
      <c r="P649" s="53" t="n">
        <f aca="false">F649*J649</f>
        <v>5</v>
      </c>
    </row>
    <row r="650" customFormat="false" ht="15" hidden="false" customHeight="false" outlineLevel="0" collapsed="false">
      <c r="A650" s="53" t="s">
        <v>100</v>
      </c>
      <c r="B650" s="53" t="s">
        <v>126</v>
      </c>
      <c r="C650" s="53" t="s">
        <v>360</v>
      </c>
      <c r="D650" s="53" t="s">
        <v>54</v>
      </c>
      <c r="E650" s="54" t="n">
        <v>0</v>
      </c>
      <c r="F650" s="53" t="n">
        <v>0</v>
      </c>
      <c r="G650" s="53" t="n">
        <v>1</v>
      </c>
      <c r="H650" s="54" t="n">
        <v>81.77</v>
      </c>
      <c r="I650" s="53" t="n">
        <f aca="false">IF(B650&gt;=Settings!$B$13,1,0)</f>
        <v>1</v>
      </c>
      <c r="J650" s="53" t="n">
        <v>1</v>
      </c>
      <c r="K650" s="53" t="n">
        <f aca="false">G650*I650*J650</f>
        <v>1</v>
      </c>
      <c r="L650" s="53" t="n">
        <f aca="false">F650*I650*J650</f>
        <v>0</v>
      </c>
      <c r="M650" s="54" t="n">
        <f aca="false">H650*I650*J650</f>
        <v>81.77</v>
      </c>
      <c r="N650" s="54" t="n">
        <f aca="false">E650*I650*J650</f>
        <v>-0</v>
      </c>
      <c r="O650" s="53" t="n">
        <f aca="false">G650*J650</f>
        <v>1</v>
      </c>
      <c r="P650" s="53" t="n">
        <f aca="false">F650*J650</f>
        <v>0</v>
      </c>
    </row>
    <row r="651" customFormat="false" ht="15" hidden="false" customHeight="false" outlineLevel="0" collapsed="false">
      <c r="A651" s="53" t="s">
        <v>89</v>
      </c>
      <c r="B651" s="53" t="s">
        <v>126</v>
      </c>
      <c r="C651" s="53" t="s">
        <v>330</v>
      </c>
      <c r="D651" s="53" t="s">
        <v>46</v>
      </c>
      <c r="E651" s="54" t="n">
        <v>358.99</v>
      </c>
      <c r="F651" s="53" t="n">
        <v>3</v>
      </c>
      <c r="G651" s="53" t="n">
        <v>16</v>
      </c>
      <c r="H651" s="54" t="n">
        <v>2140.15</v>
      </c>
      <c r="I651" s="53" t="n">
        <f aca="false">IF(B651&gt;=Settings!$B$13,1,0)</f>
        <v>1</v>
      </c>
      <c r="J651" s="53" t="n">
        <v>1</v>
      </c>
      <c r="K651" s="53" t="n">
        <f aca="false">G651*I651*J651</f>
        <v>16</v>
      </c>
      <c r="L651" s="53" t="n">
        <f aca="false">F651*I651*J651</f>
        <v>3</v>
      </c>
      <c r="M651" s="54" t="n">
        <f aca="false">H651*I651*J651</f>
        <v>2140.15</v>
      </c>
      <c r="N651" s="54" t="n">
        <f aca="false">E651*I651*J651</f>
        <v>358.99</v>
      </c>
      <c r="O651" s="53" t="n">
        <f aca="false">G651*J651</f>
        <v>16</v>
      </c>
      <c r="P651" s="53" t="n">
        <f aca="false">F651*J651</f>
        <v>3</v>
      </c>
    </row>
    <row r="652" customFormat="false" ht="15" hidden="false" customHeight="false" outlineLevel="0" collapsed="false">
      <c r="A652" s="53" t="s">
        <v>93</v>
      </c>
      <c r="B652" s="53" t="s">
        <v>126</v>
      </c>
      <c r="C652" s="53" t="s">
        <v>391</v>
      </c>
      <c r="D652" s="53" t="s">
        <v>50</v>
      </c>
      <c r="E652" s="54" t="n">
        <v>0</v>
      </c>
      <c r="F652" s="53" t="n">
        <v>0</v>
      </c>
      <c r="G652" s="53" t="n">
        <v>2</v>
      </c>
      <c r="H652" s="54" t="n">
        <v>318.1</v>
      </c>
      <c r="I652" s="53" t="n">
        <f aca="false">IF(B652&gt;=Settings!$B$13,1,0)</f>
        <v>1</v>
      </c>
      <c r="J652" s="53" t="n">
        <v>1</v>
      </c>
      <c r="K652" s="53" t="n">
        <f aca="false">G652*I652*J652</f>
        <v>2</v>
      </c>
      <c r="L652" s="53" t="n">
        <f aca="false">F652*I652*J652</f>
        <v>0</v>
      </c>
      <c r="M652" s="54" t="n">
        <f aca="false">H652*I652*J652</f>
        <v>318.1</v>
      </c>
      <c r="N652" s="54" t="n">
        <f aca="false">E652*I652*J652</f>
        <v>-0</v>
      </c>
      <c r="O652" s="53" t="n">
        <f aca="false">G652*J652</f>
        <v>2</v>
      </c>
      <c r="P652" s="53" t="n">
        <f aca="false">F652*J652</f>
        <v>0</v>
      </c>
    </row>
    <row r="653" customFormat="false" ht="15" hidden="false" customHeight="false" outlineLevel="0" collapsed="false">
      <c r="A653" s="53" t="s">
        <v>89</v>
      </c>
      <c r="B653" s="53" t="s">
        <v>126</v>
      </c>
      <c r="C653" s="53" t="s">
        <v>374</v>
      </c>
      <c r="D653" s="53" t="s">
        <v>66</v>
      </c>
      <c r="E653" s="54" t="n">
        <v>0</v>
      </c>
      <c r="F653" s="53" t="n">
        <v>0</v>
      </c>
      <c r="G653" s="53" t="n">
        <v>1</v>
      </c>
      <c r="H653" s="54" t="n">
        <v>113.59</v>
      </c>
      <c r="I653" s="53" t="n">
        <f aca="false">IF(B653&gt;=Settings!$B$13,1,0)</f>
        <v>1</v>
      </c>
      <c r="J653" s="53" t="n">
        <v>1</v>
      </c>
      <c r="K653" s="53" t="n">
        <f aca="false">G653*I653*J653</f>
        <v>1</v>
      </c>
      <c r="L653" s="53" t="n">
        <f aca="false">F653*I653*J653</f>
        <v>0</v>
      </c>
      <c r="M653" s="54" t="n">
        <f aca="false">H653*I653*J653</f>
        <v>113.59</v>
      </c>
      <c r="N653" s="54" t="n">
        <f aca="false">E653*I653*J653</f>
        <v>-0</v>
      </c>
      <c r="O653" s="53" t="n">
        <f aca="false">G653*J653</f>
        <v>1</v>
      </c>
      <c r="P653" s="53" t="n">
        <f aca="false">F653*J653</f>
        <v>0</v>
      </c>
    </row>
    <row r="654" customFormat="false" ht="15" hidden="false" customHeight="false" outlineLevel="0" collapsed="false">
      <c r="A654" s="53" t="s">
        <v>89</v>
      </c>
      <c r="B654" s="53" t="s">
        <v>126</v>
      </c>
      <c r="C654" s="53" t="s">
        <v>323</v>
      </c>
      <c r="D654" s="53" t="s">
        <v>62</v>
      </c>
      <c r="E654" s="54" t="n">
        <v>0</v>
      </c>
      <c r="F654" s="53" t="n">
        <v>0</v>
      </c>
      <c r="G654" s="53" t="n">
        <v>1</v>
      </c>
      <c r="H654" s="54" t="n">
        <v>122.67</v>
      </c>
      <c r="I654" s="53" t="n">
        <f aca="false">IF(B654&gt;=Settings!$B$13,1,0)</f>
        <v>1</v>
      </c>
      <c r="J654" s="53" t="n">
        <v>1</v>
      </c>
      <c r="K654" s="53" t="n">
        <f aca="false">G654*I654*J654</f>
        <v>1</v>
      </c>
      <c r="L654" s="53" t="n">
        <f aca="false">F654*I654*J654</f>
        <v>0</v>
      </c>
      <c r="M654" s="54" t="n">
        <f aca="false">H654*I654*J654</f>
        <v>122.67</v>
      </c>
      <c r="N654" s="54" t="n">
        <f aca="false">E654*I654*J654</f>
        <v>-0</v>
      </c>
      <c r="O654" s="53" t="n">
        <f aca="false">G654*J654</f>
        <v>1</v>
      </c>
      <c r="P654" s="53" t="n">
        <f aca="false">F654*J654</f>
        <v>0</v>
      </c>
    </row>
    <row r="655" customFormat="false" ht="15" hidden="false" customHeight="false" outlineLevel="0" collapsed="false">
      <c r="A655" s="53" t="s">
        <v>89</v>
      </c>
      <c r="B655" s="53" t="s">
        <v>126</v>
      </c>
      <c r="C655" s="53" t="s">
        <v>159</v>
      </c>
      <c r="D655" s="53" t="s">
        <v>50</v>
      </c>
      <c r="E655" s="54" t="n">
        <v>300.32</v>
      </c>
      <c r="F655" s="53" t="n">
        <v>3</v>
      </c>
      <c r="G655" s="53" t="n">
        <v>15</v>
      </c>
      <c r="H655" s="54" t="n">
        <v>1599.3</v>
      </c>
      <c r="I655" s="53" t="n">
        <f aca="false">IF(B655&gt;=Settings!$B$13,1,0)</f>
        <v>1</v>
      </c>
      <c r="J655" s="53" t="n">
        <v>1</v>
      </c>
      <c r="K655" s="53" t="n">
        <f aca="false">G655*I655*J655</f>
        <v>15</v>
      </c>
      <c r="L655" s="53" t="n">
        <f aca="false">F655*I655*J655</f>
        <v>3</v>
      </c>
      <c r="M655" s="54" t="n">
        <f aca="false">H655*I655*J655</f>
        <v>1599.3</v>
      </c>
      <c r="N655" s="54" t="n">
        <f aca="false">E655*I655*J655</f>
        <v>300.32</v>
      </c>
      <c r="O655" s="53" t="n">
        <f aca="false">G655*J655</f>
        <v>15</v>
      </c>
      <c r="P655" s="53" t="n">
        <f aca="false">F655*J655</f>
        <v>3</v>
      </c>
    </row>
    <row r="656" customFormat="false" ht="15" hidden="false" customHeight="false" outlineLevel="0" collapsed="false">
      <c r="A656" s="53" t="s">
        <v>89</v>
      </c>
      <c r="B656" s="53" t="s">
        <v>126</v>
      </c>
      <c r="C656" s="53" t="s">
        <v>160</v>
      </c>
      <c r="D656" s="53" t="s">
        <v>58</v>
      </c>
      <c r="E656" s="54" t="n">
        <v>0</v>
      </c>
      <c r="F656" s="53" t="n">
        <v>0</v>
      </c>
      <c r="G656" s="53" t="n">
        <v>3</v>
      </c>
      <c r="H656" s="54" t="n">
        <v>236.21</v>
      </c>
      <c r="I656" s="53" t="n">
        <f aca="false">IF(B656&gt;=Settings!$B$13,1,0)</f>
        <v>1</v>
      </c>
      <c r="J656" s="53" t="n">
        <v>1</v>
      </c>
      <c r="K656" s="53" t="n">
        <f aca="false">G656*I656*J656</f>
        <v>3</v>
      </c>
      <c r="L656" s="53" t="n">
        <f aca="false">F656*I656*J656</f>
        <v>0</v>
      </c>
      <c r="M656" s="54" t="n">
        <f aca="false">H656*I656*J656</f>
        <v>236.21</v>
      </c>
      <c r="N656" s="54" t="n">
        <f aca="false">E656*I656*J656</f>
        <v>-0</v>
      </c>
      <c r="O656" s="53" t="n">
        <f aca="false">G656*J656</f>
        <v>3</v>
      </c>
      <c r="P656" s="53" t="n">
        <f aca="false">F656*J656</f>
        <v>0</v>
      </c>
    </row>
    <row r="657" customFormat="false" ht="15" hidden="false" customHeight="false" outlineLevel="0" collapsed="false">
      <c r="A657" s="53" t="s">
        <v>97</v>
      </c>
      <c r="B657" s="53" t="s">
        <v>126</v>
      </c>
      <c r="C657" s="53" t="s">
        <v>386</v>
      </c>
      <c r="D657" s="53" t="s">
        <v>54</v>
      </c>
      <c r="E657" s="54" t="n">
        <v>66.42</v>
      </c>
      <c r="F657" s="53" t="n">
        <v>1</v>
      </c>
      <c r="G657" s="53" t="n">
        <v>7</v>
      </c>
      <c r="H657" s="54" t="n">
        <v>532.39</v>
      </c>
      <c r="I657" s="53" t="n">
        <f aca="false">IF(B657&gt;=Settings!$B$13,1,0)</f>
        <v>1</v>
      </c>
      <c r="J657" s="53" t="n">
        <v>1</v>
      </c>
      <c r="K657" s="53" t="n">
        <f aca="false">G657*I657*J657</f>
        <v>7</v>
      </c>
      <c r="L657" s="53" t="n">
        <f aca="false">F657*I657*J657</f>
        <v>1</v>
      </c>
      <c r="M657" s="54" t="n">
        <f aca="false">H657*I657*J657</f>
        <v>532.39</v>
      </c>
      <c r="N657" s="54" t="n">
        <f aca="false">E657*I657*J657</f>
        <v>66.42</v>
      </c>
      <c r="O657" s="53" t="n">
        <f aca="false">G657*J657</f>
        <v>7</v>
      </c>
      <c r="P657" s="53" t="n">
        <f aca="false">F657*J657</f>
        <v>1</v>
      </c>
    </row>
    <row r="658" customFormat="false" ht="15" hidden="false" customHeight="false" outlineLevel="0" collapsed="false">
      <c r="A658" s="53" t="s">
        <v>93</v>
      </c>
      <c r="B658" s="53" t="s">
        <v>126</v>
      </c>
      <c r="C658" s="53" t="s">
        <v>360</v>
      </c>
      <c r="D658" s="53" t="s">
        <v>54</v>
      </c>
      <c r="E658" s="54" t="n">
        <v>0</v>
      </c>
      <c r="F658" s="53" t="n">
        <v>0</v>
      </c>
      <c r="G658" s="53" t="n">
        <v>7</v>
      </c>
      <c r="H658" s="54" t="n">
        <v>617.84</v>
      </c>
      <c r="I658" s="53" t="n">
        <f aca="false">IF(B658&gt;=Settings!$B$13,1,0)</f>
        <v>1</v>
      </c>
      <c r="J658" s="53" t="n">
        <v>1</v>
      </c>
      <c r="K658" s="53" t="n">
        <f aca="false">G658*I658*J658</f>
        <v>7</v>
      </c>
      <c r="L658" s="53" t="n">
        <f aca="false">F658*I658*J658</f>
        <v>0</v>
      </c>
      <c r="M658" s="54" t="n">
        <f aca="false">H658*I658*J658</f>
        <v>617.84</v>
      </c>
      <c r="N658" s="54" t="n">
        <f aca="false">E658*I658*J658</f>
        <v>-0</v>
      </c>
      <c r="O658" s="53" t="n">
        <f aca="false">G658*J658</f>
        <v>7</v>
      </c>
      <c r="P658" s="53" t="n">
        <f aca="false">F658*J658</f>
        <v>0</v>
      </c>
    </row>
    <row r="659" customFormat="false" ht="15" hidden="false" customHeight="false" outlineLevel="0" collapsed="false">
      <c r="A659" s="53" t="s">
        <v>93</v>
      </c>
      <c r="B659" s="53" t="s">
        <v>126</v>
      </c>
      <c r="C659" s="53" t="s">
        <v>154</v>
      </c>
      <c r="D659" s="53" t="s">
        <v>42</v>
      </c>
      <c r="E659" s="54" t="n">
        <v>0</v>
      </c>
      <c r="F659" s="53" t="n">
        <v>0</v>
      </c>
      <c r="G659" s="53" t="n">
        <v>19</v>
      </c>
      <c r="H659" s="54" t="n">
        <v>1453.64</v>
      </c>
      <c r="I659" s="53" t="n">
        <f aca="false">IF(B659&gt;=Settings!$B$13,1,0)</f>
        <v>1</v>
      </c>
      <c r="J659" s="53" t="n">
        <v>1</v>
      </c>
      <c r="K659" s="53" t="n">
        <f aca="false">G659*I659*J659</f>
        <v>19</v>
      </c>
      <c r="L659" s="53" t="n">
        <f aca="false">F659*I659*J659</f>
        <v>0</v>
      </c>
      <c r="M659" s="54" t="n">
        <f aca="false">H659*I659*J659</f>
        <v>1453.64</v>
      </c>
      <c r="N659" s="54" t="n">
        <f aca="false">E659*I659*J659</f>
        <v>-0</v>
      </c>
      <c r="O659" s="53" t="n">
        <f aca="false">G659*J659</f>
        <v>19</v>
      </c>
      <c r="P659" s="53" t="n">
        <f aca="false">F659*J659</f>
        <v>0</v>
      </c>
    </row>
    <row r="660" customFormat="false" ht="15" hidden="false" customHeight="false" outlineLevel="0" collapsed="false">
      <c r="A660" s="53" t="s">
        <v>89</v>
      </c>
      <c r="B660" s="53" t="s">
        <v>126</v>
      </c>
      <c r="C660" s="53" t="s">
        <v>332</v>
      </c>
      <c r="D660" s="53" t="s">
        <v>46</v>
      </c>
      <c r="E660" s="54" t="n">
        <v>86.32</v>
      </c>
      <c r="F660" s="53" t="n">
        <v>1</v>
      </c>
      <c r="G660" s="53" t="n">
        <v>24</v>
      </c>
      <c r="H660" s="54" t="n">
        <v>2235.24</v>
      </c>
      <c r="I660" s="53" t="n">
        <f aca="false">IF(B660&gt;=Settings!$B$13,1,0)</f>
        <v>1</v>
      </c>
      <c r="J660" s="53" t="n">
        <v>1</v>
      </c>
      <c r="K660" s="53" t="n">
        <f aca="false">G660*I660*J660</f>
        <v>24</v>
      </c>
      <c r="L660" s="53" t="n">
        <f aca="false">F660*I660*J660</f>
        <v>1</v>
      </c>
      <c r="M660" s="54" t="n">
        <f aca="false">H660*I660*J660</f>
        <v>2235.24</v>
      </c>
      <c r="N660" s="54" t="n">
        <f aca="false">E660*I660*J660</f>
        <v>86.32</v>
      </c>
      <c r="O660" s="53" t="n">
        <f aca="false">G660*J660</f>
        <v>24</v>
      </c>
      <c r="P660" s="53" t="n">
        <f aca="false">F660*J660</f>
        <v>1</v>
      </c>
    </row>
    <row r="661" customFormat="false" ht="15" hidden="false" customHeight="false" outlineLevel="0" collapsed="false">
      <c r="A661" s="53" t="s">
        <v>93</v>
      </c>
      <c r="B661" s="53" t="s">
        <v>126</v>
      </c>
      <c r="C661" s="53" t="s">
        <v>344</v>
      </c>
      <c r="D661" s="53" t="s">
        <v>50</v>
      </c>
      <c r="E661" s="54" t="n">
        <v>88.83</v>
      </c>
      <c r="F661" s="53" t="n">
        <v>1</v>
      </c>
      <c r="G661" s="53" t="n">
        <v>2</v>
      </c>
      <c r="H661" s="54" t="n">
        <v>222.63</v>
      </c>
      <c r="I661" s="53" t="n">
        <f aca="false">IF(B661&gt;=Settings!$B$13,1,0)</f>
        <v>1</v>
      </c>
      <c r="J661" s="53" t="n">
        <v>1</v>
      </c>
      <c r="K661" s="53" t="n">
        <f aca="false">G661*I661*J661</f>
        <v>2</v>
      </c>
      <c r="L661" s="53" t="n">
        <f aca="false">F661*I661*J661</f>
        <v>1</v>
      </c>
      <c r="M661" s="54" t="n">
        <f aca="false">H661*I661*J661</f>
        <v>222.63</v>
      </c>
      <c r="N661" s="54" t="n">
        <f aca="false">E661*I661*J661</f>
        <v>88.83</v>
      </c>
      <c r="O661" s="53" t="n">
        <f aca="false">G661*J661</f>
        <v>2</v>
      </c>
      <c r="P661" s="53" t="n">
        <f aca="false">F661*J661</f>
        <v>1</v>
      </c>
    </row>
    <row r="662" customFormat="false" ht="15" hidden="false" customHeight="false" outlineLevel="0" collapsed="false">
      <c r="A662" s="53" t="s">
        <v>89</v>
      </c>
      <c r="B662" s="53" t="s">
        <v>126</v>
      </c>
      <c r="C662" s="53" t="s">
        <v>156</v>
      </c>
      <c r="D662" s="53" t="s">
        <v>58</v>
      </c>
      <c r="E662" s="54" t="n">
        <v>155.4</v>
      </c>
      <c r="F662" s="53" t="n">
        <v>2</v>
      </c>
      <c r="G662" s="53" t="n">
        <v>14</v>
      </c>
      <c r="H662" s="54" t="n">
        <v>1185.01</v>
      </c>
      <c r="I662" s="53" t="n">
        <f aca="false">IF(B662&gt;=Settings!$B$13,1,0)</f>
        <v>1</v>
      </c>
      <c r="J662" s="53" t="n">
        <v>1</v>
      </c>
      <c r="K662" s="53" t="n">
        <f aca="false">G662*I662*J662</f>
        <v>14</v>
      </c>
      <c r="L662" s="53" t="n">
        <f aca="false">F662*I662*J662</f>
        <v>2</v>
      </c>
      <c r="M662" s="54" t="n">
        <f aca="false">H662*I662*J662</f>
        <v>1185.01</v>
      </c>
      <c r="N662" s="54" t="n">
        <f aca="false">E662*I662*J662</f>
        <v>155.4</v>
      </c>
      <c r="O662" s="53" t="n">
        <f aca="false">G662*J662</f>
        <v>14</v>
      </c>
      <c r="P662" s="53" t="n">
        <f aca="false">F662*J662</f>
        <v>2</v>
      </c>
    </row>
    <row r="663" customFormat="false" ht="15" hidden="false" customHeight="false" outlineLevel="0" collapsed="false">
      <c r="A663" s="53" t="s">
        <v>97</v>
      </c>
      <c r="B663" s="53" t="s">
        <v>126</v>
      </c>
      <c r="C663" s="53" t="s">
        <v>141</v>
      </c>
      <c r="D663" s="53" t="s">
        <v>50</v>
      </c>
      <c r="E663" s="54" t="n">
        <v>0</v>
      </c>
      <c r="F663" s="53" t="n">
        <v>0</v>
      </c>
      <c r="G663" s="53" t="n">
        <v>1</v>
      </c>
      <c r="H663" s="54" t="n">
        <v>144.5</v>
      </c>
      <c r="I663" s="53" t="n">
        <f aca="false">IF(B663&gt;=Settings!$B$13,1,0)</f>
        <v>1</v>
      </c>
      <c r="J663" s="53" t="n">
        <v>1</v>
      </c>
      <c r="K663" s="53" t="n">
        <f aca="false">G663*I663*J663</f>
        <v>1</v>
      </c>
      <c r="L663" s="53" t="n">
        <f aca="false">F663*I663*J663</f>
        <v>0</v>
      </c>
      <c r="M663" s="54" t="n">
        <f aca="false">H663*I663*J663</f>
        <v>144.5</v>
      </c>
      <c r="N663" s="54" t="n">
        <f aca="false">E663*I663*J663</f>
        <v>-0</v>
      </c>
      <c r="O663" s="53" t="n">
        <f aca="false">G663*J663</f>
        <v>1</v>
      </c>
      <c r="P663" s="53" t="n">
        <f aca="false">F663*J663</f>
        <v>0</v>
      </c>
    </row>
    <row r="664" customFormat="false" ht="15" hidden="false" customHeight="false" outlineLevel="0" collapsed="false">
      <c r="A664" s="53" t="s">
        <v>97</v>
      </c>
      <c r="B664" s="53" t="s">
        <v>126</v>
      </c>
      <c r="C664" s="53" t="s">
        <v>387</v>
      </c>
      <c r="D664" s="53" t="s">
        <v>58</v>
      </c>
      <c r="E664" s="54" t="n">
        <v>0</v>
      </c>
      <c r="F664" s="53" t="n">
        <v>0</v>
      </c>
      <c r="G664" s="53" t="n">
        <v>4</v>
      </c>
      <c r="H664" s="54" t="n">
        <v>331.62</v>
      </c>
      <c r="I664" s="53" t="n">
        <f aca="false">IF(B664&gt;=Settings!$B$13,1,0)</f>
        <v>1</v>
      </c>
      <c r="J664" s="53" t="n">
        <v>1</v>
      </c>
      <c r="K664" s="53" t="n">
        <f aca="false">G664*I664*J664</f>
        <v>4</v>
      </c>
      <c r="L664" s="53" t="n">
        <f aca="false">F664*I664*J664</f>
        <v>0</v>
      </c>
      <c r="M664" s="54" t="n">
        <f aca="false">H664*I664*J664</f>
        <v>331.62</v>
      </c>
      <c r="N664" s="54" t="n">
        <f aca="false">E664*I664*J664</f>
        <v>-0</v>
      </c>
      <c r="O664" s="53" t="n">
        <f aca="false">G664*J664</f>
        <v>4</v>
      </c>
      <c r="P664" s="53" t="n">
        <f aca="false">F664*J664</f>
        <v>0</v>
      </c>
    </row>
    <row r="665" customFormat="false" ht="15" hidden="false" customHeight="false" outlineLevel="0" collapsed="false">
      <c r="A665" s="53" t="s">
        <v>97</v>
      </c>
      <c r="B665" s="53" t="s">
        <v>126</v>
      </c>
      <c r="C665" s="53" t="s">
        <v>344</v>
      </c>
      <c r="D665" s="53" t="s">
        <v>50</v>
      </c>
      <c r="E665" s="54" t="n">
        <v>0</v>
      </c>
      <c r="F665" s="53" t="n">
        <v>0</v>
      </c>
      <c r="G665" s="53" t="n">
        <v>9</v>
      </c>
      <c r="H665" s="54" t="n">
        <v>1040.49</v>
      </c>
      <c r="I665" s="53" t="n">
        <f aca="false">IF(B665&gt;=Settings!$B$13,1,0)</f>
        <v>1</v>
      </c>
      <c r="J665" s="53" t="n">
        <v>1</v>
      </c>
      <c r="K665" s="53" t="n">
        <f aca="false">G665*I665*J665</f>
        <v>9</v>
      </c>
      <c r="L665" s="53" t="n">
        <f aca="false">F665*I665*J665</f>
        <v>0</v>
      </c>
      <c r="M665" s="54" t="n">
        <f aca="false">H665*I665*J665</f>
        <v>1040.49</v>
      </c>
      <c r="N665" s="54" t="n">
        <f aca="false">E665*I665*J665</f>
        <v>-0</v>
      </c>
      <c r="O665" s="53" t="n">
        <f aca="false">G665*J665</f>
        <v>9</v>
      </c>
      <c r="P665" s="53" t="n">
        <f aca="false">F665*J665</f>
        <v>0</v>
      </c>
    </row>
    <row r="666" customFormat="false" ht="15" hidden="false" customHeight="false" outlineLevel="0" collapsed="false">
      <c r="A666" s="53" t="s">
        <v>89</v>
      </c>
      <c r="B666" s="53" t="s">
        <v>126</v>
      </c>
      <c r="C666" s="53" t="s">
        <v>387</v>
      </c>
      <c r="D666" s="53" t="s">
        <v>58</v>
      </c>
      <c r="E666" s="54" t="n">
        <v>0</v>
      </c>
      <c r="F666" s="53" t="n">
        <v>0</v>
      </c>
      <c r="G666" s="53" t="n">
        <v>3</v>
      </c>
      <c r="H666" s="54" t="n">
        <v>240.77</v>
      </c>
      <c r="I666" s="53" t="n">
        <f aca="false">IF(B666&gt;=Settings!$B$13,1,0)</f>
        <v>1</v>
      </c>
      <c r="J666" s="53" t="n">
        <v>1</v>
      </c>
      <c r="K666" s="53" t="n">
        <f aca="false">G666*I666*J666</f>
        <v>3</v>
      </c>
      <c r="L666" s="53" t="n">
        <f aca="false">F666*I666*J666</f>
        <v>0</v>
      </c>
      <c r="M666" s="54" t="n">
        <f aca="false">H666*I666*J666</f>
        <v>240.77</v>
      </c>
      <c r="N666" s="54" t="n">
        <f aca="false">E666*I666*J666</f>
        <v>-0</v>
      </c>
      <c r="O666" s="53" t="n">
        <f aca="false">G666*J666</f>
        <v>3</v>
      </c>
      <c r="P666" s="53" t="n">
        <f aca="false">F666*J666</f>
        <v>0</v>
      </c>
    </row>
    <row r="667" customFormat="false" ht="15" hidden="false" customHeight="false" outlineLevel="0" collapsed="false">
      <c r="A667" s="53" t="s">
        <v>89</v>
      </c>
      <c r="B667" s="53" t="s">
        <v>126</v>
      </c>
      <c r="C667" s="53" t="s">
        <v>371</v>
      </c>
      <c r="D667" s="53" t="s">
        <v>58</v>
      </c>
      <c r="E667" s="54" t="n">
        <v>80.97</v>
      </c>
      <c r="F667" s="53" t="n">
        <v>1</v>
      </c>
      <c r="G667" s="53" t="n">
        <v>1</v>
      </c>
      <c r="H667" s="54" t="n">
        <v>99.95</v>
      </c>
      <c r="I667" s="53" t="n">
        <f aca="false">IF(B667&gt;=Settings!$B$13,1,0)</f>
        <v>1</v>
      </c>
      <c r="J667" s="53" t="n">
        <v>1</v>
      </c>
      <c r="K667" s="53" t="n">
        <f aca="false">G667*I667*J667</f>
        <v>1</v>
      </c>
      <c r="L667" s="53" t="n">
        <f aca="false">F667*I667*J667</f>
        <v>1</v>
      </c>
      <c r="M667" s="54" t="n">
        <f aca="false">H667*I667*J667</f>
        <v>99.95</v>
      </c>
      <c r="N667" s="54" t="n">
        <f aca="false">E667*I667*J667</f>
        <v>80.97</v>
      </c>
      <c r="O667" s="53" t="n">
        <f aca="false">G667*J667</f>
        <v>1</v>
      </c>
      <c r="P667" s="53" t="n">
        <f aca="false">F667*J667</f>
        <v>1</v>
      </c>
    </row>
    <row r="668" customFormat="false" ht="15" hidden="false" customHeight="false" outlineLevel="0" collapsed="false">
      <c r="A668" s="53" t="s">
        <v>89</v>
      </c>
      <c r="B668" s="53" t="s">
        <v>126</v>
      </c>
      <c r="C668" s="53" t="s">
        <v>144</v>
      </c>
      <c r="D668" s="53" t="s">
        <v>58</v>
      </c>
      <c r="E668" s="54" t="n">
        <v>131.77</v>
      </c>
      <c r="F668" s="53" t="n">
        <v>1</v>
      </c>
      <c r="G668" s="53" t="n">
        <v>2</v>
      </c>
      <c r="H668" s="54" t="n">
        <v>263.54</v>
      </c>
      <c r="I668" s="53" t="n">
        <f aca="false">IF(B668&gt;=Settings!$B$13,1,0)</f>
        <v>1</v>
      </c>
      <c r="J668" s="53" t="n">
        <v>1</v>
      </c>
      <c r="K668" s="53" t="n">
        <f aca="false">G668*I668*J668</f>
        <v>2</v>
      </c>
      <c r="L668" s="53" t="n">
        <f aca="false">F668*I668*J668</f>
        <v>1</v>
      </c>
      <c r="M668" s="54" t="n">
        <f aca="false">H668*I668*J668</f>
        <v>263.54</v>
      </c>
      <c r="N668" s="54" t="n">
        <f aca="false">E668*I668*J668</f>
        <v>131.77</v>
      </c>
      <c r="O668" s="53" t="n">
        <f aca="false">G668*J668</f>
        <v>2</v>
      </c>
      <c r="P668" s="53" t="n">
        <f aca="false">F668*J668</f>
        <v>1</v>
      </c>
    </row>
    <row r="669" customFormat="false" ht="15" hidden="false" customHeight="false" outlineLevel="0" collapsed="false">
      <c r="A669" s="53" t="s">
        <v>93</v>
      </c>
      <c r="B669" s="53" t="s">
        <v>126</v>
      </c>
      <c r="C669" s="53" t="s">
        <v>160</v>
      </c>
      <c r="D669" s="53" t="s">
        <v>58</v>
      </c>
      <c r="E669" s="54" t="n">
        <v>0</v>
      </c>
      <c r="F669" s="53" t="n">
        <v>0</v>
      </c>
      <c r="G669" s="53" t="n">
        <v>3</v>
      </c>
      <c r="H669" s="54" t="n">
        <v>236.22</v>
      </c>
      <c r="I669" s="53" t="n">
        <f aca="false">IF(B669&gt;=Settings!$B$13,1,0)</f>
        <v>1</v>
      </c>
      <c r="J669" s="53" t="n">
        <v>1</v>
      </c>
      <c r="K669" s="53" t="n">
        <f aca="false">G669*I669*J669</f>
        <v>3</v>
      </c>
      <c r="L669" s="53" t="n">
        <f aca="false">F669*I669*J669</f>
        <v>0</v>
      </c>
      <c r="M669" s="54" t="n">
        <f aca="false">H669*I669*J669</f>
        <v>236.22</v>
      </c>
      <c r="N669" s="54" t="n">
        <f aca="false">E669*I669*J669</f>
        <v>-0</v>
      </c>
      <c r="O669" s="53" t="n">
        <f aca="false">G669*J669</f>
        <v>3</v>
      </c>
      <c r="P669" s="53" t="n">
        <f aca="false">F669*J669</f>
        <v>0</v>
      </c>
    </row>
    <row r="670" customFormat="false" ht="15" hidden="false" customHeight="false" outlineLevel="0" collapsed="false">
      <c r="A670" s="53" t="s">
        <v>89</v>
      </c>
      <c r="B670" s="53" t="s">
        <v>126</v>
      </c>
      <c r="C670" s="53" t="s">
        <v>333</v>
      </c>
      <c r="D670" s="53" t="s">
        <v>54</v>
      </c>
      <c r="E670" s="54" t="n">
        <v>0</v>
      </c>
      <c r="F670" s="53" t="n">
        <v>0</v>
      </c>
      <c r="G670" s="53" t="n">
        <v>1</v>
      </c>
      <c r="H670" s="54" t="n">
        <v>68.14</v>
      </c>
      <c r="I670" s="53" t="n">
        <f aca="false">IF(B670&gt;=Settings!$B$13,1,0)</f>
        <v>1</v>
      </c>
      <c r="J670" s="53" t="n">
        <v>1</v>
      </c>
      <c r="K670" s="53" t="n">
        <f aca="false">G670*I670*J670</f>
        <v>1</v>
      </c>
      <c r="L670" s="53" t="n">
        <f aca="false">F670*I670*J670</f>
        <v>0</v>
      </c>
      <c r="M670" s="54" t="n">
        <f aca="false">H670*I670*J670</f>
        <v>68.14</v>
      </c>
      <c r="N670" s="54" t="n">
        <f aca="false">E670*I670*J670</f>
        <v>-0</v>
      </c>
      <c r="O670" s="53" t="n">
        <f aca="false">G670*J670</f>
        <v>1</v>
      </c>
      <c r="P670" s="53" t="n">
        <f aca="false">F670*J670</f>
        <v>0</v>
      </c>
    </row>
    <row r="671" customFormat="false" ht="15" hidden="false" customHeight="false" outlineLevel="0" collapsed="false">
      <c r="A671" s="53" t="s">
        <v>93</v>
      </c>
      <c r="B671" s="53" t="s">
        <v>126</v>
      </c>
      <c r="C671" s="53" t="s">
        <v>318</v>
      </c>
      <c r="D671" s="53" t="s">
        <v>58</v>
      </c>
      <c r="E671" s="54" t="n">
        <v>0</v>
      </c>
      <c r="F671" s="53" t="n">
        <v>0</v>
      </c>
      <c r="G671" s="53" t="n">
        <v>1</v>
      </c>
      <c r="H671" s="54" t="n">
        <v>154.5</v>
      </c>
      <c r="I671" s="53" t="n">
        <f aca="false">IF(B671&gt;=Settings!$B$13,1,0)</f>
        <v>1</v>
      </c>
      <c r="J671" s="53" t="n">
        <v>1</v>
      </c>
      <c r="K671" s="53" t="n">
        <f aca="false">G671*I671*J671</f>
        <v>1</v>
      </c>
      <c r="L671" s="53" t="n">
        <f aca="false">F671*I671*J671</f>
        <v>0</v>
      </c>
      <c r="M671" s="54" t="n">
        <f aca="false">H671*I671*J671</f>
        <v>154.5</v>
      </c>
      <c r="N671" s="54" t="n">
        <f aca="false">E671*I671*J671</f>
        <v>-0</v>
      </c>
      <c r="O671" s="53" t="n">
        <f aca="false">G671*J671</f>
        <v>1</v>
      </c>
      <c r="P671" s="53" t="n">
        <f aca="false">F671*J671</f>
        <v>0</v>
      </c>
    </row>
    <row r="672" customFormat="false" ht="15" hidden="false" customHeight="false" outlineLevel="0" collapsed="false">
      <c r="A672" s="53" t="s">
        <v>89</v>
      </c>
      <c r="B672" s="53" t="s">
        <v>126</v>
      </c>
      <c r="C672" s="53" t="s">
        <v>154</v>
      </c>
      <c r="D672" s="53" t="s">
        <v>42</v>
      </c>
      <c r="E672" s="54" t="n">
        <v>653.72</v>
      </c>
      <c r="F672" s="53" t="n">
        <v>9</v>
      </c>
      <c r="G672" s="53" t="n">
        <v>72</v>
      </c>
      <c r="H672" s="54" t="n">
        <v>5428.51</v>
      </c>
      <c r="I672" s="53" t="n">
        <f aca="false">IF(B672&gt;=Settings!$B$13,1,0)</f>
        <v>1</v>
      </c>
      <c r="J672" s="53" t="n">
        <v>1</v>
      </c>
      <c r="K672" s="53" t="n">
        <f aca="false">G672*I672*J672</f>
        <v>72</v>
      </c>
      <c r="L672" s="53" t="n">
        <f aca="false">F672*I672*J672</f>
        <v>9</v>
      </c>
      <c r="M672" s="54" t="n">
        <f aca="false">H672*I672*J672</f>
        <v>5428.51</v>
      </c>
      <c r="N672" s="54" t="n">
        <f aca="false">E672*I672*J672</f>
        <v>653.72</v>
      </c>
      <c r="O672" s="53" t="n">
        <f aca="false">G672*J672</f>
        <v>72</v>
      </c>
      <c r="P672" s="53" t="n">
        <f aca="false">F672*J672</f>
        <v>9</v>
      </c>
    </row>
    <row r="673" customFormat="false" ht="15" hidden="false" customHeight="false" outlineLevel="0" collapsed="false">
      <c r="A673" s="53" t="s">
        <v>89</v>
      </c>
      <c r="B673" s="53" t="s">
        <v>126</v>
      </c>
      <c r="C673" s="53" t="s">
        <v>166</v>
      </c>
      <c r="D673" s="53" t="s">
        <v>50</v>
      </c>
      <c r="E673" s="54" t="n">
        <v>119.74</v>
      </c>
      <c r="F673" s="53" t="n">
        <v>1</v>
      </c>
      <c r="G673" s="53" t="n">
        <v>3</v>
      </c>
      <c r="H673" s="54" t="n">
        <v>458.95</v>
      </c>
      <c r="I673" s="53" t="n">
        <f aca="false">IF(B673&gt;=Settings!$B$13,1,0)</f>
        <v>1</v>
      </c>
      <c r="J673" s="53" t="n">
        <v>1</v>
      </c>
      <c r="K673" s="53" t="n">
        <f aca="false">G673*I673*J673</f>
        <v>3</v>
      </c>
      <c r="L673" s="53" t="n">
        <f aca="false">F673*I673*J673</f>
        <v>1</v>
      </c>
      <c r="M673" s="54" t="n">
        <f aca="false">H673*I673*J673</f>
        <v>458.95</v>
      </c>
      <c r="N673" s="54" t="n">
        <f aca="false">E673*I673*J673</f>
        <v>119.74</v>
      </c>
      <c r="O673" s="53" t="n">
        <f aca="false">G673*J673</f>
        <v>3</v>
      </c>
      <c r="P673" s="53" t="n">
        <f aca="false">F673*J673</f>
        <v>1</v>
      </c>
    </row>
    <row r="674" customFormat="false" ht="15" hidden="false" customHeight="false" outlineLevel="0" collapsed="false">
      <c r="A674" s="53" t="s">
        <v>100</v>
      </c>
      <c r="B674" s="53" t="s">
        <v>126</v>
      </c>
      <c r="C674" s="53" t="s">
        <v>392</v>
      </c>
      <c r="D674" s="53" t="s">
        <v>54</v>
      </c>
      <c r="E674" s="54" t="n">
        <v>98.15</v>
      </c>
      <c r="F674" s="53" t="n">
        <v>1</v>
      </c>
      <c r="G674" s="53" t="n">
        <v>12</v>
      </c>
      <c r="H674" s="54" t="n">
        <v>1203.95</v>
      </c>
      <c r="I674" s="53" t="n">
        <f aca="false">IF(B674&gt;=Settings!$B$13,1,0)</f>
        <v>1</v>
      </c>
      <c r="J674" s="53" t="n">
        <v>1</v>
      </c>
      <c r="K674" s="53" t="n">
        <f aca="false">G674*I674*J674</f>
        <v>12</v>
      </c>
      <c r="L674" s="53" t="n">
        <f aca="false">F674*I674*J674</f>
        <v>1</v>
      </c>
      <c r="M674" s="54" t="n">
        <f aca="false">H674*I674*J674</f>
        <v>1203.95</v>
      </c>
      <c r="N674" s="54" t="n">
        <f aca="false">E674*I674*J674</f>
        <v>98.15</v>
      </c>
      <c r="O674" s="53" t="n">
        <f aca="false">G674*J674</f>
        <v>12</v>
      </c>
      <c r="P674" s="53" t="n">
        <f aca="false">F674*J674</f>
        <v>1</v>
      </c>
    </row>
    <row r="675" customFormat="false" ht="15" hidden="false" customHeight="false" outlineLevel="0" collapsed="false">
      <c r="A675" s="53" t="s">
        <v>89</v>
      </c>
      <c r="B675" s="53" t="s">
        <v>126</v>
      </c>
      <c r="C675" s="53" t="s">
        <v>163</v>
      </c>
      <c r="D675" s="53" t="s">
        <v>50</v>
      </c>
      <c r="E675" s="54" t="n">
        <v>0</v>
      </c>
      <c r="F675" s="53" t="n">
        <v>0</v>
      </c>
      <c r="G675" s="53" t="n">
        <v>7</v>
      </c>
      <c r="H675" s="54" t="n">
        <v>936.04</v>
      </c>
      <c r="I675" s="53" t="n">
        <f aca="false">IF(B675&gt;=Settings!$B$13,1,0)</f>
        <v>1</v>
      </c>
      <c r="J675" s="53" t="n">
        <v>1</v>
      </c>
      <c r="K675" s="53" t="n">
        <f aca="false">G675*I675*J675</f>
        <v>7</v>
      </c>
      <c r="L675" s="53" t="n">
        <f aca="false">F675*I675*J675</f>
        <v>0</v>
      </c>
      <c r="M675" s="54" t="n">
        <f aca="false">H675*I675*J675</f>
        <v>936.04</v>
      </c>
      <c r="N675" s="54" t="n">
        <f aca="false">E675*I675*J675</f>
        <v>-0</v>
      </c>
      <c r="O675" s="53" t="n">
        <f aca="false">G675*J675</f>
        <v>7</v>
      </c>
      <c r="P675" s="53" t="n">
        <f aca="false">F675*J675</f>
        <v>0</v>
      </c>
    </row>
    <row r="676" customFormat="false" ht="15" hidden="false" customHeight="false" outlineLevel="0" collapsed="false">
      <c r="A676" s="53" t="s">
        <v>89</v>
      </c>
      <c r="B676" s="53" t="s">
        <v>126</v>
      </c>
      <c r="C676" s="53" t="s">
        <v>145</v>
      </c>
      <c r="D676" s="53" t="s">
        <v>62</v>
      </c>
      <c r="E676" s="54" t="n">
        <v>127.47</v>
      </c>
      <c r="F676" s="53" t="n">
        <v>1</v>
      </c>
      <c r="G676" s="53" t="n">
        <v>2</v>
      </c>
      <c r="H676" s="54" t="n">
        <v>299.9</v>
      </c>
      <c r="I676" s="53" t="n">
        <f aca="false">IF(B676&gt;=Settings!$B$13,1,0)</f>
        <v>1</v>
      </c>
      <c r="J676" s="53" t="n">
        <v>1</v>
      </c>
      <c r="K676" s="53" t="n">
        <f aca="false">G676*I676*J676</f>
        <v>2</v>
      </c>
      <c r="L676" s="53" t="n">
        <f aca="false">F676*I676*J676</f>
        <v>1</v>
      </c>
      <c r="M676" s="54" t="n">
        <f aca="false">H676*I676*J676</f>
        <v>299.9</v>
      </c>
      <c r="N676" s="54" t="n">
        <f aca="false">E676*I676*J676</f>
        <v>127.47</v>
      </c>
      <c r="O676" s="53" t="n">
        <f aca="false">G676*J676</f>
        <v>2</v>
      </c>
      <c r="P676" s="53" t="n">
        <f aca="false">F676*J676</f>
        <v>1</v>
      </c>
    </row>
    <row r="677" customFormat="false" ht="15" hidden="false" customHeight="false" outlineLevel="0" collapsed="false">
      <c r="A677" s="53" t="s">
        <v>97</v>
      </c>
      <c r="B677" s="53" t="s">
        <v>126</v>
      </c>
      <c r="C677" s="53" t="s">
        <v>155</v>
      </c>
      <c r="D677" s="53" t="s">
        <v>50</v>
      </c>
      <c r="E677" s="54" t="n">
        <v>0</v>
      </c>
      <c r="F677" s="53" t="n">
        <v>0</v>
      </c>
      <c r="G677" s="53" t="n">
        <v>11</v>
      </c>
      <c r="H677" s="54" t="n">
        <v>831.31</v>
      </c>
      <c r="I677" s="53" t="n">
        <f aca="false">IF(B677&gt;=Settings!$B$13,1,0)</f>
        <v>1</v>
      </c>
      <c r="J677" s="53" t="n">
        <v>1</v>
      </c>
      <c r="K677" s="53" t="n">
        <f aca="false">G677*I677*J677</f>
        <v>11</v>
      </c>
      <c r="L677" s="53" t="n">
        <f aca="false">F677*I677*J677</f>
        <v>0</v>
      </c>
      <c r="M677" s="54" t="n">
        <f aca="false">H677*I677*J677</f>
        <v>831.31</v>
      </c>
      <c r="N677" s="54" t="n">
        <f aca="false">E677*I677*J677</f>
        <v>-0</v>
      </c>
      <c r="O677" s="53" t="n">
        <f aca="false">G677*J677</f>
        <v>11</v>
      </c>
      <c r="P677" s="53" t="n">
        <f aca="false">F677*J677</f>
        <v>0</v>
      </c>
    </row>
    <row r="678" customFormat="false" ht="15" hidden="false" customHeight="false" outlineLevel="0" collapsed="false">
      <c r="A678" s="53" t="s">
        <v>100</v>
      </c>
      <c r="B678" s="53" t="s">
        <v>126</v>
      </c>
      <c r="C678" s="53" t="s">
        <v>357</v>
      </c>
      <c r="D678" s="53" t="s">
        <v>54</v>
      </c>
      <c r="E678" s="54" t="n">
        <v>0</v>
      </c>
      <c r="F678" s="53" t="n">
        <v>0</v>
      </c>
      <c r="G678" s="53" t="n">
        <v>5</v>
      </c>
      <c r="H678" s="54" t="n">
        <v>417.93</v>
      </c>
      <c r="I678" s="53" t="n">
        <f aca="false">IF(B678&gt;=Settings!$B$13,1,0)</f>
        <v>1</v>
      </c>
      <c r="J678" s="53" t="n">
        <v>1</v>
      </c>
      <c r="K678" s="53" t="n">
        <f aca="false">G678*I678*J678</f>
        <v>5</v>
      </c>
      <c r="L678" s="53" t="n">
        <f aca="false">F678*I678*J678</f>
        <v>0</v>
      </c>
      <c r="M678" s="54" t="n">
        <f aca="false">H678*I678*J678</f>
        <v>417.93</v>
      </c>
      <c r="N678" s="54" t="n">
        <f aca="false">E678*I678*J678</f>
        <v>-0</v>
      </c>
      <c r="O678" s="53" t="n">
        <f aca="false">G678*J678</f>
        <v>5</v>
      </c>
      <c r="P678" s="53" t="n">
        <f aca="false">F678*J678</f>
        <v>0</v>
      </c>
    </row>
    <row r="679" customFormat="false" ht="15" hidden="false" customHeight="false" outlineLevel="0" collapsed="false">
      <c r="A679" s="53" t="s">
        <v>100</v>
      </c>
      <c r="B679" s="53" t="s">
        <v>126</v>
      </c>
      <c r="C679" s="53" t="s">
        <v>143</v>
      </c>
      <c r="D679" s="53" t="s">
        <v>54</v>
      </c>
      <c r="E679" s="54" t="n">
        <v>0</v>
      </c>
      <c r="F679" s="53" t="n">
        <v>0</v>
      </c>
      <c r="G679" s="53" t="n">
        <v>7</v>
      </c>
      <c r="H679" s="54" t="n">
        <v>881.46</v>
      </c>
      <c r="I679" s="53" t="n">
        <f aca="false">IF(B679&gt;=Settings!$B$13,1,0)</f>
        <v>1</v>
      </c>
      <c r="J679" s="53" t="n">
        <v>1</v>
      </c>
      <c r="K679" s="53" t="n">
        <f aca="false">G679*I679*J679</f>
        <v>7</v>
      </c>
      <c r="L679" s="53" t="n">
        <f aca="false">F679*I679*J679</f>
        <v>0</v>
      </c>
      <c r="M679" s="54" t="n">
        <f aca="false">H679*I679*J679</f>
        <v>881.46</v>
      </c>
      <c r="N679" s="54" t="n">
        <f aca="false">E679*I679*J679</f>
        <v>-0</v>
      </c>
      <c r="O679" s="53" t="n">
        <f aca="false">G679*J679</f>
        <v>7</v>
      </c>
      <c r="P679" s="53" t="n">
        <f aca="false">F679*J679</f>
        <v>0</v>
      </c>
    </row>
    <row r="680" customFormat="false" ht="15" hidden="false" customHeight="false" outlineLevel="0" collapsed="false">
      <c r="A680" s="53" t="s">
        <v>97</v>
      </c>
      <c r="B680" s="53" t="s">
        <v>126</v>
      </c>
      <c r="C680" s="53" t="s">
        <v>347</v>
      </c>
      <c r="D680" s="53" t="s">
        <v>62</v>
      </c>
      <c r="E680" s="54" t="n">
        <v>0</v>
      </c>
      <c r="F680" s="53" t="n">
        <v>0</v>
      </c>
      <c r="G680" s="53" t="n">
        <v>3</v>
      </c>
      <c r="H680" s="54" t="n">
        <v>222.59</v>
      </c>
      <c r="I680" s="53" t="n">
        <f aca="false">IF(B680&gt;=Settings!$B$13,1,0)</f>
        <v>1</v>
      </c>
      <c r="J680" s="53" t="n">
        <v>1</v>
      </c>
      <c r="K680" s="53" t="n">
        <f aca="false">G680*I680*J680</f>
        <v>3</v>
      </c>
      <c r="L680" s="53" t="n">
        <f aca="false">F680*I680*J680</f>
        <v>0</v>
      </c>
      <c r="M680" s="54" t="n">
        <f aca="false">H680*I680*J680</f>
        <v>222.59</v>
      </c>
      <c r="N680" s="54" t="n">
        <f aca="false">E680*I680*J680</f>
        <v>-0</v>
      </c>
      <c r="O680" s="53" t="n">
        <f aca="false">G680*J680</f>
        <v>3</v>
      </c>
      <c r="P680" s="53" t="n">
        <f aca="false">F680*J680</f>
        <v>0</v>
      </c>
    </row>
    <row r="681" customFormat="false" ht="15" hidden="false" customHeight="false" outlineLevel="0" collapsed="false">
      <c r="A681" s="53" t="s">
        <v>89</v>
      </c>
      <c r="B681" s="53" t="s">
        <v>126</v>
      </c>
      <c r="C681" s="53" t="s">
        <v>328</v>
      </c>
      <c r="D681" s="53" t="s">
        <v>50</v>
      </c>
      <c r="E681" s="54" t="n">
        <v>267.15</v>
      </c>
      <c r="F681" s="53" t="n">
        <v>3</v>
      </c>
      <c r="G681" s="53" t="n">
        <v>6</v>
      </c>
      <c r="H681" s="54" t="n">
        <v>531.54</v>
      </c>
      <c r="I681" s="53" t="n">
        <f aca="false">IF(B681&gt;=Settings!$B$13,1,0)</f>
        <v>1</v>
      </c>
      <c r="J681" s="53" t="n">
        <v>1</v>
      </c>
      <c r="K681" s="53" t="n">
        <f aca="false">G681*I681*J681</f>
        <v>6</v>
      </c>
      <c r="L681" s="53" t="n">
        <f aca="false">F681*I681*J681</f>
        <v>3</v>
      </c>
      <c r="M681" s="54" t="n">
        <f aca="false">H681*I681*J681</f>
        <v>531.54</v>
      </c>
      <c r="N681" s="54" t="n">
        <f aca="false">E681*I681*J681</f>
        <v>267.15</v>
      </c>
      <c r="O681" s="53" t="n">
        <f aca="false">G681*J681</f>
        <v>6</v>
      </c>
      <c r="P681" s="53" t="n">
        <f aca="false">F681*J681</f>
        <v>3</v>
      </c>
    </row>
    <row r="682" customFormat="false" ht="15" hidden="false" customHeight="false" outlineLevel="0" collapsed="false">
      <c r="A682" s="53" t="s">
        <v>89</v>
      </c>
      <c r="B682" s="53" t="s">
        <v>126</v>
      </c>
      <c r="C682" s="53" t="s">
        <v>146</v>
      </c>
      <c r="D682" s="53" t="s">
        <v>58</v>
      </c>
      <c r="E682" s="54" t="n">
        <v>0</v>
      </c>
      <c r="F682" s="53" t="n">
        <v>0</v>
      </c>
      <c r="G682" s="53" t="n">
        <v>1</v>
      </c>
      <c r="H682" s="54" t="n">
        <v>136.32</v>
      </c>
      <c r="I682" s="53" t="n">
        <f aca="false">IF(B682&gt;=Settings!$B$13,1,0)</f>
        <v>1</v>
      </c>
      <c r="J682" s="53" t="n">
        <v>1</v>
      </c>
      <c r="K682" s="53" t="n">
        <f aca="false">G682*I682*J682</f>
        <v>1</v>
      </c>
      <c r="L682" s="53" t="n">
        <f aca="false">F682*I682*J682</f>
        <v>0</v>
      </c>
      <c r="M682" s="54" t="n">
        <f aca="false">H682*I682*J682</f>
        <v>136.32</v>
      </c>
      <c r="N682" s="54" t="n">
        <f aca="false">E682*I682*J682</f>
        <v>-0</v>
      </c>
      <c r="O682" s="53" t="n">
        <f aca="false">G682*J682</f>
        <v>1</v>
      </c>
      <c r="P682" s="53" t="n">
        <f aca="false">F682*J682</f>
        <v>0</v>
      </c>
    </row>
    <row r="683" customFormat="false" ht="15" hidden="false" customHeight="false" outlineLevel="0" collapsed="false">
      <c r="A683" s="53" t="s">
        <v>89</v>
      </c>
      <c r="B683" s="53" t="s">
        <v>126</v>
      </c>
      <c r="C683" s="53" t="s">
        <v>317</v>
      </c>
      <c r="D683" s="53" t="s">
        <v>46</v>
      </c>
      <c r="E683" s="54" t="n">
        <v>489.33</v>
      </c>
      <c r="F683" s="53" t="n">
        <v>5</v>
      </c>
      <c r="G683" s="53" t="n">
        <v>42</v>
      </c>
      <c r="H683" s="54" t="n">
        <v>4547.89</v>
      </c>
      <c r="I683" s="53" t="n">
        <f aca="false">IF(B683&gt;=Settings!$B$13,1,0)</f>
        <v>1</v>
      </c>
      <c r="J683" s="53" t="n">
        <v>1</v>
      </c>
      <c r="K683" s="53" t="n">
        <f aca="false">G683*I683*J683</f>
        <v>42</v>
      </c>
      <c r="L683" s="53" t="n">
        <f aca="false">F683*I683*J683</f>
        <v>5</v>
      </c>
      <c r="M683" s="54" t="n">
        <f aca="false">H683*I683*J683</f>
        <v>4547.89</v>
      </c>
      <c r="N683" s="54" t="n">
        <f aca="false">E683*I683*J683</f>
        <v>489.33</v>
      </c>
      <c r="O683" s="53" t="n">
        <f aca="false">G683*J683</f>
        <v>42</v>
      </c>
      <c r="P683" s="53" t="n">
        <f aca="false">F683*J683</f>
        <v>5</v>
      </c>
    </row>
    <row r="684" customFormat="false" ht="15" hidden="false" customHeight="false" outlineLevel="0" collapsed="false">
      <c r="A684" s="53" t="s">
        <v>93</v>
      </c>
      <c r="B684" s="53" t="s">
        <v>126</v>
      </c>
      <c r="C684" s="53" t="s">
        <v>347</v>
      </c>
      <c r="D684" s="53" t="s">
        <v>62</v>
      </c>
      <c r="E684" s="54" t="n">
        <v>0</v>
      </c>
      <c r="F684" s="53" t="n">
        <v>0</v>
      </c>
      <c r="G684" s="53" t="n">
        <v>1</v>
      </c>
      <c r="H684" s="54" t="n">
        <v>86.32</v>
      </c>
      <c r="I684" s="53" t="n">
        <f aca="false">IF(B684&gt;=Settings!$B$13,1,0)</f>
        <v>1</v>
      </c>
      <c r="J684" s="53" t="n">
        <v>1</v>
      </c>
      <c r="K684" s="53" t="n">
        <f aca="false">G684*I684*J684</f>
        <v>1</v>
      </c>
      <c r="L684" s="53" t="n">
        <f aca="false">F684*I684*J684</f>
        <v>0</v>
      </c>
      <c r="M684" s="54" t="n">
        <f aca="false">H684*I684*J684</f>
        <v>86.32</v>
      </c>
      <c r="N684" s="54" t="n">
        <f aca="false">E684*I684*J684</f>
        <v>-0</v>
      </c>
      <c r="O684" s="53" t="n">
        <f aca="false">G684*J684</f>
        <v>1</v>
      </c>
      <c r="P684" s="53" t="n">
        <f aca="false">F684*J684</f>
        <v>0</v>
      </c>
    </row>
    <row r="685" customFormat="false" ht="15" hidden="false" customHeight="false" outlineLevel="0" collapsed="false">
      <c r="A685" s="53" t="s">
        <v>89</v>
      </c>
      <c r="B685" s="53" t="s">
        <v>126</v>
      </c>
      <c r="C685" s="53" t="s">
        <v>142</v>
      </c>
      <c r="D685" s="53" t="s">
        <v>66</v>
      </c>
      <c r="E685" s="54" t="n">
        <v>83.12</v>
      </c>
      <c r="F685" s="53" t="n">
        <v>1</v>
      </c>
      <c r="G685" s="53" t="n">
        <v>3</v>
      </c>
      <c r="H685" s="54" t="n">
        <v>274.59</v>
      </c>
      <c r="I685" s="53" t="n">
        <f aca="false">IF(B685&gt;=Settings!$B$13,1,0)</f>
        <v>1</v>
      </c>
      <c r="J685" s="53" t="n">
        <v>1</v>
      </c>
      <c r="K685" s="53" t="n">
        <f aca="false">G685*I685*J685</f>
        <v>3</v>
      </c>
      <c r="L685" s="53" t="n">
        <f aca="false">F685*I685*J685</f>
        <v>1</v>
      </c>
      <c r="M685" s="54" t="n">
        <f aca="false">H685*I685*J685</f>
        <v>274.59</v>
      </c>
      <c r="N685" s="54" t="n">
        <f aca="false">E685*I685*J685</f>
        <v>83.12</v>
      </c>
      <c r="O685" s="53" t="n">
        <f aca="false">G685*J685</f>
        <v>3</v>
      </c>
      <c r="P685" s="53" t="n">
        <f aca="false">F685*J685</f>
        <v>1</v>
      </c>
    </row>
    <row r="686" customFormat="false" ht="15" hidden="false" customHeight="false" outlineLevel="0" collapsed="false">
      <c r="A686" s="53" t="s">
        <v>97</v>
      </c>
      <c r="B686" s="53" t="s">
        <v>126</v>
      </c>
      <c r="C686" s="53" t="s">
        <v>375</v>
      </c>
      <c r="D686" s="53" t="s">
        <v>42</v>
      </c>
      <c r="E686" s="54" t="n">
        <v>89.95</v>
      </c>
      <c r="F686" s="53" t="n">
        <v>1</v>
      </c>
      <c r="G686" s="53" t="n">
        <v>3</v>
      </c>
      <c r="H686" s="54" t="n">
        <v>254.4</v>
      </c>
      <c r="I686" s="53" t="n">
        <f aca="false">IF(B686&gt;=Settings!$B$13,1,0)</f>
        <v>1</v>
      </c>
      <c r="J686" s="53" t="n">
        <v>1</v>
      </c>
      <c r="K686" s="53" t="n">
        <f aca="false">G686*I686*J686</f>
        <v>3</v>
      </c>
      <c r="L686" s="53" t="n">
        <f aca="false">F686*I686*J686</f>
        <v>1</v>
      </c>
      <c r="M686" s="54" t="n">
        <f aca="false">H686*I686*J686</f>
        <v>254.4</v>
      </c>
      <c r="N686" s="54" t="n">
        <f aca="false">E686*I686*J686</f>
        <v>89.95</v>
      </c>
      <c r="O686" s="53" t="n">
        <f aca="false">G686*J686</f>
        <v>3</v>
      </c>
      <c r="P686" s="53" t="n">
        <f aca="false">F686*J686</f>
        <v>1</v>
      </c>
    </row>
    <row r="687" customFormat="false" ht="15" hidden="false" customHeight="false" outlineLevel="0" collapsed="false">
      <c r="A687" s="53" t="s">
        <v>89</v>
      </c>
      <c r="B687" s="53" t="s">
        <v>126</v>
      </c>
      <c r="C687" s="53" t="s">
        <v>316</v>
      </c>
      <c r="D687" s="53" t="s">
        <v>62</v>
      </c>
      <c r="E687" s="54" t="n">
        <v>99.95</v>
      </c>
      <c r="F687" s="53" t="n">
        <v>1</v>
      </c>
      <c r="G687" s="53" t="n">
        <v>10</v>
      </c>
      <c r="H687" s="54" t="n">
        <v>1040.43</v>
      </c>
      <c r="I687" s="53" t="n">
        <f aca="false">IF(B687&gt;=Settings!$B$13,1,0)</f>
        <v>1</v>
      </c>
      <c r="J687" s="53" t="n">
        <v>1</v>
      </c>
      <c r="K687" s="53" t="n">
        <f aca="false">G687*I687*J687</f>
        <v>10</v>
      </c>
      <c r="L687" s="53" t="n">
        <f aca="false">F687*I687*J687</f>
        <v>1</v>
      </c>
      <c r="M687" s="54" t="n">
        <f aca="false">H687*I687*J687</f>
        <v>1040.43</v>
      </c>
      <c r="N687" s="54" t="n">
        <f aca="false">E687*I687*J687</f>
        <v>99.95</v>
      </c>
      <c r="O687" s="53" t="n">
        <f aca="false">G687*J687</f>
        <v>10</v>
      </c>
      <c r="P687" s="53" t="n">
        <f aca="false">F687*J687</f>
        <v>1</v>
      </c>
    </row>
    <row r="688" customFormat="false" ht="15" hidden="false" customHeight="false" outlineLevel="0" collapsed="false">
      <c r="A688" s="53" t="s">
        <v>89</v>
      </c>
      <c r="B688" s="53" t="s">
        <v>126</v>
      </c>
      <c r="C688" s="53" t="s">
        <v>158</v>
      </c>
      <c r="D688" s="53" t="s">
        <v>42</v>
      </c>
      <c r="E688" s="54" t="n">
        <v>623.38</v>
      </c>
      <c r="F688" s="53" t="n">
        <v>6</v>
      </c>
      <c r="G688" s="53" t="n">
        <v>71</v>
      </c>
      <c r="H688" s="54" t="n">
        <v>7551.18</v>
      </c>
      <c r="I688" s="53" t="n">
        <f aca="false">IF(B688&gt;=Settings!$B$13,1,0)</f>
        <v>1</v>
      </c>
      <c r="J688" s="53" t="n">
        <v>1</v>
      </c>
      <c r="K688" s="53" t="n">
        <f aca="false">G688*I688*J688</f>
        <v>71</v>
      </c>
      <c r="L688" s="53" t="n">
        <f aca="false">F688*I688*J688</f>
        <v>6</v>
      </c>
      <c r="M688" s="54" t="n">
        <f aca="false">H688*I688*J688</f>
        <v>7551.18</v>
      </c>
      <c r="N688" s="54" t="n">
        <f aca="false">E688*I688*J688</f>
        <v>623.38</v>
      </c>
      <c r="O688" s="53" t="n">
        <f aca="false">G688*J688</f>
        <v>71</v>
      </c>
      <c r="P688" s="53" t="n">
        <f aca="false">F688*J688</f>
        <v>6</v>
      </c>
    </row>
    <row r="689" customFormat="false" ht="15" hidden="false" customHeight="false" outlineLevel="0" collapsed="false">
      <c r="A689" s="53" t="s">
        <v>89</v>
      </c>
      <c r="B689" s="53" t="s">
        <v>126</v>
      </c>
      <c r="C689" s="53" t="s">
        <v>347</v>
      </c>
      <c r="D689" s="53" t="s">
        <v>62</v>
      </c>
      <c r="E689" s="54" t="n">
        <v>0</v>
      </c>
      <c r="F689" s="53" t="n">
        <v>0</v>
      </c>
      <c r="G689" s="53" t="n">
        <v>8</v>
      </c>
      <c r="H689" s="54" t="n">
        <v>576.92</v>
      </c>
      <c r="I689" s="53" t="n">
        <f aca="false">IF(B689&gt;=Settings!$B$13,1,0)</f>
        <v>1</v>
      </c>
      <c r="J689" s="53" t="n">
        <v>1</v>
      </c>
      <c r="K689" s="53" t="n">
        <f aca="false">G689*I689*J689</f>
        <v>8</v>
      </c>
      <c r="L689" s="53" t="n">
        <f aca="false">F689*I689*J689</f>
        <v>0</v>
      </c>
      <c r="M689" s="54" t="n">
        <f aca="false">H689*I689*J689</f>
        <v>576.92</v>
      </c>
      <c r="N689" s="54" t="n">
        <f aca="false">E689*I689*J689</f>
        <v>-0</v>
      </c>
      <c r="O689" s="53" t="n">
        <f aca="false">G689*J689</f>
        <v>8</v>
      </c>
      <c r="P689" s="53" t="n">
        <f aca="false">F689*J689</f>
        <v>0</v>
      </c>
    </row>
    <row r="690" customFormat="false" ht="15" hidden="false" customHeight="false" outlineLevel="0" collapsed="false">
      <c r="A690" s="53" t="s">
        <v>93</v>
      </c>
      <c r="B690" s="53" t="s">
        <v>126</v>
      </c>
      <c r="C690" s="53" t="s">
        <v>330</v>
      </c>
      <c r="D690" s="53" t="s">
        <v>46</v>
      </c>
      <c r="E690" s="54" t="n">
        <v>272.63</v>
      </c>
      <c r="F690" s="53" t="n">
        <v>2</v>
      </c>
      <c r="G690" s="53" t="n">
        <v>18</v>
      </c>
      <c r="H690" s="54" t="n">
        <v>2385.53</v>
      </c>
      <c r="I690" s="53" t="n">
        <f aca="false">IF(B690&gt;=Settings!$B$13,1,0)</f>
        <v>1</v>
      </c>
      <c r="J690" s="53" t="n">
        <v>1</v>
      </c>
      <c r="K690" s="53" t="n">
        <f aca="false">G690*I690*J690</f>
        <v>18</v>
      </c>
      <c r="L690" s="53" t="n">
        <f aca="false">F690*I690*J690</f>
        <v>2</v>
      </c>
      <c r="M690" s="54" t="n">
        <f aca="false">H690*I690*J690</f>
        <v>2385.53</v>
      </c>
      <c r="N690" s="54" t="n">
        <f aca="false">E690*I690*J690</f>
        <v>272.63</v>
      </c>
      <c r="O690" s="53" t="n">
        <f aca="false">G690*J690</f>
        <v>18</v>
      </c>
      <c r="P690" s="53" t="n">
        <f aca="false">F690*J690</f>
        <v>2</v>
      </c>
    </row>
    <row r="691" customFormat="false" ht="15" hidden="false" customHeight="false" outlineLevel="0" collapsed="false">
      <c r="A691" s="53" t="s">
        <v>97</v>
      </c>
      <c r="B691" s="53" t="s">
        <v>126</v>
      </c>
      <c r="C691" s="53" t="s">
        <v>317</v>
      </c>
      <c r="D691" s="53" t="s">
        <v>46</v>
      </c>
      <c r="E691" s="54" t="n">
        <v>507.5</v>
      </c>
      <c r="F691" s="53" t="n">
        <v>5</v>
      </c>
      <c r="G691" s="53" t="n">
        <v>33</v>
      </c>
      <c r="H691" s="54" t="n">
        <v>3357.43</v>
      </c>
      <c r="I691" s="53" t="n">
        <f aca="false">IF(B691&gt;=Settings!$B$13,1,0)</f>
        <v>1</v>
      </c>
      <c r="J691" s="53" t="n">
        <v>1</v>
      </c>
      <c r="K691" s="53" t="n">
        <f aca="false">G691*I691*J691</f>
        <v>33</v>
      </c>
      <c r="L691" s="53" t="n">
        <f aca="false">F691*I691*J691</f>
        <v>5</v>
      </c>
      <c r="M691" s="54" t="n">
        <f aca="false">H691*I691*J691</f>
        <v>3357.43</v>
      </c>
      <c r="N691" s="54" t="n">
        <f aca="false">E691*I691*J691</f>
        <v>507.5</v>
      </c>
      <c r="O691" s="53" t="n">
        <f aca="false">G691*J691</f>
        <v>33</v>
      </c>
      <c r="P691" s="53" t="n">
        <f aca="false">F691*J691</f>
        <v>5</v>
      </c>
    </row>
    <row r="692" customFormat="false" ht="15" hidden="false" customHeight="false" outlineLevel="0" collapsed="false">
      <c r="A692" s="53" t="s">
        <v>93</v>
      </c>
      <c r="B692" s="53" t="s">
        <v>126</v>
      </c>
      <c r="C692" s="53" t="s">
        <v>162</v>
      </c>
      <c r="D692" s="53" t="s">
        <v>42</v>
      </c>
      <c r="E692" s="54" t="n">
        <v>0</v>
      </c>
      <c r="F692" s="53" t="n">
        <v>0</v>
      </c>
      <c r="G692" s="53" t="n">
        <v>24</v>
      </c>
      <c r="H692" s="54" t="n">
        <v>2916.99</v>
      </c>
      <c r="I692" s="53" t="n">
        <f aca="false">IF(B692&gt;=Settings!$B$13,1,0)</f>
        <v>1</v>
      </c>
      <c r="J692" s="53" t="n">
        <v>1</v>
      </c>
      <c r="K692" s="53" t="n">
        <f aca="false">G692*I692*J692</f>
        <v>24</v>
      </c>
      <c r="L692" s="53" t="n">
        <f aca="false">F692*I692*J692</f>
        <v>0</v>
      </c>
      <c r="M692" s="54" t="n">
        <f aca="false">H692*I692*J692</f>
        <v>2916.99</v>
      </c>
      <c r="N692" s="54" t="n">
        <f aca="false">E692*I692*J692</f>
        <v>-0</v>
      </c>
      <c r="O692" s="53" t="n">
        <f aca="false">G692*J692</f>
        <v>24</v>
      </c>
      <c r="P692" s="53" t="n">
        <f aca="false">F692*J692</f>
        <v>0</v>
      </c>
    </row>
    <row r="693" customFormat="false" ht="15" hidden="false" customHeight="false" outlineLevel="0" collapsed="false">
      <c r="A693" s="53" t="s">
        <v>97</v>
      </c>
      <c r="B693" s="53" t="s">
        <v>126</v>
      </c>
      <c r="C693" s="53" t="s">
        <v>373</v>
      </c>
      <c r="D693" s="53" t="s">
        <v>42</v>
      </c>
      <c r="E693" s="54" t="n">
        <v>0</v>
      </c>
      <c r="F693" s="53" t="n">
        <v>0</v>
      </c>
      <c r="G693" s="53" t="n">
        <v>9</v>
      </c>
      <c r="H693" s="54" t="n">
        <v>1512.89</v>
      </c>
      <c r="I693" s="53" t="n">
        <f aca="false">IF(B693&gt;=Settings!$B$13,1,0)</f>
        <v>1</v>
      </c>
      <c r="J693" s="53" t="n">
        <v>1</v>
      </c>
      <c r="K693" s="53" t="n">
        <f aca="false">G693*I693*J693</f>
        <v>9</v>
      </c>
      <c r="L693" s="53" t="n">
        <f aca="false">F693*I693*J693</f>
        <v>0</v>
      </c>
      <c r="M693" s="54" t="n">
        <f aca="false">H693*I693*J693</f>
        <v>1512.89</v>
      </c>
      <c r="N693" s="54" t="n">
        <f aca="false">E693*I693*J693</f>
        <v>-0</v>
      </c>
      <c r="O693" s="53" t="n">
        <f aca="false">G693*J693</f>
        <v>9</v>
      </c>
      <c r="P693" s="53" t="n">
        <f aca="false">F693*J693</f>
        <v>0</v>
      </c>
    </row>
    <row r="694" customFormat="false" ht="15" hidden="false" customHeight="false" outlineLevel="0" collapsed="false">
      <c r="A694" s="53" t="s">
        <v>89</v>
      </c>
      <c r="B694" s="53" t="s">
        <v>126</v>
      </c>
      <c r="C694" s="53" t="s">
        <v>322</v>
      </c>
      <c r="D694" s="53" t="s">
        <v>54</v>
      </c>
      <c r="E694" s="54" t="n">
        <v>54.51</v>
      </c>
      <c r="F694" s="53" t="n">
        <v>1</v>
      </c>
      <c r="G694" s="53" t="n">
        <v>16</v>
      </c>
      <c r="H694" s="54" t="n">
        <v>1162.94</v>
      </c>
      <c r="I694" s="53" t="n">
        <f aca="false">IF(B694&gt;=Settings!$B$13,1,0)</f>
        <v>1</v>
      </c>
      <c r="J694" s="53" t="n">
        <v>1</v>
      </c>
      <c r="K694" s="53" t="n">
        <f aca="false">G694*I694*J694</f>
        <v>16</v>
      </c>
      <c r="L694" s="53" t="n">
        <f aca="false">F694*I694*J694</f>
        <v>1</v>
      </c>
      <c r="M694" s="54" t="n">
        <f aca="false">H694*I694*J694</f>
        <v>1162.94</v>
      </c>
      <c r="N694" s="54" t="n">
        <f aca="false">E694*I694*J694</f>
        <v>54.51</v>
      </c>
      <c r="O694" s="53" t="n">
        <f aca="false">G694*J694</f>
        <v>16</v>
      </c>
      <c r="P694" s="53" t="n">
        <f aca="false">F694*J694</f>
        <v>1</v>
      </c>
    </row>
    <row r="695" customFormat="false" ht="15" hidden="false" customHeight="false" outlineLevel="0" collapsed="false">
      <c r="A695" s="53" t="s">
        <v>97</v>
      </c>
      <c r="B695" s="53" t="s">
        <v>126</v>
      </c>
      <c r="C695" s="53" t="s">
        <v>371</v>
      </c>
      <c r="D695" s="53" t="s">
        <v>58</v>
      </c>
      <c r="E695" s="54" t="n">
        <v>99.95</v>
      </c>
      <c r="F695" s="53" t="n">
        <v>1</v>
      </c>
      <c r="G695" s="53" t="n">
        <v>5</v>
      </c>
      <c r="H695" s="54" t="n">
        <v>527.01</v>
      </c>
      <c r="I695" s="53" t="n">
        <f aca="false">IF(B695&gt;=Settings!$B$13,1,0)</f>
        <v>1</v>
      </c>
      <c r="J695" s="53" t="n">
        <v>1</v>
      </c>
      <c r="K695" s="53" t="n">
        <f aca="false">G695*I695*J695</f>
        <v>5</v>
      </c>
      <c r="L695" s="53" t="n">
        <f aca="false">F695*I695*J695</f>
        <v>1</v>
      </c>
      <c r="M695" s="54" t="n">
        <f aca="false">H695*I695*J695</f>
        <v>527.01</v>
      </c>
      <c r="N695" s="54" t="n">
        <f aca="false">E695*I695*J695</f>
        <v>99.95</v>
      </c>
      <c r="O695" s="53" t="n">
        <f aca="false">G695*J695</f>
        <v>5</v>
      </c>
      <c r="P695" s="53" t="n">
        <f aca="false">F695*J695</f>
        <v>1</v>
      </c>
    </row>
    <row r="696" customFormat="false" ht="15" hidden="false" customHeight="false" outlineLevel="0" collapsed="false">
      <c r="A696" s="53" t="s">
        <v>97</v>
      </c>
      <c r="B696" s="53" t="s">
        <v>126</v>
      </c>
      <c r="C696" s="53" t="s">
        <v>146</v>
      </c>
      <c r="D696" s="53" t="s">
        <v>58</v>
      </c>
      <c r="E696" s="54" t="n">
        <v>0</v>
      </c>
      <c r="F696" s="53" t="n">
        <v>0</v>
      </c>
      <c r="G696" s="53" t="n">
        <v>5</v>
      </c>
      <c r="H696" s="54" t="n">
        <v>672.49</v>
      </c>
      <c r="I696" s="53" t="n">
        <f aca="false">IF(B696&gt;=Settings!$B$13,1,0)</f>
        <v>1</v>
      </c>
      <c r="J696" s="53" t="n">
        <v>1</v>
      </c>
      <c r="K696" s="53" t="n">
        <f aca="false">G696*I696*J696</f>
        <v>5</v>
      </c>
      <c r="L696" s="53" t="n">
        <f aca="false">F696*I696*J696</f>
        <v>0</v>
      </c>
      <c r="M696" s="54" t="n">
        <f aca="false">H696*I696*J696</f>
        <v>672.49</v>
      </c>
      <c r="N696" s="54" t="n">
        <f aca="false">E696*I696*J696</f>
        <v>-0</v>
      </c>
      <c r="O696" s="53" t="n">
        <f aca="false">G696*J696</f>
        <v>5</v>
      </c>
      <c r="P696" s="53" t="n">
        <f aca="false">F696*J696</f>
        <v>0</v>
      </c>
    </row>
    <row r="697" customFormat="false" ht="15" hidden="false" customHeight="false" outlineLevel="0" collapsed="false">
      <c r="A697" s="53" t="s">
        <v>89</v>
      </c>
      <c r="B697" s="53" t="s">
        <v>126</v>
      </c>
      <c r="C697" s="53" t="s">
        <v>360</v>
      </c>
      <c r="D697" s="53" t="s">
        <v>54</v>
      </c>
      <c r="E697" s="54" t="n">
        <v>0</v>
      </c>
      <c r="F697" s="53" t="n">
        <v>0</v>
      </c>
      <c r="G697" s="53" t="n">
        <v>5</v>
      </c>
      <c r="H697" s="54" t="n">
        <v>445.21</v>
      </c>
      <c r="I697" s="53" t="n">
        <f aca="false">IF(B697&gt;=Settings!$B$13,1,0)</f>
        <v>1</v>
      </c>
      <c r="J697" s="53" t="n">
        <v>1</v>
      </c>
      <c r="K697" s="53" t="n">
        <f aca="false">G697*I697*J697</f>
        <v>5</v>
      </c>
      <c r="L697" s="53" t="n">
        <f aca="false">F697*I697*J697</f>
        <v>0</v>
      </c>
      <c r="M697" s="54" t="n">
        <f aca="false">H697*I697*J697</f>
        <v>445.21</v>
      </c>
      <c r="N697" s="54" t="n">
        <f aca="false">E697*I697*J697</f>
        <v>-0</v>
      </c>
      <c r="O697" s="53" t="n">
        <f aca="false">G697*J697</f>
        <v>5</v>
      </c>
      <c r="P697" s="53" t="n">
        <f aca="false">F697*J697</f>
        <v>0</v>
      </c>
    </row>
    <row r="698" customFormat="false" ht="15" hidden="false" customHeight="false" outlineLevel="0" collapsed="false">
      <c r="A698" s="53" t="s">
        <v>89</v>
      </c>
      <c r="B698" s="53" t="s">
        <v>126</v>
      </c>
      <c r="C698" s="53" t="s">
        <v>165</v>
      </c>
      <c r="D698" s="53" t="s">
        <v>42</v>
      </c>
      <c r="E698" s="54" t="n">
        <v>777.91</v>
      </c>
      <c r="F698" s="53" t="n">
        <v>7</v>
      </c>
      <c r="G698" s="53" t="n">
        <v>61</v>
      </c>
      <c r="H698" s="54" t="n">
        <v>7597.24</v>
      </c>
      <c r="I698" s="53" t="n">
        <f aca="false">IF(B698&gt;=Settings!$B$13,1,0)</f>
        <v>1</v>
      </c>
      <c r="J698" s="53" t="n">
        <v>1</v>
      </c>
      <c r="K698" s="53" t="n">
        <f aca="false">G698*I698*J698</f>
        <v>61</v>
      </c>
      <c r="L698" s="53" t="n">
        <f aca="false">F698*I698*J698</f>
        <v>7</v>
      </c>
      <c r="M698" s="54" t="n">
        <f aca="false">H698*I698*J698</f>
        <v>7597.24</v>
      </c>
      <c r="N698" s="54" t="n">
        <f aca="false">E698*I698*J698</f>
        <v>777.91</v>
      </c>
      <c r="O698" s="53" t="n">
        <f aca="false">G698*J698</f>
        <v>61</v>
      </c>
      <c r="P698" s="53" t="n">
        <f aca="false">F698*J698</f>
        <v>7</v>
      </c>
    </row>
    <row r="699" customFormat="false" ht="15" hidden="false" customHeight="false" outlineLevel="0" collapsed="false">
      <c r="A699" s="53" t="s">
        <v>89</v>
      </c>
      <c r="B699" s="53" t="s">
        <v>126</v>
      </c>
      <c r="C699" s="53" t="s">
        <v>357</v>
      </c>
      <c r="D699" s="53" t="s">
        <v>54</v>
      </c>
      <c r="E699" s="54" t="n">
        <v>0</v>
      </c>
      <c r="F699" s="53" t="n">
        <v>0</v>
      </c>
      <c r="G699" s="53" t="n">
        <v>4</v>
      </c>
      <c r="H699" s="54" t="n">
        <v>336.18</v>
      </c>
      <c r="I699" s="53" t="n">
        <f aca="false">IF(B699&gt;=Settings!$B$13,1,0)</f>
        <v>1</v>
      </c>
      <c r="J699" s="53" t="n">
        <v>1</v>
      </c>
      <c r="K699" s="53" t="n">
        <f aca="false">G699*I699*J699</f>
        <v>4</v>
      </c>
      <c r="L699" s="53" t="n">
        <f aca="false">F699*I699*J699</f>
        <v>0</v>
      </c>
      <c r="M699" s="54" t="n">
        <f aca="false">H699*I699*J699</f>
        <v>336.18</v>
      </c>
      <c r="N699" s="54" t="n">
        <f aca="false">E699*I699*J699</f>
        <v>-0</v>
      </c>
      <c r="O699" s="53" t="n">
        <f aca="false">G699*J699</f>
        <v>4</v>
      </c>
      <c r="P699" s="53" t="n">
        <f aca="false">F699*J699</f>
        <v>0</v>
      </c>
    </row>
    <row r="700" customFormat="false" ht="15" hidden="false" customHeight="false" outlineLevel="0" collapsed="false">
      <c r="A700" s="53" t="s">
        <v>97</v>
      </c>
      <c r="B700" s="53" t="s">
        <v>126</v>
      </c>
      <c r="C700" s="53" t="s">
        <v>390</v>
      </c>
      <c r="D700" s="53" t="s">
        <v>54</v>
      </c>
      <c r="E700" s="54" t="n">
        <v>0</v>
      </c>
      <c r="F700" s="53" t="n">
        <v>0</v>
      </c>
      <c r="G700" s="53" t="n">
        <v>5</v>
      </c>
      <c r="H700" s="54" t="n">
        <v>391.58</v>
      </c>
      <c r="I700" s="53" t="n">
        <f aca="false">IF(B700&gt;=Settings!$B$13,1,0)</f>
        <v>1</v>
      </c>
      <c r="J700" s="53" t="n">
        <v>1</v>
      </c>
      <c r="K700" s="53" t="n">
        <f aca="false">G700*I700*J700</f>
        <v>5</v>
      </c>
      <c r="L700" s="53" t="n">
        <f aca="false">F700*I700*J700</f>
        <v>0</v>
      </c>
      <c r="M700" s="54" t="n">
        <f aca="false">H700*I700*J700</f>
        <v>391.58</v>
      </c>
      <c r="N700" s="54" t="n">
        <f aca="false">E700*I700*J700</f>
        <v>-0</v>
      </c>
      <c r="O700" s="53" t="n">
        <f aca="false">G700*J700</f>
        <v>5</v>
      </c>
      <c r="P700" s="53" t="n">
        <f aca="false">F700*J700</f>
        <v>0</v>
      </c>
    </row>
    <row r="701" customFormat="false" ht="15" hidden="false" customHeight="false" outlineLevel="0" collapsed="false">
      <c r="A701" s="53" t="s">
        <v>97</v>
      </c>
      <c r="B701" s="53" t="s">
        <v>126</v>
      </c>
      <c r="C701" s="53" t="s">
        <v>369</v>
      </c>
      <c r="D701" s="53" t="s">
        <v>54</v>
      </c>
      <c r="E701" s="54" t="n">
        <v>49.95</v>
      </c>
      <c r="F701" s="53" t="n">
        <v>1</v>
      </c>
      <c r="G701" s="53" t="n">
        <v>9</v>
      </c>
      <c r="H701" s="54" t="n">
        <v>536.85</v>
      </c>
      <c r="I701" s="53" t="n">
        <f aca="false">IF(B701&gt;=Settings!$B$13,1,0)</f>
        <v>1</v>
      </c>
      <c r="J701" s="53" t="n">
        <v>1</v>
      </c>
      <c r="K701" s="53" t="n">
        <f aca="false">G701*I701*J701</f>
        <v>9</v>
      </c>
      <c r="L701" s="53" t="n">
        <f aca="false">F701*I701*J701</f>
        <v>1</v>
      </c>
      <c r="M701" s="54" t="n">
        <f aca="false">H701*I701*J701</f>
        <v>536.85</v>
      </c>
      <c r="N701" s="54" t="n">
        <f aca="false">E701*I701*J701</f>
        <v>49.95</v>
      </c>
      <c r="O701" s="53" t="n">
        <f aca="false">G701*J701</f>
        <v>9</v>
      </c>
      <c r="P701" s="53" t="n">
        <f aca="false">F701*J701</f>
        <v>1</v>
      </c>
    </row>
    <row r="702" customFormat="false" ht="15" hidden="false" customHeight="false" outlineLevel="0" collapsed="false">
      <c r="A702" s="53" t="s">
        <v>93</v>
      </c>
      <c r="B702" s="53" t="s">
        <v>126</v>
      </c>
      <c r="C702" s="53" t="s">
        <v>322</v>
      </c>
      <c r="D702" s="53" t="s">
        <v>54</v>
      </c>
      <c r="E702" s="54" t="n">
        <v>0</v>
      </c>
      <c r="F702" s="53" t="n">
        <v>0</v>
      </c>
      <c r="G702" s="53" t="n">
        <v>2</v>
      </c>
      <c r="H702" s="54" t="n">
        <v>163.54</v>
      </c>
      <c r="I702" s="53" t="n">
        <f aca="false">IF(B702&gt;=Settings!$B$13,1,0)</f>
        <v>1</v>
      </c>
      <c r="J702" s="53" t="n">
        <v>1</v>
      </c>
      <c r="K702" s="53" t="n">
        <f aca="false">G702*I702*J702</f>
        <v>2</v>
      </c>
      <c r="L702" s="53" t="n">
        <f aca="false">F702*I702*J702</f>
        <v>0</v>
      </c>
      <c r="M702" s="54" t="n">
        <f aca="false">H702*I702*J702</f>
        <v>163.54</v>
      </c>
      <c r="N702" s="54" t="n">
        <f aca="false">E702*I702*J702</f>
        <v>-0</v>
      </c>
      <c r="O702" s="53" t="n">
        <f aca="false">G702*J702</f>
        <v>2</v>
      </c>
      <c r="P702" s="53" t="n">
        <f aca="false">F702*J702</f>
        <v>0</v>
      </c>
    </row>
    <row r="703" customFormat="false" ht="15" hidden="false" customHeight="false" outlineLevel="0" collapsed="false">
      <c r="A703" s="53" t="s">
        <v>89</v>
      </c>
      <c r="B703" s="53" t="s">
        <v>126</v>
      </c>
      <c r="C703" s="53" t="s">
        <v>162</v>
      </c>
      <c r="D703" s="53" t="s">
        <v>42</v>
      </c>
      <c r="E703" s="54" t="n">
        <v>469.39</v>
      </c>
      <c r="F703" s="53" t="n">
        <v>4</v>
      </c>
      <c r="G703" s="53" t="n">
        <v>29</v>
      </c>
      <c r="H703" s="54" t="n">
        <v>3575.88</v>
      </c>
      <c r="I703" s="53" t="n">
        <f aca="false">IF(B703&gt;=Settings!$B$13,1,0)</f>
        <v>1</v>
      </c>
      <c r="J703" s="53" t="n">
        <v>1</v>
      </c>
      <c r="K703" s="53" t="n">
        <f aca="false">G703*I703*J703</f>
        <v>29</v>
      </c>
      <c r="L703" s="53" t="n">
        <f aca="false">F703*I703*J703</f>
        <v>4</v>
      </c>
      <c r="M703" s="54" t="n">
        <f aca="false">H703*I703*J703</f>
        <v>3575.88</v>
      </c>
      <c r="N703" s="54" t="n">
        <f aca="false">E703*I703*J703</f>
        <v>469.39</v>
      </c>
      <c r="O703" s="53" t="n">
        <f aca="false">G703*J703</f>
        <v>29</v>
      </c>
      <c r="P703" s="53" t="n">
        <f aca="false">F703*J703</f>
        <v>4</v>
      </c>
    </row>
  </sheetData>
  <autoFilter ref="A1:P70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A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32" min="5" style="0" width="11"/>
  </cols>
  <sheetData>
    <row r="1" customFormat="false" ht="60" hidden="false" customHeight="true" outlineLevel="0" collapsed="false">
      <c r="A1" s="18" t="s">
        <v>16</v>
      </c>
      <c r="B1" s="18" t="s">
        <v>394</v>
      </c>
      <c r="C1" s="18" t="s">
        <v>18</v>
      </c>
      <c r="D1" s="18" t="s">
        <v>395</v>
      </c>
      <c r="E1" s="18" t="s">
        <v>19</v>
      </c>
      <c r="F1" s="18" t="s">
        <v>76</v>
      </c>
      <c r="G1" s="18" t="s">
        <v>396</v>
      </c>
      <c r="H1" s="18" t="s">
        <v>22</v>
      </c>
      <c r="I1" s="18" t="s">
        <v>34</v>
      </c>
      <c r="J1" s="18" t="s">
        <v>20</v>
      </c>
      <c r="K1" s="18" t="s">
        <v>397</v>
      </c>
      <c r="L1" s="18" t="s">
        <v>398</v>
      </c>
      <c r="M1" s="18" t="s">
        <v>399</v>
      </c>
      <c r="N1" s="18" t="s">
        <v>400</v>
      </c>
      <c r="O1" s="18" t="s">
        <v>23</v>
      </c>
      <c r="P1" s="18" t="s">
        <v>401</v>
      </c>
      <c r="Q1" s="18" t="s">
        <v>33</v>
      </c>
      <c r="R1" s="18" t="s">
        <v>402</v>
      </c>
      <c r="S1" s="18" t="s">
        <v>403</v>
      </c>
      <c r="T1" s="18" t="s">
        <v>404</v>
      </c>
      <c r="U1" s="18" t="s">
        <v>405</v>
      </c>
      <c r="V1" s="18" t="s">
        <v>262</v>
      </c>
      <c r="W1" s="18" t="s">
        <v>406</v>
      </c>
      <c r="X1" s="18" t="s">
        <v>24</v>
      </c>
      <c r="Y1" s="18" t="s">
        <v>36</v>
      </c>
      <c r="Z1" s="18" t="s">
        <v>407</v>
      </c>
      <c r="AA1" s="18" t="s">
        <v>408</v>
      </c>
      <c r="AB1" s="18" t="s">
        <v>409</v>
      </c>
      <c r="AC1" s="18" t="s">
        <v>410</v>
      </c>
      <c r="AD1" s="18" t="s">
        <v>411</v>
      </c>
      <c r="AE1" s="18" t="s">
        <v>412</v>
      </c>
      <c r="AF1" s="18" t="s">
        <v>413</v>
      </c>
    </row>
    <row r="2" customFormat="false" ht="15" hidden="false" customHeight="false" outlineLevel="0" collapsed="false">
      <c r="A2" s="53" t="s">
        <v>165</v>
      </c>
      <c r="B2" s="53" t="s">
        <v>414</v>
      </c>
      <c r="C2" s="53" t="s">
        <v>42</v>
      </c>
      <c r="D2" s="53" t="s">
        <v>89</v>
      </c>
      <c r="E2" s="55" t="n">
        <f aca="false">SUMIFS(Detail!$K$2:$K$703,Detail!$C$2:$C$703,$A2)</f>
        <v>1192</v>
      </c>
      <c r="F2" s="55" t="n">
        <f aca="false">SUMIFS(Detail!$F$2:$F$703,Detail!$C$2:$C$703,$A2)</f>
        <v>75</v>
      </c>
      <c r="G2" s="56" t="n">
        <f aca="false">SUMIFS(Detail!$M$2:$M$703,Detail!$C$2:$C$703,$A2)</f>
        <v>149057.23</v>
      </c>
      <c r="H2" s="56" t="n">
        <f aca="false">SUMIFS(Detail!$E$2:$E$703,Detail!$C$2:$C$703,$A2)</f>
        <v>8683.47</v>
      </c>
      <c r="I2" s="56" t="n">
        <f aca="false">SUMIFS(Detail!$H$2:$H$703,Detail!$C$2:$C$703,$A2)</f>
        <v>222732.228</v>
      </c>
      <c r="J2" s="55" t="n">
        <f aca="false">SUMIFS(Detail!$L$2:$L$703,Detail!$C$2:$C$703,$A2)</f>
        <v>68</v>
      </c>
      <c r="K2" s="56" t="n">
        <f aca="false">SUMIFS(Detail!$N$2:$N$703,Detail!$C$2:$C$703,$A2)</f>
        <v>7665.57</v>
      </c>
      <c r="L2" s="31" t="n">
        <f aca="false">IF(E2&gt;0,J2/E2,0)</f>
        <v>0.0570469798657718</v>
      </c>
      <c r="M2" s="31" t="n">
        <f aca="false">IF(G2&gt;0,K2/G2,0)</f>
        <v>0.0514270257135464</v>
      </c>
      <c r="N2" s="57" t="n">
        <f aca="false">H2/Settings!$B$17</f>
        <v>0.00524836904532563</v>
      </c>
      <c r="O2" s="58" t="n">
        <f aca="false">H2/Settings!$B$15</f>
        <v>0.000674116775705099</v>
      </c>
      <c r="P2" s="59" t="n">
        <f aca="false">E2*Settings!$B$3</f>
        <v>79.2602597402597</v>
      </c>
      <c r="Q2" s="59" t="n">
        <f aca="false">IF(E2&gt;0,(J2-P2)/SQRT(E2*Settings!$B$3*(1-Settings!$B$3)),0)</f>
        <v>-1.30906735056015</v>
      </c>
      <c r="R2" s="31" t="n">
        <f aca="false">IF(E2&gt;=Settings!$B$4,(J2+Settings!$B$7*Settings!$B$3)/(E2+Settings!$B$7),Settings!$B$3)</f>
        <v>0.0572788913214445</v>
      </c>
      <c r="S2" s="60" t="n">
        <f aca="false">PERCENTRANK($H$2:$H$95,H2,6)</f>
        <v>1</v>
      </c>
      <c r="T2" s="60" t="n">
        <f aca="false">PERCENTRANK($R$2:$R$95,R2,6)</f>
        <v>0.0860215</v>
      </c>
      <c r="U2" s="60" t="n">
        <f aca="false">PERCENTRANK($F$2:$F$95,F2,6)</f>
        <v>1</v>
      </c>
      <c r="V2" s="61" t="n">
        <f aca="false">IF(F2&gt;0,ROUND((Settings!$B$8*U2+Settings!$B$9*S2+Settings!$B$10*T2)/SUM(Settings!$B$8:$B$10),10),0)</f>
        <v>0.6953405</v>
      </c>
      <c r="W2" s="53" t="n">
        <f aca="false">IF(V2&gt;0,RANK(V2,$V$2:$V$95)+COUNTIF($V$2:V2,V2)-1,"")</f>
        <v>21</v>
      </c>
      <c r="X2" s="53" t="str">
        <f aca="false">IF(W2="","",IF(W2&lt;=Settings!$B$11,"1 - Fix first",IF(W2&lt;=Settings!$B$12,"2 - Review","3 - Monitor")))</f>
        <v>2 - Review</v>
      </c>
      <c r="Y2" s="53" t="str">
        <f aca="false">IF(AND(E2&gt;=Settings!$B$4,J2&gt;=Settings!$B$5,Q2&gt;=Settings!$B$6),"HIGH RATE","")</f>
        <v/>
      </c>
      <c r="Z2" s="53" t="n">
        <f aca="false">IF(F2&gt;0,RANK(F2,$F$2:$F$95)+COUNTIF($F$2:F2,F2)-1,"")</f>
        <v>1</v>
      </c>
      <c r="AA2" s="53" t="n">
        <f aca="false">IF(H2&gt;0,RANK(H2,$H$2:$H$95)+COUNTIF($H$2:H2,H2)-1,"")</f>
        <v>1</v>
      </c>
      <c r="AB2" s="53" t="n">
        <f aca="false">IF(AD2="","",RANK(AD2,$AD$2:$AD$95)+COUNTIF($AD$2:AD2,AD2)-1)</f>
        <v>24</v>
      </c>
      <c r="AC2" s="53" t="n">
        <f aca="false">IF(AE2="","",RANK(AE2,$AE$2:$AE$95)+COUNTIF($AE$2:AE2,AE2)-1)</f>
        <v>27</v>
      </c>
      <c r="AD2" s="53" t="n">
        <f aca="false">IF(AND(J2&gt;0,E2&gt;=Settings!$B$4),ROUND(L2,10),"")</f>
        <v>0.0570469799</v>
      </c>
      <c r="AE2" s="53" t="n">
        <f aca="false">IF(AND(J2&gt;=Settings!$B$5,E2&gt;=Settings!$B$4),ROUND(Q2,10),"")</f>
        <v>-1.3090673506</v>
      </c>
      <c r="AF2" s="62" t="n">
        <f aca="false">L2/Settings!$B$14</f>
        <v>0.761492552382929</v>
      </c>
    </row>
    <row r="3" customFormat="false" ht="15" hidden="false" customHeight="false" outlineLevel="0" collapsed="false">
      <c r="A3" s="53" t="s">
        <v>158</v>
      </c>
      <c r="B3" s="53" t="s">
        <v>415</v>
      </c>
      <c r="C3" s="53" t="s">
        <v>42</v>
      </c>
      <c r="D3" s="53" t="s">
        <v>89</v>
      </c>
      <c r="E3" s="55" t="n">
        <f aca="false">SUMIFS(Detail!$K$2:$K$703,Detail!$C$2:$C$703,$A3)</f>
        <v>849</v>
      </c>
      <c r="F3" s="55" t="n">
        <f aca="false">SUMIFS(Detail!$F$2:$F$703,Detail!$C$2:$C$703,$A3)</f>
        <v>62</v>
      </c>
      <c r="G3" s="56" t="n">
        <f aca="false">SUMIFS(Detail!$M$2:$M$703,Detail!$C$2:$C$703,$A3)</f>
        <v>90349.5</v>
      </c>
      <c r="H3" s="56" t="n">
        <f aca="false">SUMIFS(Detail!$E$2:$E$703,Detail!$C$2:$C$703,$A3)</f>
        <v>6122.41</v>
      </c>
      <c r="I3" s="56" t="n">
        <f aca="false">SUMIFS(Detail!$H$2:$H$703,Detail!$C$2:$C$703,$A3)</f>
        <v>162055.745</v>
      </c>
      <c r="J3" s="55" t="n">
        <f aca="false">SUMIFS(Detail!$L$2:$L$703,Detail!$C$2:$C$703,$A3)</f>
        <v>59</v>
      </c>
      <c r="K3" s="56" t="n">
        <f aca="false">SUMIFS(Detail!$N$2:$N$703,Detail!$C$2:$C$703,$A3)</f>
        <v>5808.46</v>
      </c>
      <c r="L3" s="31" t="n">
        <f aca="false">IF(E3&gt;0,J3/E3,0)</f>
        <v>0.0694935217903416</v>
      </c>
      <c r="M3" s="31" t="n">
        <f aca="false">IF(G3&gt;0,K3/G3,0)</f>
        <v>0.0642887896446577</v>
      </c>
      <c r="N3" s="57" t="n">
        <f aca="false">H3/Settings!$B$17</f>
        <v>0.00370044085219297</v>
      </c>
      <c r="O3" s="58" t="n">
        <f aca="false">H3/Settings!$B$15</f>
        <v>0.000475296084254872</v>
      </c>
      <c r="P3" s="59" t="n">
        <f aca="false">E3*Settings!$B$3</f>
        <v>56.452987012987</v>
      </c>
      <c r="Q3" s="59" t="n">
        <f aca="false">IF(E3&gt;0,(J3-P3)/SQRT(E3*Settings!$B$3*(1-Settings!$B$3)),0)</f>
        <v>0.350856094467529</v>
      </c>
      <c r="R3" s="31" t="n">
        <f aca="false">IF(E3&gt;=Settings!$B$4,(J3+Settings!$B$7*Settings!$B$3)/(E3+Settings!$B$7),Settings!$B$3)</f>
        <v>0.069391132189767</v>
      </c>
      <c r="S3" s="60" t="n">
        <f aca="false">PERCENTRANK($H$2:$H$95,H3,6)</f>
        <v>0.989247</v>
      </c>
      <c r="T3" s="60" t="n">
        <f aca="false">PERCENTRANK($R$2:$R$95,R3,6)</f>
        <v>0.827957</v>
      </c>
      <c r="U3" s="60" t="n">
        <f aca="false">PERCENTRANK($F$2:$F$95,F3,6)</f>
        <v>0.978495</v>
      </c>
      <c r="V3" s="61" t="n">
        <f aca="false">IF(F3&gt;0,ROUND((Settings!$B$8*U3+Settings!$B$9*S3+Settings!$B$10*T3)/SUM(Settings!$B$8:$B$10),10),0)</f>
        <v>0.9318996667</v>
      </c>
      <c r="W3" s="53" t="n">
        <f aca="false">IF(V3&gt;0,RANK(V3,$V$2:$V$95)+COUNTIF($V$2:V3,V3)-1,"")</f>
        <v>2</v>
      </c>
      <c r="X3" s="53" t="str">
        <f aca="false">IF(W3="","",IF(W3&lt;=Settings!$B$11,"1 - Fix first",IF(W3&lt;=Settings!$B$12,"2 - Review","3 - Monitor")))</f>
        <v>1 - Fix first</v>
      </c>
      <c r="Y3" s="53" t="str">
        <f aca="false">IF(AND(E3&gt;=Settings!$B$4,J3&gt;=Settings!$B$5,Q3&gt;=Settings!$B$6),"HIGH RATE","")</f>
        <v/>
      </c>
      <c r="Z3" s="53" t="n">
        <f aca="false">IF(F3&gt;0,RANK(F3,$F$2:$F$95)+COUNTIF($F$2:F3,F3)-1,"")</f>
        <v>2</v>
      </c>
      <c r="AA3" s="53" t="n">
        <f aca="false">IF(H3&gt;0,RANK(H3,$H$2:$H$95)+COUNTIF($H$2:H3,H3)-1,"")</f>
        <v>2</v>
      </c>
      <c r="AB3" s="53" t="n">
        <f aca="false">IF(AD3="","",RANK(AD3,$AD$2:$AD$95)+COUNTIF($AD$2:AD3,AD3)-1)</f>
        <v>18</v>
      </c>
      <c r="AC3" s="53" t="n">
        <f aca="false">IF(AE3="","",RANK(AE3,$AE$2:$AE$95)+COUNTIF($AE$2:AE3,AE3)-1)</f>
        <v>13</v>
      </c>
      <c r="AD3" s="53" t="n">
        <f aca="false">IF(AND(J3&gt;0,E3&gt;=Settings!$B$4),ROUND(L3,10),"")</f>
        <v>0.0694935218</v>
      </c>
      <c r="AE3" s="53" t="n">
        <f aca="false">IF(AND(J3&gt;=Settings!$B$5,E3&gt;=Settings!$B$4),ROUND(Q3,10),"")</f>
        <v>0.3508560945</v>
      </c>
      <c r="AF3" s="62" t="n">
        <f aca="false">L3/Settings!$B$14</f>
        <v>0.927635422711609</v>
      </c>
    </row>
    <row r="4" customFormat="false" ht="15" hidden="false" customHeight="false" outlineLevel="0" collapsed="false">
      <c r="A4" s="53" t="s">
        <v>317</v>
      </c>
      <c r="B4" s="53" t="s">
        <v>416</v>
      </c>
      <c r="C4" s="53" t="s">
        <v>46</v>
      </c>
      <c r="D4" s="53" t="s">
        <v>89</v>
      </c>
      <c r="E4" s="55" t="n">
        <f aca="false">SUMIFS(Detail!$K$2:$K$703,Detail!$C$2:$C$703,$A4)</f>
        <v>802</v>
      </c>
      <c r="F4" s="55" t="n">
        <f aca="false">SUMIFS(Detail!$F$2:$F$703,Detail!$C$2:$C$703,$A4)</f>
        <v>62</v>
      </c>
      <c r="G4" s="56" t="n">
        <f aca="false">SUMIFS(Detail!$M$2:$M$703,Detail!$C$2:$C$703,$A4)</f>
        <v>85969.59</v>
      </c>
      <c r="H4" s="56" t="n">
        <f aca="false">SUMIFS(Detail!$E$2:$E$703,Detail!$C$2:$C$703,$A4)</f>
        <v>6090.57</v>
      </c>
      <c r="I4" s="56" t="n">
        <f aca="false">SUMIFS(Detail!$H$2:$H$703,Detail!$C$2:$C$703,$A4)</f>
        <v>139219.176</v>
      </c>
      <c r="J4" s="55" t="n">
        <f aca="false">SUMIFS(Detail!$L$2:$L$703,Detail!$C$2:$C$703,$A4)</f>
        <v>55</v>
      </c>
      <c r="K4" s="56" t="n">
        <f aca="false">SUMIFS(Detail!$N$2:$N$703,Detail!$C$2:$C$703,$A4)</f>
        <v>5344</v>
      </c>
      <c r="L4" s="31" t="n">
        <f aca="false">IF(E4&gt;0,J4/E4,0)</f>
        <v>0.0685785536159601</v>
      </c>
      <c r="M4" s="31" t="n">
        <f aca="false">IF(G4&gt;0,K4/G4,0)</f>
        <v>0.0621615154847197</v>
      </c>
      <c r="N4" s="57" t="n">
        <f aca="false">H4/Settings!$B$17</f>
        <v>0.00368119646367051</v>
      </c>
      <c r="O4" s="58" t="n">
        <f aca="false">H4/Settings!$B$15</f>
        <v>0.000472824275388319</v>
      </c>
      <c r="P4" s="59" t="n">
        <f aca="false">E4*Settings!$B$3</f>
        <v>53.3277922077922</v>
      </c>
      <c r="Q4" s="59" t="n">
        <f aca="false">IF(E4&gt;0,(J4-P4)/SQRT(E4*Settings!$B$3*(1-Settings!$B$3)),0)</f>
        <v>0.237003505222971</v>
      </c>
      <c r="R4" s="31" t="n">
        <f aca="false">IF(E4&gt;=Settings!$B$4,(J4+Settings!$B$7*Settings!$B$3)/(E4+Settings!$B$7),Settings!$B$3)</f>
        <v>0.0685033716283716</v>
      </c>
      <c r="S4" s="60" t="n">
        <f aca="false">PERCENTRANK($H$2:$H$95,H4,6)</f>
        <v>0.978495</v>
      </c>
      <c r="T4" s="60" t="n">
        <f aca="false">PERCENTRANK($R$2:$R$95,R4,6)</f>
        <v>0.806452</v>
      </c>
      <c r="U4" s="60" t="n">
        <f aca="false">PERCENTRANK($F$2:$F$95,F4,6)</f>
        <v>0.978495</v>
      </c>
      <c r="V4" s="61" t="n">
        <f aca="false">IF(F4&gt;0,ROUND((Settings!$B$8*U4+Settings!$B$9*S4+Settings!$B$10*T4)/SUM(Settings!$B$8:$B$10),10),0)</f>
        <v>0.9211473333</v>
      </c>
      <c r="W4" s="53" t="n">
        <f aca="false">IF(V4&gt;0,RANK(V4,$V$2:$V$95)+COUNTIF($V$2:V4,V4)-1,"")</f>
        <v>3</v>
      </c>
      <c r="X4" s="53" t="str">
        <f aca="false">IF(W4="","",IF(W4&lt;=Settings!$B$11,"1 - Fix first",IF(W4&lt;=Settings!$B$12,"2 - Review","3 - Monitor")))</f>
        <v>1 - Fix first</v>
      </c>
      <c r="Y4" s="53" t="str">
        <f aca="false">IF(AND(E4&gt;=Settings!$B$4,J4&gt;=Settings!$B$5,Q4&gt;=Settings!$B$6),"HIGH RATE","")</f>
        <v/>
      </c>
      <c r="Z4" s="53" t="n">
        <f aca="false">IF(F4&gt;0,RANK(F4,$F$2:$F$95)+COUNTIF($F$2:F4,F4)-1,"")</f>
        <v>3</v>
      </c>
      <c r="AA4" s="53" t="n">
        <f aca="false">IF(H4&gt;0,RANK(H4,$H$2:$H$95)+COUNTIF($H$2:H4,H4)-1,"")</f>
        <v>3</v>
      </c>
      <c r="AB4" s="53" t="n">
        <f aca="false">IF(AD4="","",RANK(AD4,$AD$2:$AD$95)+COUNTIF($AD$2:AD4,AD4)-1)</f>
        <v>20</v>
      </c>
      <c r="AC4" s="53" t="n">
        <f aca="false">IF(AE4="","",RANK(AE4,$AE$2:$AE$95)+COUNTIF($AE$2:AE4,AE4)-1)</f>
        <v>16</v>
      </c>
      <c r="AD4" s="53" t="n">
        <f aca="false">IF(AND(J4&gt;0,E4&gt;=Settings!$B$4),ROUND(L4,10),"")</f>
        <v>0.0685785536</v>
      </c>
      <c r="AE4" s="53" t="n">
        <f aca="false">IF(AND(J4&gt;=Settings!$B$5,E4&gt;=Settings!$B$4),ROUND(Q4,10),"")</f>
        <v>0.2370035052</v>
      </c>
      <c r="AF4" s="62" t="n">
        <f aca="false">L4/Settings!$B$14</f>
        <v>0.915421954932977</v>
      </c>
    </row>
    <row r="5" customFormat="false" ht="15" hidden="false" customHeight="false" outlineLevel="0" collapsed="false">
      <c r="A5" s="53" t="s">
        <v>162</v>
      </c>
      <c r="B5" s="53" t="s">
        <v>417</v>
      </c>
      <c r="C5" s="53" t="s">
        <v>42</v>
      </c>
      <c r="D5" s="53" t="s">
        <v>89</v>
      </c>
      <c r="E5" s="55" t="n">
        <f aca="false">SUMIFS(Detail!$K$2:$K$703,Detail!$C$2:$C$703,$A5)</f>
        <v>549</v>
      </c>
      <c r="F5" s="55" t="n">
        <f aca="false">SUMIFS(Detail!$F$2:$F$703,Detail!$C$2:$C$703,$A5)</f>
        <v>39</v>
      </c>
      <c r="G5" s="56" t="n">
        <f aca="false">SUMIFS(Detail!$M$2:$M$703,Detail!$C$2:$C$703,$A5)</f>
        <v>66336.47</v>
      </c>
      <c r="H5" s="56" t="n">
        <f aca="false">SUMIFS(Detail!$E$2:$E$703,Detail!$C$2:$C$703,$A5)</f>
        <v>4565.17</v>
      </c>
      <c r="I5" s="56" t="n">
        <f aca="false">SUMIFS(Detail!$H$2:$H$703,Detail!$C$2:$C$703,$A5)</f>
        <v>127665.153</v>
      </c>
      <c r="J5" s="55" t="n">
        <f aca="false">SUMIFS(Detail!$L$2:$L$703,Detail!$C$2:$C$703,$A5)</f>
        <v>29</v>
      </c>
      <c r="K5" s="56" t="n">
        <f aca="false">SUMIFS(Detail!$N$2:$N$703,Detail!$C$2:$C$703,$A5)</f>
        <v>3199.01</v>
      </c>
      <c r="L5" s="31" t="n">
        <f aca="false">IF(E5&gt;0,J5/E5,0)</f>
        <v>0.0528233151183971</v>
      </c>
      <c r="M5" s="31" t="n">
        <f aca="false">IF(G5&gt;0,K5/G5,0)</f>
        <v>0.0482240010660803</v>
      </c>
      <c r="N5" s="57" t="n">
        <f aca="false">H5/Settings!$B$17</f>
        <v>0.002759230689419</v>
      </c>
      <c r="O5" s="58" t="n">
        <f aca="false">H5/Settings!$B$15</f>
        <v>0.000354404135782774</v>
      </c>
      <c r="P5" s="59" t="n">
        <f aca="false">E5*Settings!$B$3</f>
        <v>36.5049350649351</v>
      </c>
      <c r="Q5" s="59" t="n">
        <f aca="false">IF(E5&gt;0,(J5-P5)/SQRT(E5*Settings!$B$3*(1-Settings!$B$3)),0)</f>
        <v>-1.28561957724254</v>
      </c>
      <c r="R5" s="31" t="n">
        <f aca="false">IF(E5&gt;=Settings!$B$4,(J5+Settings!$B$7*Settings!$B$3)/(E5+Settings!$B$7),Settings!$B$3)</f>
        <v>0.0535316151896463</v>
      </c>
      <c r="S5" s="60" t="n">
        <f aca="false">PERCENTRANK($H$2:$H$95,H5,6)</f>
        <v>0.967742</v>
      </c>
      <c r="T5" s="60" t="n">
        <f aca="false">PERCENTRANK($R$2:$R$95,R5,6)</f>
        <v>0.0752688</v>
      </c>
      <c r="U5" s="60" t="n">
        <f aca="false">PERCENTRANK($F$2:$F$95,F5,6)</f>
        <v>0.956989</v>
      </c>
      <c r="V5" s="61" t="n">
        <f aca="false">IF(F5&gt;0,ROUND((Settings!$B$8*U5+Settings!$B$9*S5+Settings!$B$10*T5)/SUM(Settings!$B$8:$B$10),10),0)</f>
        <v>0.6666666</v>
      </c>
      <c r="W5" s="53" t="n">
        <f aca="false">IF(V5&gt;0,RANK(V5,$V$2:$V$95)+COUNTIF($V$2:V5,V5)-1,"")</f>
        <v>22</v>
      </c>
      <c r="X5" s="53" t="str">
        <f aca="false">IF(W5="","",IF(W5&lt;=Settings!$B$11,"1 - Fix first",IF(W5&lt;=Settings!$B$12,"2 - Review","3 - Monitor")))</f>
        <v>2 - Review</v>
      </c>
      <c r="Y5" s="53" t="str">
        <f aca="false">IF(AND(E5&gt;=Settings!$B$4,J5&gt;=Settings!$B$5,Q5&gt;=Settings!$B$6),"HIGH RATE","")</f>
        <v/>
      </c>
      <c r="Z5" s="53" t="n">
        <f aca="false">IF(F5&gt;0,RANK(F5,$F$2:$F$95)+COUNTIF($F$2:F5,F5)-1,"")</f>
        <v>5</v>
      </c>
      <c r="AA5" s="53" t="n">
        <f aca="false">IF(H5&gt;0,RANK(H5,$H$2:$H$95)+COUNTIF($H$2:H5,H5)-1,"")</f>
        <v>4</v>
      </c>
      <c r="AB5" s="53" t="n">
        <f aca="false">IF(AD5="","",RANK(AD5,$AD$2:$AD$95)+COUNTIF($AD$2:AD5,AD5)-1)</f>
        <v>25</v>
      </c>
      <c r="AC5" s="53" t="n">
        <f aca="false">IF(AE5="","",RANK(AE5,$AE$2:$AE$95)+COUNTIF($AE$2:AE5,AE5)-1)</f>
        <v>26</v>
      </c>
      <c r="AD5" s="53" t="n">
        <f aca="false">IF(AND(J5&gt;0,E5&gt;=Settings!$B$4),ROUND(L5,10),"")</f>
        <v>0.0528233151</v>
      </c>
      <c r="AE5" s="53" t="n">
        <f aca="false">IF(AND(J5&gt;=Settings!$B$5,E5&gt;=Settings!$B$4),ROUND(Q5,10),"")</f>
        <v>-1.2856195772</v>
      </c>
      <c r="AF5" s="62" t="n">
        <f aca="false">L5/Settings!$B$14</f>
        <v>0.705112893784772</v>
      </c>
    </row>
    <row r="6" customFormat="false" ht="15" hidden="false" customHeight="false" outlineLevel="0" collapsed="false">
      <c r="A6" s="53" t="s">
        <v>154</v>
      </c>
      <c r="B6" s="53" t="s">
        <v>418</v>
      </c>
      <c r="C6" s="53" t="s">
        <v>42</v>
      </c>
      <c r="D6" s="53" t="s">
        <v>89</v>
      </c>
      <c r="E6" s="55" t="n">
        <f aca="false">SUMIFS(Detail!$K$2:$K$703,Detail!$C$2:$C$703,$A6)</f>
        <v>997</v>
      </c>
      <c r="F6" s="55" t="n">
        <f aca="false">SUMIFS(Detail!$F$2:$F$703,Detail!$C$2:$C$703,$A6)</f>
        <v>60</v>
      </c>
      <c r="G6" s="56" t="n">
        <f aca="false">SUMIFS(Detail!$M$2:$M$703,Detail!$C$2:$C$703,$A6)</f>
        <v>74888.84</v>
      </c>
      <c r="H6" s="56" t="n">
        <f aca="false">SUMIFS(Detail!$E$2:$E$703,Detail!$C$2:$C$703,$A6)</f>
        <v>4255.73</v>
      </c>
      <c r="I6" s="56" t="n">
        <f aca="false">SUMIFS(Detail!$H$2:$H$703,Detail!$C$2:$C$703,$A6)</f>
        <v>158194.416</v>
      </c>
      <c r="J6" s="55" t="n">
        <f aca="false">SUMIFS(Detail!$L$2:$L$703,Detail!$C$2:$C$703,$A6)</f>
        <v>48</v>
      </c>
      <c r="K6" s="56" t="n">
        <f aca="false">SUMIFS(Detail!$N$2:$N$703,Detail!$C$2:$C$703,$A6)</f>
        <v>3299.02</v>
      </c>
      <c r="L6" s="31" t="n">
        <f aca="false">IF(E6&gt;0,J6/E6,0)</f>
        <v>0.0481444332998997</v>
      </c>
      <c r="M6" s="31" t="n">
        <f aca="false">IF(G6&gt;0,K6/G6,0)</f>
        <v>0.0440522246038262</v>
      </c>
      <c r="N6" s="57" t="n">
        <f aca="false">H6/Settings!$B$17</f>
        <v>0.00257220231051223</v>
      </c>
      <c r="O6" s="58" t="n">
        <f aca="false">H6/Settings!$B$15</f>
        <v>0.000330381631521899</v>
      </c>
      <c r="P6" s="59" t="n">
        <f aca="false">E6*Settings!$B$3</f>
        <v>66.294025974026</v>
      </c>
      <c r="Q6" s="59" t="n">
        <f aca="false">IF(E6&gt;0,(J6-P6)/SQRT(E6*Settings!$B$3*(1-Settings!$B$3)),0)</f>
        <v>-2.32548435816223</v>
      </c>
      <c r="R6" s="31" t="n">
        <f aca="false">IF(E6&gt;=Settings!$B$4,(J6+Settings!$B$7*Settings!$B$3)/(E6+Settings!$B$7),Settings!$B$3)</f>
        <v>0.0486804334905601</v>
      </c>
      <c r="S6" s="60" t="n">
        <f aca="false">PERCENTRANK($H$2:$H$95,H6,6)</f>
        <v>0.956989</v>
      </c>
      <c r="T6" s="60" t="n">
        <f aca="false">PERCENTRANK($R$2:$R$95,R6,6)</f>
        <v>0.0322581</v>
      </c>
      <c r="U6" s="60" t="n">
        <f aca="false">PERCENTRANK($F$2:$F$95,F6,6)</f>
        <v>0.967742</v>
      </c>
      <c r="V6" s="61" t="n">
        <f aca="false">IF(F6&gt;0,ROUND((Settings!$B$8*U6+Settings!$B$9*S6+Settings!$B$10*T6)/SUM(Settings!$B$8:$B$10),10),0)</f>
        <v>0.6523297</v>
      </c>
      <c r="W6" s="53" t="n">
        <f aca="false">IF(V6&gt;0,RANK(V6,$V$2:$V$95)+COUNTIF($V$2:V6,V6)-1,"")</f>
        <v>24</v>
      </c>
      <c r="X6" s="53" t="str">
        <f aca="false">IF(W6="","",IF(W6&lt;=Settings!$B$11,"1 - Fix first",IF(W6&lt;=Settings!$B$12,"2 - Review","3 - Monitor")))</f>
        <v>2 - Review</v>
      </c>
      <c r="Y6" s="53" t="str">
        <f aca="false">IF(AND(E6&gt;=Settings!$B$4,J6&gt;=Settings!$B$5,Q6&gt;=Settings!$B$6),"HIGH RATE","")</f>
        <v/>
      </c>
      <c r="Z6" s="53" t="n">
        <f aca="false">IF(F6&gt;0,RANK(F6,$F$2:$F$95)+COUNTIF($F$2:F6,F6)-1,"")</f>
        <v>4</v>
      </c>
      <c r="AA6" s="53" t="n">
        <f aca="false">IF(H6&gt;0,RANK(H6,$H$2:$H$95)+COUNTIF($H$2:H6,H6)-1,"")</f>
        <v>5</v>
      </c>
      <c r="AB6" s="53" t="n">
        <f aca="false">IF(AD6="","",RANK(AD6,$AD$2:$AD$95)+COUNTIF($AD$2:AD6,AD6)-1)</f>
        <v>27</v>
      </c>
      <c r="AC6" s="53" t="n">
        <f aca="false">IF(AE6="","",RANK(AE6,$AE$2:$AE$95)+COUNTIF($AE$2:AE6,AE6)-1)</f>
        <v>29</v>
      </c>
      <c r="AD6" s="53" t="n">
        <f aca="false">IF(AND(J6&gt;0,E6&gt;=Settings!$B$4),ROUND(L6,10),"")</f>
        <v>0.0481444333</v>
      </c>
      <c r="AE6" s="53" t="n">
        <f aca="false">IF(AND(J6&gt;=Settings!$B$5,E6&gt;=Settings!$B$4),ROUND(Q6,10),"")</f>
        <v>-2.3254843582</v>
      </c>
      <c r="AF6" s="62" t="n">
        <f aca="false">L6/Settings!$B$14</f>
        <v>0.642656762598703</v>
      </c>
    </row>
    <row r="7" customFormat="false" ht="15" hidden="false" customHeight="false" outlineLevel="0" collapsed="false">
      <c r="A7" s="53" t="s">
        <v>330</v>
      </c>
      <c r="B7" s="53" t="s">
        <v>419</v>
      </c>
      <c r="C7" s="53" t="s">
        <v>46</v>
      </c>
      <c r="D7" s="53" t="s">
        <v>89</v>
      </c>
      <c r="E7" s="55" t="n">
        <f aca="false">SUMIFS(Detail!$K$2:$K$703,Detail!$C$2:$C$703,$A7)</f>
        <v>353</v>
      </c>
      <c r="F7" s="55" t="n">
        <f aca="false">SUMIFS(Detail!$F$2:$F$703,Detail!$C$2:$C$703,$A7)</f>
        <v>31</v>
      </c>
      <c r="G7" s="56" t="n">
        <f aca="false">SUMIFS(Detail!$M$2:$M$703,Detail!$C$2:$C$703,$A7)</f>
        <v>47173.87</v>
      </c>
      <c r="H7" s="56" t="n">
        <f aca="false">SUMIFS(Detail!$E$2:$E$703,Detail!$C$2:$C$703,$A7)</f>
        <v>4128.81</v>
      </c>
      <c r="I7" s="56" t="n">
        <f aca="false">SUMIFS(Detail!$H$2:$H$703,Detail!$C$2:$C$703,$A7)</f>
        <v>109517.424</v>
      </c>
      <c r="J7" s="55" t="n">
        <f aca="false">SUMIFS(Detail!$L$2:$L$703,Detail!$C$2:$C$703,$A7)</f>
        <v>25</v>
      </c>
      <c r="K7" s="56" t="n">
        <f aca="false">SUMIFS(Detail!$N$2:$N$703,Detail!$C$2:$C$703,$A7)</f>
        <v>3210.49</v>
      </c>
      <c r="L7" s="31" t="n">
        <f aca="false">IF(E7&gt;0,J7/E7,0)</f>
        <v>0.0708215297450425</v>
      </c>
      <c r="M7" s="31" t="n">
        <f aca="false">IF(G7&gt;0,K7/G7,0)</f>
        <v>0.0680565321437482</v>
      </c>
      <c r="N7" s="57" t="n">
        <f aca="false">H7/Settings!$B$17</f>
        <v>0.00249549069646477</v>
      </c>
      <c r="O7" s="58" t="n">
        <f aca="false">H7/Settings!$B$15</f>
        <v>0.000320528554218414</v>
      </c>
      <c r="P7" s="59" t="n">
        <f aca="false">E7*Settings!$B$3</f>
        <v>23.4722077922078</v>
      </c>
      <c r="Q7" s="59" t="n">
        <f aca="false">IF(E7&gt;0,(J7-P7)/SQRT(E7*Settings!$B$3*(1-Settings!$B$3)),0)</f>
        <v>0.326383840540986</v>
      </c>
      <c r="R7" s="31" t="n">
        <f aca="false">IF(E7&gt;=Settings!$B$4,(J7+Settings!$B$7*Settings!$B$3)/(E7+Settings!$B$7),Settings!$B$3)</f>
        <v>0.0704825200908752</v>
      </c>
      <c r="S7" s="60" t="n">
        <f aca="false">PERCENTRANK($H$2:$H$95,H7,6)</f>
        <v>0.946237</v>
      </c>
      <c r="T7" s="60" t="n">
        <f aca="false">PERCENTRANK($R$2:$R$95,R7,6)</f>
        <v>0.860215</v>
      </c>
      <c r="U7" s="60" t="n">
        <f aca="false">PERCENTRANK($F$2:$F$95,F7,6)</f>
        <v>0.924731</v>
      </c>
      <c r="V7" s="61" t="n">
        <f aca="false">IF(F7&gt;0,ROUND((Settings!$B$8*U7+Settings!$B$9*S7+Settings!$B$10*T7)/SUM(Settings!$B$8:$B$10),10),0)</f>
        <v>0.9103943333</v>
      </c>
      <c r="W7" s="53" t="n">
        <f aca="false">IF(V7&gt;0,RANK(V7,$V$2:$V$95)+COUNTIF($V$2:V7,V7)-1,"")</f>
        <v>5</v>
      </c>
      <c r="X7" s="53" t="str">
        <f aca="false">IF(W7="","",IF(W7&lt;=Settings!$B$11,"1 - Fix first",IF(W7&lt;=Settings!$B$12,"2 - Review","3 - Monitor")))</f>
        <v>1 - Fix first</v>
      </c>
      <c r="Y7" s="53" t="str">
        <f aca="false">IF(AND(E7&gt;=Settings!$B$4,J7&gt;=Settings!$B$5,Q7&gt;=Settings!$B$6),"HIGH RATE","")</f>
        <v/>
      </c>
      <c r="Z7" s="53" t="n">
        <f aca="false">IF(F7&gt;0,RANK(F7,$F$2:$F$95)+COUNTIF($F$2:F7,F7)-1,"")</f>
        <v>8</v>
      </c>
      <c r="AA7" s="53" t="n">
        <f aca="false">IF(H7&gt;0,RANK(H7,$H$2:$H$95)+COUNTIF($H$2:H7,H7)-1,"")</f>
        <v>6</v>
      </c>
      <c r="AB7" s="53" t="n">
        <f aca="false">IF(AD7="","",RANK(AD7,$AD$2:$AD$95)+COUNTIF($AD$2:AD7,AD7)-1)</f>
        <v>16</v>
      </c>
      <c r="AC7" s="53" t="n">
        <f aca="false">IF(AE7="","",RANK(AE7,$AE$2:$AE$95)+COUNTIF($AE$2:AE7,AE7)-1)</f>
        <v>14</v>
      </c>
      <c r="AD7" s="53" t="n">
        <f aca="false">IF(AND(J7&gt;0,E7&gt;=Settings!$B$4),ROUND(L7,10),"")</f>
        <v>0.0708215297</v>
      </c>
      <c r="AE7" s="53" t="n">
        <f aca="false">IF(AND(J7&gt;=Settings!$B$5,E7&gt;=Settings!$B$4),ROUND(Q7,10),"")</f>
        <v>0.3263838405</v>
      </c>
      <c r="AF7" s="62" t="n">
        <f aca="false">L7/Settings!$B$14</f>
        <v>0.945362358815668</v>
      </c>
    </row>
    <row r="8" customFormat="false" ht="15" hidden="false" customHeight="false" outlineLevel="0" collapsed="false">
      <c r="A8" s="53" t="s">
        <v>159</v>
      </c>
      <c r="B8" s="53" t="s">
        <v>420</v>
      </c>
      <c r="C8" s="53" t="s">
        <v>50</v>
      </c>
      <c r="D8" s="53" t="s">
        <v>89</v>
      </c>
      <c r="E8" s="55" t="n">
        <f aca="false">SUMIFS(Detail!$K$2:$K$703,Detail!$C$2:$C$703,$A8)</f>
        <v>223</v>
      </c>
      <c r="F8" s="55" t="n">
        <f aca="false">SUMIFS(Detail!$F$2:$F$703,Detail!$C$2:$C$703,$A8)</f>
        <v>28</v>
      </c>
      <c r="G8" s="56" t="n">
        <f aca="false">SUMIFS(Detail!$M$2:$M$703,Detail!$C$2:$C$703,$A8)</f>
        <v>23862.07</v>
      </c>
      <c r="H8" s="56" t="n">
        <f aca="false">SUMIFS(Detail!$E$2:$E$703,Detail!$C$2:$C$703,$A8)</f>
        <v>2889.28</v>
      </c>
      <c r="I8" s="56" t="n">
        <f aca="false">SUMIFS(Detail!$H$2:$H$703,Detail!$C$2:$C$703,$A8)</f>
        <v>34769.848</v>
      </c>
      <c r="J8" s="55" t="n">
        <f aca="false">SUMIFS(Detail!$L$2:$L$703,Detail!$C$2:$C$703,$A8)</f>
        <v>25</v>
      </c>
      <c r="K8" s="56" t="n">
        <f aca="false">SUMIFS(Detail!$N$2:$N$703,Detail!$C$2:$C$703,$A8)</f>
        <v>2561.66</v>
      </c>
      <c r="L8" s="31" t="n">
        <f aca="false">IF(E8&gt;0,J8/E8,0)</f>
        <v>0.112107623318386</v>
      </c>
      <c r="M8" s="31" t="n">
        <f aca="false">IF(G8&gt;0,K8/G8,0)</f>
        <v>0.107352798814185</v>
      </c>
      <c r="N8" s="57" t="n">
        <f aca="false">H8/Settings!$B$17</f>
        <v>0.00174630737657623</v>
      </c>
      <c r="O8" s="58" t="n">
        <f aca="false">H8/Settings!$B$15</f>
        <v>0.000224301128202116</v>
      </c>
      <c r="P8" s="59" t="n">
        <f aca="false">E8*Settings!$B$3</f>
        <v>14.8280519480519</v>
      </c>
      <c r="Q8" s="59" t="n">
        <f aca="false">IF(E8&gt;0,(J8-P8)/SQRT(E8*Settings!$B$3*(1-Settings!$B$3)),0)</f>
        <v>2.73403086134725</v>
      </c>
      <c r="R8" s="31" t="n">
        <f aca="false">IF(E8&gt;=Settings!$B$4,(J8+Settings!$B$7*Settings!$B$3)/(E8+Settings!$B$7),Settings!$B$3)</f>
        <v>0.106698834762076</v>
      </c>
      <c r="S8" s="60" t="n">
        <f aca="false">PERCENTRANK($H$2:$H$95,H8,6)</f>
        <v>0.935484</v>
      </c>
      <c r="T8" s="60" t="n">
        <f aca="false">PERCENTRANK($R$2:$R$95,R8,6)</f>
        <v>0.978495</v>
      </c>
      <c r="U8" s="60" t="n">
        <f aca="false">PERCENTRANK($F$2:$F$95,F8,6)</f>
        <v>0.913978</v>
      </c>
      <c r="V8" s="61" t="n">
        <f aca="false">IF(F8&gt;0,ROUND((Settings!$B$8*U8+Settings!$B$9*S8+Settings!$B$10*T8)/SUM(Settings!$B$8:$B$10),10),0)</f>
        <v>0.9426523333</v>
      </c>
      <c r="W8" s="53" t="n">
        <f aca="false">IF(V8&gt;0,RANK(V8,$V$2:$V$95)+COUNTIF($V$2:V8,V8)-1,"")</f>
        <v>1</v>
      </c>
      <c r="X8" s="53" t="str">
        <f aca="false">IF(W8="","",IF(W8&lt;=Settings!$B$11,"1 - Fix first",IF(W8&lt;=Settings!$B$12,"2 - Review","3 - Monitor")))</f>
        <v>1 - Fix first</v>
      </c>
      <c r="Y8" s="53" t="str">
        <f aca="false">IF(AND(E8&gt;=Settings!$B$4,J8&gt;=Settings!$B$5,Q8&gt;=Settings!$B$6),"HIGH RATE","")</f>
        <v/>
      </c>
      <c r="Z8" s="53" t="n">
        <f aca="false">IF(F8&gt;0,RANK(F8,$F$2:$F$95)+COUNTIF($F$2:F8,F8)-1,"")</f>
        <v>9</v>
      </c>
      <c r="AA8" s="53" t="n">
        <f aca="false">IF(H8&gt;0,RANK(H8,$H$2:$H$95)+COUNTIF($H$2:H8,H8)-1,"")</f>
        <v>7</v>
      </c>
      <c r="AB8" s="53" t="n">
        <f aca="false">IF(AD8="","",RANK(AD8,$AD$2:$AD$95)+COUNTIF($AD$2:AD8,AD8)-1)</f>
        <v>6</v>
      </c>
      <c r="AC8" s="53" t="n">
        <f aca="false">IF(AE8="","",RANK(AE8,$AE$2:$AE$95)+COUNTIF($AE$2:AE8,AE8)-1)</f>
        <v>2</v>
      </c>
      <c r="AD8" s="53" t="n">
        <f aca="false">IF(AND(J8&gt;0,E8&gt;=Settings!$B$4),ROUND(L8,10),"")</f>
        <v>0.1121076233</v>
      </c>
      <c r="AE8" s="53" t="n">
        <f aca="false">IF(AND(J8&gt;=Settings!$B$5,E8&gt;=Settings!$B$4),ROUND(Q8,10),"")</f>
        <v>2.7340308613</v>
      </c>
      <c r="AF8" s="62" t="n">
        <f aca="false">L8/Settings!$B$14</f>
        <v>1.4964704603674</v>
      </c>
    </row>
    <row r="9" customFormat="false" ht="15" hidden="false" customHeight="false" outlineLevel="0" collapsed="false">
      <c r="A9" s="53" t="s">
        <v>332</v>
      </c>
      <c r="B9" s="53" t="s">
        <v>421</v>
      </c>
      <c r="C9" s="53" t="s">
        <v>46</v>
      </c>
      <c r="D9" s="53" t="s">
        <v>89</v>
      </c>
      <c r="E9" s="55" t="n">
        <f aca="false">SUMIFS(Detail!$K$2:$K$703,Detail!$C$2:$C$703,$A9)</f>
        <v>374</v>
      </c>
      <c r="F9" s="55" t="n">
        <f aca="false">SUMIFS(Detail!$F$2:$F$703,Detail!$C$2:$C$703,$A9)</f>
        <v>34</v>
      </c>
      <c r="G9" s="56" t="n">
        <f aca="false">SUMIFS(Detail!$M$2:$M$703,Detail!$C$2:$C$703,$A9)</f>
        <v>34682.55</v>
      </c>
      <c r="H9" s="56" t="n">
        <f aca="false">SUMIFS(Detail!$E$2:$E$703,Detail!$C$2:$C$703,$A9)</f>
        <v>2872.37</v>
      </c>
      <c r="I9" s="56" t="n">
        <f aca="false">SUMIFS(Detail!$H$2:$H$703,Detail!$C$2:$C$703,$A9)</f>
        <v>79771.263</v>
      </c>
      <c r="J9" s="55" t="n">
        <f aca="false">SUMIFS(Detail!$L$2:$L$703,Detail!$C$2:$C$703,$A9)</f>
        <v>26</v>
      </c>
      <c r="K9" s="56" t="n">
        <f aca="false">SUMIFS(Detail!$N$2:$N$703,Detail!$C$2:$C$703,$A9)</f>
        <v>2185.1</v>
      </c>
      <c r="L9" s="31" t="n">
        <f aca="false">IF(E9&gt;0,J9/E9,0)</f>
        <v>0.0695187165775401</v>
      </c>
      <c r="M9" s="31" t="n">
        <f aca="false">IF(G9&gt;0,K9/G9,0)</f>
        <v>0.0630028645529236</v>
      </c>
      <c r="N9" s="57" t="n">
        <f aca="false">H9/Settings!$B$17</f>
        <v>0.00173608681721961</v>
      </c>
      <c r="O9" s="58" t="n">
        <f aca="false">H9/Settings!$B$15</f>
        <v>0.0002229883679027</v>
      </c>
      <c r="P9" s="59" t="n">
        <f aca="false">E9*Settings!$B$3</f>
        <v>24.8685714285714</v>
      </c>
      <c r="Q9" s="59" t="n">
        <f aca="false">IF(E9&gt;0,(J9-P9)/SQRT(E9*Settings!$B$3*(1-Settings!$B$3)),0)</f>
        <v>0.234824307862695</v>
      </c>
      <c r="R9" s="31" t="n">
        <f aca="false">IF(E9&gt;=Settings!$B$4,(J9+Settings!$B$7*Settings!$B$3)/(E9+Settings!$B$7),Settings!$B$3)</f>
        <v>0.0692940722643693</v>
      </c>
      <c r="S9" s="60" t="n">
        <f aca="false">PERCENTRANK($H$2:$H$95,H9,6)</f>
        <v>0.924731</v>
      </c>
      <c r="T9" s="60" t="n">
        <f aca="false">PERCENTRANK($R$2:$R$95,R9,6)</f>
        <v>0.817204</v>
      </c>
      <c r="U9" s="60" t="n">
        <f aca="false">PERCENTRANK($F$2:$F$95,F9,6)</f>
        <v>0.935484</v>
      </c>
      <c r="V9" s="61" t="n">
        <f aca="false">IF(F9&gt;0,ROUND((Settings!$B$8*U9+Settings!$B$9*S9+Settings!$B$10*T9)/SUM(Settings!$B$8:$B$10),10),0)</f>
        <v>0.892473</v>
      </c>
      <c r="W9" s="53" t="n">
        <f aca="false">IF(V9&gt;0,RANK(V9,$V$2:$V$95)+COUNTIF($V$2:V9,V9)-1,"")</f>
        <v>8</v>
      </c>
      <c r="X9" s="53" t="str">
        <f aca="false">IF(W9="","",IF(W9&lt;=Settings!$B$11,"1 - Fix first",IF(W9&lt;=Settings!$B$12,"2 - Review","3 - Monitor")))</f>
        <v>1 - Fix first</v>
      </c>
      <c r="Y9" s="53" t="str">
        <f aca="false">IF(AND(E9&gt;=Settings!$B$4,J9&gt;=Settings!$B$5,Q9&gt;=Settings!$B$6),"HIGH RATE","")</f>
        <v/>
      </c>
      <c r="Z9" s="53" t="n">
        <f aca="false">IF(F9&gt;0,RANK(F9,$F$2:$F$95)+COUNTIF($F$2:F9,F9)-1,"")</f>
        <v>7</v>
      </c>
      <c r="AA9" s="53" t="n">
        <f aca="false">IF(H9&gt;0,RANK(H9,$H$2:$H$95)+COUNTIF($H$2:H9,H9)-1,"")</f>
        <v>8</v>
      </c>
      <c r="AB9" s="53" t="n">
        <f aca="false">IF(AD9="","",RANK(AD9,$AD$2:$AD$95)+COUNTIF($AD$2:AD9,AD9)-1)</f>
        <v>17</v>
      </c>
      <c r="AC9" s="53" t="n">
        <f aca="false">IF(AE9="","",RANK(AE9,$AE$2:$AE$95)+COUNTIF($AE$2:AE9,AE9)-1)</f>
        <v>17</v>
      </c>
      <c r="AD9" s="53" t="n">
        <f aca="false">IF(AND(J9&gt;0,E9&gt;=Settings!$B$4),ROUND(L9,10),"")</f>
        <v>0.0695187166</v>
      </c>
      <c r="AE9" s="53" t="n">
        <f aca="false">IF(AND(J9&gt;=Settings!$B$5,E9&gt;=Settings!$B$4),ROUND(Q9,10),"")</f>
        <v>0.2348243079</v>
      </c>
      <c r="AF9" s="62" t="n">
        <f aca="false">L9/Settings!$B$14</f>
        <v>0.927971735744406</v>
      </c>
    </row>
    <row r="10" customFormat="false" ht="15" hidden="false" customHeight="false" outlineLevel="0" collapsed="false">
      <c r="A10" s="53" t="s">
        <v>155</v>
      </c>
      <c r="B10" s="53" t="s">
        <v>422</v>
      </c>
      <c r="C10" s="53" t="s">
        <v>50</v>
      </c>
      <c r="D10" s="53" t="s">
        <v>89</v>
      </c>
      <c r="E10" s="55" t="n">
        <f aca="false">SUMIFS(Detail!$K$2:$K$703,Detail!$C$2:$C$703,$A10)</f>
        <v>551</v>
      </c>
      <c r="F10" s="55" t="n">
        <f aca="false">SUMIFS(Detail!$F$2:$F$703,Detail!$C$2:$C$703,$A10)</f>
        <v>36</v>
      </c>
      <c r="G10" s="56" t="n">
        <f aca="false">SUMIFS(Detail!$M$2:$M$703,Detail!$C$2:$C$703,$A10)</f>
        <v>41010.17</v>
      </c>
      <c r="H10" s="56" t="n">
        <f aca="false">SUMIFS(Detail!$E$2:$E$703,Detail!$C$2:$C$703,$A10)</f>
        <v>2433.11</v>
      </c>
      <c r="I10" s="56" t="n">
        <f aca="false">SUMIFS(Detail!$H$2:$H$703,Detail!$C$2:$C$703,$A10)</f>
        <v>70553.592</v>
      </c>
      <c r="J10" s="55" t="n">
        <f aca="false">SUMIFS(Detail!$L$2:$L$703,Detail!$C$2:$C$703,$A10)</f>
        <v>35</v>
      </c>
      <c r="K10" s="56" t="n">
        <f aca="false">SUMIFS(Detail!$N$2:$N$703,Detail!$C$2:$C$703,$A10)</f>
        <v>2364.97</v>
      </c>
      <c r="L10" s="31" t="n">
        <f aca="false">IF(E10&gt;0,J10/E10,0)</f>
        <v>0.0635208711433757</v>
      </c>
      <c r="M10" s="31" t="n">
        <f aca="false">IF(G10&gt;0,K10/G10,0)</f>
        <v>0.0576678906719967</v>
      </c>
      <c r="N10" s="57" t="n">
        <f aca="false">H10/Settings!$B$17</f>
        <v>0.00147059403762232</v>
      </c>
      <c r="O10" s="58" t="n">
        <f aca="false">H10/Settings!$B$15</f>
        <v>0.000188887652993081</v>
      </c>
      <c r="P10" s="59" t="n">
        <f aca="false">E10*Settings!$B$3</f>
        <v>36.6379220779221</v>
      </c>
      <c r="Q10" s="59" t="n">
        <f aca="false">IF(E10&gt;0,(J10-P10)/SQRT(E10*Settings!$B$3*(1-Settings!$B$3)),0)</f>
        <v>-0.280071648685835</v>
      </c>
      <c r="R10" s="31" t="n">
        <f aca="false">IF(E10&gt;=Settings!$B$4,(J10+Settings!$B$7*Settings!$B$3)/(E10+Settings!$B$7),Settings!$B$3)</f>
        <v>0.0636743635022465</v>
      </c>
      <c r="S10" s="60" t="n">
        <f aca="false">PERCENTRANK($H$2:$H$95,H10,6)</f>
        <v>0.913978</v>
      </c>
      <c r="T10" s="60" t="n">
        <f aca="false">PERCENTRANK($R$2:$R$95,R10,6)</f>
        <v>0.11828</v>
      </c>
      <c r="U10" s="60" t="n">
        <f aca="false">PERCENTRANK($F$2:$F$95,F10,6)</f>
        <v>0.946237</v>
      </c>
      <c r="V10" s="61" t="n">
        <f aca="false">IF(F10&gt;0,ROUND((Settings!$B$8*U10+Settings!$B$9*S10+Settings!$B$10*T10)/SUM(Settings!$B$8:$B$10),10),0)</f>
        <v>0.6594983333</v>
      </c>
      <c r="W10" s="53" t="n">
        <f aca="false">IF(V10&gt;0,RANK(V10,$V$2:$V$95)+COUNTIF($V$2:V10,V10)-1,"")</f>
        <v>23</v>
      </c>
      <c r="X10" s="53" t="str">
        <f aca="false">IF(W10="","",IF(W10&lt;=Settings!$B$11,"1 - Fix first",IF(W10&lt;=Settings!$B$12,"2 - Review","3 - Monitor")))</f>
        <v>2 - Review</v>
      </c>
      <c r="Y10" s="53" t="str">
        <f aca="false">IF(AND(E10&gt;=Settings!$B$4,J10&gt;=Settings!$B$5,Q10&gt;=Settings!$B$6),"HIGH RATE","")</f>
        <v/>
      </c>
      <c r="Z10" s="53" t="n">
        <f aca="false">IF(F10&gt;0,RANK(F10,$F$2:$F$95)+COUNTIF($F$2:F10,F10)-1,"")</f>
        <v>6</v>
      </c>
      <c r="AA10" s="53" t="n">
        <f aca="false">IF(H10&gt;0,RANK(H10,$H$2:$H$95)+COUNTIF($H$2:H10,H10)-1,"")</f>
        <v>9</v>
      </c>
      <c r="AB10" s="53" t="n">
        <f aca="false">IF(AD10="","",RANK(AD10,$AD$2:$AD$95)+COUNTIF($AD$2:AD10,AD10)-1)</f>
        <v>21</v>
      </c>
      <c r="AC10" s="53" t="n">
        <f aca="false">IF(AE10="","",RANK(AE10,$AE$2:$AE$95)+COUNTIF($AE$2:AE10,AE10)-1)</f>
        <v>22</v>
      </c>
      <c r="AD10" s="53" t="n">
        <f aca="false">IF(AND(J10&gt;0,E10&gt;=Settings!$B$4),ROUND(L10,10),"")</f>
        <v>0.0635208711</v>
      </c>
      <c r="AE10" s="53" t="n">
        <f aca="false">IF(AND(J10&gt;=Settings!$B$5,E10&gt;=Settings!$B$4),ROUND(Q10,10),"")</f>
        <v>-0.2800716487</v>
      </c>
      <c r="AF10" s="62" t="n">
        <f aca="false">L10/Settings!$B$14</f>
        <v>0.847909396963163</v>
      </c>
    </row>
    <row r="11" customFormat="false" ht="15" hidden="false" customHeight="false" outlineLevel="0" collapsed="false">
      <c r="A11" s="53" t="s">
        <v>344</v>
      </c>
      <c r="B11" s="53" t="s">
        <v>420</v>
      </c>
      <c r="C11" s="53" t="s">
        <v>50</v>
      </c>
      <c r="D11" s="53" t="s">
        <v>97</v>
      </c>
      <c r="E11" s="55" t="n">
        <f aca="false">SUMIFS(Detail!$K$2:$K$703,Detail!$C$2:$C$703,$A11)</f>
        <v>87</v>
      </c>
      <c r="F11" s="55" t="n">
        <f aca="false">SUMIFS(Detail!$F$2:$F$703,Detail!$C$2:$C$703,$A11)</f>
        <v>12</v>
      </c>
      <c r="G11" s="56" t="n">
        <f aca="false">SUMIFS(Detail!$M$2:$M$703,Detail!$C$2:$C$703,$A11)</f>
        <v>9778.6</v>
      </c>
      <c r="H11" s="56" t="n">
        <f aca="false">SUMIFS(Detail!$E$2:$E$703,Detail!$C$2:$C$703,$A11)</f>
        <v>1216.35</v>
      </c>
      <c r="I11" s="56" t="n">
        <f aca="false">SUMIFS(Detail!$H$2:$H$703,Detail!$C$2:$C$703,$A11)</f>
        <v>28364.4</v>
      </c>
      <c r="J11" s="55" t="n">
        <f aca="false">SUMIFS(Detail!$L$2:$L$703,Detail!$C$2:$C$703,$A11)</f>
        <v>10</v>
      </c>
      <c r="K11" s="56" t="n">
        <f aca="false">SUMIFS(Detail!$N$2:$N$703,Detail!$C$2:$C$703,$A11)</f>
        <v>949.17</v>
      </c>
      <c r="L11" s="31" t="n">
        <f aca="false">IF(E11&gt;0,J11/E11,0)</f>
        <v>0.114942528735632</v>
      </c>
      <c r="M11" s="31" t="n">
        <f aca="false">IF(G11&gt;0,K11/G11,0)</f>
        <v>0.0970660421737263</v>
      </c>
      <c r="N11" s="57" t="n">
        <f aca="false">H11/Settings!$B$17</f>
        <v>0.000735173114927769</v>
      </c>
      <c r="O11" s="58" t="n">
        <f aca="false">H11/Settings!$B$15</f>
        <v>9.44279118979966E-005</v>
      </c>
      <c r="P11" s="59" t="n">
        <f aca="false">E11*Settings!$B$3</f>
        <v>5.78493506493507</v>
      </c>
      <c r="Q11" s="59" t="n">
        <f aca="false">IF(E11&gt;0,(J11-P11)/SQRT(E11*Settings!$B$3*(1-Settings!$B$3)),0)</f>
        <v>1.81382905196917</v>
      </c>
      <c r="R11" s="31" t="n">
        <f aca="false">IF(E11&gt;=Settings!$B$4,(J11+Settings!$B$7*Settings!$B$3)/(E11+Settings!$B$7),Settings!$B$3)</f>
        <v>0.102519702519703</v>
      </c>
      <c r="S11" s="60" t="n">
        <f aca="false">PERCENTRANK($H$2:$H$95,H11,6)</f>
        <v>0.903226</v>
      </c>
      <c r="T11" s="60" t="n">
        <f aca="false">PERCENTRANK($R$2:$R$95,R11,6)</f>
        <v>0.956989</v>
      </c>
      <c r="U11" s="60" t="n">
        <f aca="false">PERCENTRANK($F$2:$F$95,F11,6)</f>
        <v>0.870968</v>
      </c>
      <c r="V11" s="61" t="n">
        <f aca="false">IF(F11&gt;0,ROUND((Settings!$B$8*U11+Settings!$B$9*S11+Settings!$B$10*T11)/SUM(Settings!$B$8:$B$10),10),0)</f>
        <v>0.9103943333</v>
      </c>
      <c r="W11" s="53" t="n">
        <f aca="false">IF(V11&gt;0,RANK(V11,$V$2:$V$95)+COUNTIF($V$2:V11,V11)-1,"")</f>
        <v>6</v>
      </c>
      <c r="X11" s="53" t="str">
        <f aca="false">IF(W11="","",IF(W11&lt;=Settings!$B$11,"1 - Fix first",IF(W11&lt;=Settings!$B$12,"2 - Review","3 - Monitor")))</f>
        <v>1 - Fix first</v>
      </c>
      <c r="Y11" s="53" t="str">
        <f aca="false">IF(AND(E11&gt;=Settings!$B$4,J11&gt;=Settings!$B$5,Q11&gt;=Settings!$B$6),"HIGH RATE","")</f>
        <v/>
      </c>
      <c r="Z11" s="53" t="n">
        <f aca="false">IF(F11&gt;0,RANK(F11,$F$2:$F$95)+COUNTIF($F$2:F11,F11)-1,"")</f>
        <v>12</v>
      </c>
      <c r="AA11" s="53" t="n">
        <f aca="false">IF(H11&gt;0,RANK(H11,$H$2:$H$95)+COUNTIF($H$2:H11,H11)-1,"")</f>
        <v>10</v>
      </c>
      <c r="AB11" s="53" t="n">
        <f aca="false">IF(AD11="","",RANK(AD11,$AD$2:$AD$95)+COUNTIF($AD$2:AD11,AD11)-1)</f>
        <v>5</v>
      </c>
      <c r="AC11" s="53" t="n">
        <f aca="false">IF(AE11="","",RANK(AE11,$AE$2:$AE$95)+COUNTIF($AE$2:AE11,AE11)-1)</f>
        <v>4</v>
      </c>
      <c r="AD11" s="53" t="n">
        <f aca="false">IF(AND(J11&gt;0,E11&gt;=Settings!$B$4),ROUND(L11,10),"")</f>
        <v>0.1149425287</v>
      </c>
      <c r="AE11" s="53" t="n">
        <f aca="false">IF(AND(J11&gt;=Settings!$B$5,E11&gt;=Settings!$B$4),ROUND(Q11,10),"")</f>
        <v>1.813829052</v>
      </c>
      <c r="AF11" s="62" t="n">
        <f aca="false">L11/Settings!$B$14</f>
        <v>1.53431224212382</v>
      </c>
    </row>
    <row r="12" customFormat="false" ht="15" hidden="false" customHeight="false" outlineLevel="0" collapsed="false">
      <c r="A12" s="53" t="s">
        <v>360</v>
      </c>
      <c r="B12" s="53" t="s">
        <v>423</v>
      </c>
      <c r="C12" s="53" t="s">
        <v>54</v>
      </c>
      <c r="D12" s="53" t="s">
        <v>100</v>
      </c>
      <c r="E12" s="55" t="n">
        <f aca="false">SUMIFS(Detail!$K$2:$K$703,Detail!$C$2:$C$703,$A12)</f>
        <v>133</v>
      </c>
      <c r="F12" s="55" t="n">
        <f aca="false">SUMIFS(Detail!$F$2:$F$703,Detail!$C$2:$C$703,$A12)</f>
        <v>13</v>
      </c>
      <c r="G12" s="56" t="n">
        <f aca="false">SUMIFS(Detail!$M$2:$M$703,Detail!$C$2:$C$703,$A12)</f>
        <v>11535.32</v>
      </c>
      <c r="H12" s="56" t="n">
        <f aca="false">SUMIFS(Detail!$E$2:$E$703,Detail!$C$2:$C$703,$A12)</f>
        <v>1072.34</v>
      </c>
      <c r="I12" s="56" t="n">
        <f aca="false">SUMIFS(Detail!$H$2:$H$703,Detail!$C$2:$C$703,$A12)</f>
        <v>34840.694</v>
      </c>
      <c r="J12" s="55" t="n">
        <f aca="false">SUMIFS(Detail!$L$2:$L$703,Detail!$C$2:$C$703,$A12)</f>
        <v>8</v>
      </c>
      <c r="K12" s="56" t="n">
        <f aca="false">SUMIFS(Detail!$N$2:$N$703,Detail!$C$2:$C$703,$A12)</f>
        <v>595.22</v>
      </c>
      <c r="L12" s="31" t="n">
        <f aca="false">IF(E12&gt;0,J12/E12,0)</f>
        <v>0.0601503759398496</v>
      </c>
      <c r="M12" s="31" t="n">
        <f aca="false">IF(G12&gt;0,K12/G12,0)</f>
        <v>0.0515997822340429</v>
      </c>
      <c r="N12" s="57" t="n">
        <f aca="false">H12/Settings!$B$17</f>
        <v>0.000648132147869975</v>
      </c>
      <c r="O12" s="58" t="n">
        <f aca="false">H12/Settings!$B$15</f>
        <v>8.32481005012519E-005</v>
      </c>
      <c r="P12" s="59" t="n">
        <f aca="false">E12*Settings!$B$3</f>
        <v>8.84363636363636</v>
      </c>
      <c r="Q12" s="59" t="n">
        <f aca="false">IF(E12&gt;0,(J12-P12)/SQRT(E12*Settings!$B$3*(1-Settings!$B$3)),0)</f>
        <v>-0.293616989215398</v>
      </c>
      <c r="R12" s="31" t="n">
        <f aca="false">IF(E12&gt;=Settings!$B$4,(J12+Settings!$B$7*Settings!$B$3)/(E12+Settings!$B$7),Settings!$B$3)</f>
        <v>0.0613178232810135</v>
      </c>
      <c r="S12" s="60" t="n">
        <f aca="false">PERCENTRANK($H$2:$H$95,H12,6)</f>
        <v>0.892473</v>
      </c>
      <c r="T12" s="60" t="n">
        <f aca="false">PERCENTRANK($R$2:$R$95,R12,6)</f>
        <v>0.0967742</v>
      </c>
      <c r="U12" s="60" t="n">
        <f aca="false">PERCENTRANK($F$2:$F$95,F12,6)</f>
        <v>0.892473</v>
      </c>
      <c r="V12" s="61" t="n">
        <f aca="false">IF(F12&gt;0,ROUND((Settings!$B$8*U12+Settings!$B$9*S12+Settings!$B$10*T12)/SUM(Settings!$B$8:$B$10),10),0)</f>
        <v>0.6272400667</v>
      </c>
      <c r="W12" s="53" t="n">
        <f aca="false">IF(V12&gt;0,RANK(V12,$V$2:$V$95)+COUNTIF($V$2:V12,V12)-1,"")</f>
        <v>25</v>
      </c>
      <c r="X12" s="53" t="str">
        <f aca="false">IF(W12="","",IF(W12&lt;=Settings!$B$11,"1 - Fix first",IF(W12&lt;=Settings!$B$12,"2 - Review","3 - Monitor")))</f>
        <v>2 - Review</v>
      </c>
      <c r="Y12" s="53" t="str">
        <f aca="false">IF(AND(E12&gt;=Settings!$B$4,J12&gt;=Settings!$B$5,Q12&gt;=Settings!$B$6),"HIGH RATE","")</f>
        <v/>
      </c>
      <c r="Z12" s="53" t="n">
        <f aca="false">IF(F12&gt;0,RANK(F12,$F$2:$F$95)+COUNTIF($F$2:F12,F12)-1,"")</f>
        <v>11</v>
      </c>
      <c r="AA12" s="53" t="n">
        <f aca="false">IF(H12&gt;0,RANK(H12,$H$2:$H$95)+COUNTIF($H$2:H12,H12)-1,"")</f>
        <v>11</v>
      </c>
      <c r="AB12" s="53" t="n">
        <f aca="false">IF(AD12="","",RANK(AD12,$AD$2:$AD$95)+COUNTIF($AD$2:AD12,AD12)-1)</f>
        <v>22</v>
      </c>
      <c r="AC12" s="53" t="n">
        <f aca="false">IF(AE12="","",RANK(AE12,$AE$2:$AE$95)+COUNTIF($AE$2:AE12,AE12)-1)</f>
        <v>23</v>
      </c>
      <c r="AD12" s="53" t="n">
        <f aca="false">IF(AND(J12&gt;0,E12&gt;=Settings!$B$4),ROUND(L12,10),"")</f>
        <v>0.0601503759</v>
      </c>
      <c r="AE12" s="53" t="n">
        <f aca="false">IF(AND(J12&gt;=Settings!$B$5,E12&gt;=Settings!$B$4),ROUND(Q12,10),"")</f>
        <v>-0.2936169892</v>
      </c>
      <c r="AF12" s="62" t="n">
        <f aca="false">L12/Settings!$B$14</f>
        <v>0.802918286103893</v>
      </c>
    </row>
    <row r="13" customFormat="false" ht="15" hidden="false" customHeight="false" outlineLevel="0" collapsed="false">
      <c r="A13" s="53" t="s">
        <v>373</v>
      </c>
      <c r="B13" s="53" t="s">
        <v>417</v>
      </c>
      <c r="C13" s="53" t="s">
        <v>42</v>
      </c>
      <c r="D13" s="53" t="s">
        <v>97</v>
      </c>
      <c r="E13" s="55" t="n">
        <f aca="false">SUMIFS(Detail!$K$2:$K$703,Detail!$C$2:$C$703,$A13)</f>
        <v>41</v>
      </c>
      <c r="F13" s="55" t="n">
        <f aca="false">SUMIFS(Detail!$F$2:$F$703,Detail!$C$2:$C$703,$A13)</f>
        <v>6</v>
      </c>
      <c r="G13" s="56" t="n">
        <f aca="false">SUMIFS(Detail!$M$2:$M$703,Detail!$C$2:$C$703,$A13)</f>
        <v>6997.91</v>
      </c>
      <c r="H13" s="56" t="n">
        <f aca="false">SUMIFS(Detail!$E$2:$E$703,Detail!$C$2:$C$703,$A13)</f>
        <v>967.81</v>
      </c>
      <c r="I13" s="56" t="n">
        <f aca="false">SUMIFS(Detail!$H$2:$H$703,Detail!$C$2:$C$703,$A13)</f>
        <v>13821.01</v>
      </c>
      <c r="J13" s="55" t="n">
        <f aca="false">SUMIFS(Detail!$L$2:$L$703,Detail!$C$2:$C$703,$A13)</f>
        <v>3</v>
      </c>
      <c r="K13" s="56" t="n">
        <f aca="false">SUMIFS(Detail!$N$2:$N$703,Detail!$C$2:$C$703,$A13)</f>
        <v>453.79</v>
      </c>
      <c r="L13" s="31" t="n">
        <f aca="false">IF(E13&gt;0,J13/E13,0)</f>
        <v>0.0731707317073171</v>
      </c>
      <c r="M13" s="31" t="n">
        <f aca="false">IF(G13&gt;0,K13/G13,0)</f>
        <v>0.0648465041705309</v>
      </c>
      <c r="N13" s="57" t="n">
        <f aca="false">H13/Settings!$B$17</f>
        <v>0.000584953255525337</v>
      </c>
      <c r="O13" s="58" t="n">
        <f aca="false">H13/Settings!$B$15</f>
        <v>7.51332078875325E-005</v>
      </c>
      <c r="P13" s="59" t="n">
        <f aca="false">E13*Settings!$B$3</f>
        <v>2.72623376623377</v>
      </c>
      <c r="Q13" s="59" t="n">
        <f aca="false">IF(E13&gt;0,(J13-P13)/SQRT(E13*Settings!$B$3*(1-Settings!$B$3)),0)</f>
        <v>0.171608843078875</v>
      </c>
      <c r="R13" s="31" t="n">
        <f aca="false">IF(E13&gt;=Settings!$B$4,(J13+Settings!$B$7*Settings!$B$3)/(E13+Settings!$B$7),Settings!$B$3)</f>
        <v>0.0703493689409182</v>
      </c>
      <c r="S13" s="60" t="n">
        <f aca="false">PERCENTRANK($H$2:$H$95,H13,6)</f>
        <v>0.88172</v>
      </c>
      <c r="T13" s="60" t="n">
        <f aca="false">PERCENTRANK($R$2:$R$95,R13,6)</f>
        <v>0.83871</v>
      </c>
      <c r="U13" s="60" t="n">
        <f aca="false">PERCENTRANK($F$2:$F$95,F13,6)</f>
        <v>0.752688</v>
      </c>
      <c r="V13" s="61" t="n">
        <f aca="false">IF(F13&gt;0,ROUND((Settings!$B$8*U13+Settings!$B$9*S13+Settings!$B$10*T13)/SUM(Settings!$B$8:$B$10),10),0)</f>
        <v>0.8243726667</v>
      </c>
      <c r="W13" s="53" t="n">
        <f aca="false">IF(V13&gt;0,RANK(V13,$V$2:$V$95)+COUNTIF($V$2:V13,V13)-1,"")</f>
        <v>13</v>
      </c>
      <c r="X13" s="53" t="str">
        <f aca="false">IF(W13="","",IF(W13&lt;=Settings!$B$11,"1 - Fix first",IF(W13&lt;=Settings!$B$12,"2 - Review","3 - Monitor")))</f>
        <v>2 - Review</v>
      </c>
      <c r="Y13" s="53" t="str">
        <f aca="false">IF(AND(E13&gt;=Settings!$B$4,J13&gt;=Settings!$B$5,Q13&gt;=Settings!$B$6),"HIGH RATE","")</f>
        <v/>
      </c>
      <c r="Z13" s="53" t="n">
        <f aca="false">IF(F13&gt;0,RANK(F13,$F$2:$F$95)+COUNTIF($F$2:F13,F13)-1,"")</f>
        <v>22</v>
      </c>
      <c r="AA13" s="53" t="n">
        <f aca="false">IF(H13&gt;0,RANK(H13,$H$2:$H$95)+COUNTIF($H$2:H13,H13)-1,"")</f>
        <v>12</v>
      </c>
      <c r="AB13" s="53" t="n">
        <f aca="false">IF(AD13="","",RANK(AD13,$AD$2:$AD$95)+COUNTIF($AD$2:AD13,AD13)-1)</f>
        <v>14</v>
      </c>
      <c r="AC13" s="53" t="n">
        <f aca="false">IF(AE13="","",RANK(AE13,$AE$2:$AE$95)+COUNTIF($AE$2:AE13,AE13)-1)</f>
        <v>18</v>
      </c>
      <c r="AD13" s="53" t="n">
        <f aca="false">IF(AND(J13&gt;0,E13&gt;=Settings!$B$4),ROUND(L13,10),"")</f>
        <v>0.0731707317</v>
      </c>
      <c r="AE13" s="53" t="n">
        <f aca="false">IF(AND(J13&gt;=Settings!$B$5,E13&gt;=Settings!$B$4),ROUND(Q13,10),"")</f>
        <v>0.1716088431</v>
      </c>
      <c r="AF13" s="62" t="n">
        <f aca="false">L13/Settings!$B$14</f>
        <v>0.976720719986138</v>
      </c>
    </row>
    <row r="14" customFormat="false" ht="15" hidden="false" customHeight="false" outlineLevel="0" collapsed="false">
      <c r="A14" s="53" t="s">
        <v>328</v>
      </c>
      <c r="B14" s="53" t="s">
        <v>424</v>
      </c>
      <c r="C14" s="53" t="s">
        <v>50</v>
      </c>
      <c r="D14" s="53" t="s">
        <v>89</v>
      </c>
      <c r="E14" s="55" t="n">
        <f aca="false">SUMIFS(Detail!$K$2:$K$703,Detail!$C$2:$C$703,$A14)</f>
        <v>95</v>
      </c>
      <c r="F14" s="55" t="n">
        <f aca="false">SUMIFS(Detail!$F$2:$F$703,Detail!$C$2:$C$703,$A14)</f>
        <v>12</v>
      </c>
      <c r="G14" s="56" t="n">
        <f aca="false">SUMIFS(Detail!$M$2:$M$703,Detail!$C$2:$C$703,$A14)</f>
        <v>8176.37</v>
      </c>
      <c r="H14" s="56" t="n">
        <f aca="false">SUMIFS(Detail!$E$2:$E$703,Detail!$C$2:$C$703,$A14)</f>
        <v>957.93</v>
      </c>
      <c r="I14" s="56" t="n">
        <f aca="false">SUMIFS(Detail!$H$2:$H$703,Detail!$C$2:$C$703,$A14)</f>
        <v>18957.139</v>
      </c>
      <c r="J14" s="55" t="n">
        <f aca="false">SUMIFS(Detail!$L$2:$L$703,Detail!$C$2:$C$703,$A14)</f>
        <v>10</v>
      </c>
      <c r="K14" s="56" t="n">
        <f aca="false">SUMIFS(Detail!$N$2:$N$703,Detail!$C$2:$C$703,$A14)</f>
        <v>789.15</v>
      </c>
      <c r="L14" s="31" t="n">
        <f aca="false">IF(E14&gt;0,J14/E14,0)</f>
        <v>0.105263157894737</v>
      </c>
      <c r="M14" s="31" t="n">
        <f aca="false">IF(G14&gt;0,K14/G14,0)</f>
        <v>0.096515935555754</v>
      </c>
      <c r="N14" s="57" t="n">
        <f aca="false">H14/Settings!$B$17</f>
        <v>0.000578981692755175</v>
      </c>
      <c r="O14" s="58" t="n">
        <f aca="false">H14/Settings!$B$15</f>
        <v>7.43662018698959E-005</v>
      </c>
      <c r="P14" s="59" t="n">
        <f aca="false">E14*Settings!$B$3</f>
        <v>6.31688311688312</v>
      </c>
      <c r="Q14" s="59" t="n">
        <f aca="false">IF(E14&gt;0,(J14-P14)/SQRT(E14*Settings!$B$3*(1-Settings!$B$3)),0)</f>
        <v>1.51671998462451</v>
      </c>
      <c r="R14" s="31" t="n">
        <f aca="false">IF(E14&gt;=Settings!$B$4,(J14+Settings!$B$7*Settings!$B$3)/(E14+Settings!$B$7),Settings!$B$3)</f>
        <v>0.0959584415584416</v>
      </c>
      <c r="S14" s="60" t="n">
        <f aca="false">PERCENTRANK($H$2:$H$95,H14,6)</f>
        <v>0.870968</v>
      </c>
      <c r="T14" s="60" t="n">
        <f aca="false">PERCENTRANK($R$2:$R$95,R14,6)</f>
        <v>0.935484</v>
      </c>
      <c r="U14" s="60" t="n">
        <f aca="false">PERCENTRANK($F$2:$F$95,F14,6)</f>
        <v>0.870968</v>
      </c>
      <c r="V14" s="61" t="n">
        <f aca="false">IF(F14&gt;0,ROUND((Settings!$B$8*U14+Settings!$B$9*S14+Settings!$B$10*T14)/SUM(Settings!$B$8:$B$10),10),0)</f>
        <v>0.8924733333</v>
      </c>
      <c r="W14" s="53" t="n">
        <f aca="false">IF(V14&gt;0,RANK(V14,$V$2:$V$95)+COUNTIF($V$2:V14,V14)-1,"")</f>
        <v>7</v>
      </c>
      <c r="X14" s="53" t="str">
        <f aca="false">IF(W14="","",IF(W14&lt;=Settings!$B$11,"1 - Fix first",IF(W14&lt;=Settings!$B$12,"2 - Review","3 - Monitor")))</f>
        <v>1 - Fix first</v>
      </c>
      <c r="Y14" s="53" t="str">
        <f aca="false">IF(AND(E14&gt;=Settings!$B$4,J14&gt;=Settings!$B$5,Q14&gt;=Settings!$B$6),"HIGH RATE","")</f>
        <v/>
      </c>
      <c r="Z14" s="53" t="n">
        <f aca="false">IF(F14&gt;0,RANK(F14,$F$2:$F$95)+COUNTIF($F$2:F14,F14)-1,"")</f>
        <v>13</v>
      </c>
      <c r="AA14" s="53" t="n">
        <f aca="false">IF(H14&gt;0,RANK(H14,$H$2:$H$95)+COUNTIF($H$2:H14,H14)-1,"")</f>
        <v>13</v>
      </c>
      <c r="AB14" s="53" t="n">
        <f aca="false">IF(AD14="","",RANK(AD14,$AD$2:$AD$95)+COUNTIF($AD$2:AD14,AD14)-1)</f>
        <v>7</v>
      </c>
      <c r="AC14" s="53" t="n">
        <f aca="false">IF(AE14="","",RANK(AE14,$AE$2:$AE$95)+COUNTIF($AE$2:AE14,AE14)-1)</f>
        <v>7</v>
      </c>
      <c r="AD14" s="53" t="n">
        <f aca="false">IF(AND(J14&gt;0,E14&gt;=Settings!$B$4),ROUND(L14,10),"")</f>
        <v>0.1052631579</v>
      </c>
      <c r="AE14" s="53" t="n">
        <f aca="false">IF(AND(J14&gt;=Settings!$B$5,E14&gt;=Settings!$B$4),ROUND(Q14,10),"")</f>
        <v>1.5167199846</v>
      </c>
      <c r="AF14" s="62" t="n">
        <f aca="false">L14/Settings!$B$14</f>
        <v>1.40510700068181</v>
      </c>
    </row>
    <row r="15" customFormat="false" ht="15" hidden="false" customHeight="false" outlineLevel="0" collapsed="false">
      <c r="A15" s="53" t="s">
        <v>369</v>
      </c>
      <c r="B15" s="53" t="s">
        <v>425</v>
      </c>
      <c r="C15" s="53" t="s">
        <v>54</v>
      </c>
      <c r="D15" s="53" t="s">
        <v>97</v>
      </c>
      <c r="E15" s="55" t="n">
        <f aca="false">SUMIFS(Detail!$K$2:$K$703,Detail!$C$2:$C$703,$A15)</f>
        <v>110</v>
      </c>
      <c r="F15" s="55" t="n">
        <f aca="false">SUMIFS(Detail!$F$2:$F$703,Detail!$C$2:$C$703,$A15)</f>
        <v>18</v>
      </c>
      <c r="G15" s="56" t="n">
        <f aca="false">SUMIFS(Detail!$M$2:$M$703,Detail!$C$2:$C$703,$A15)</f>
        <v>6556.45</v>
      </c>
      <c r="H15" s="56" t="n">
        <f aca="false">SUMIFS(Detail!$E$2:$E$703,Detail!$C$2:$C$703,$A15)</f>
        <v>941.68</v>
      </c>
      <c r="I15" s="56" t="n">
        <f aca="false">SUMIFS(Detail!$H$2:$H$703,Detail!$C$2:$C$703,$A15)</f>
        <v>12203.98</v>
      </c>
      <c r="J15" s="55" t="n">
        <f aca="false">SUMIFS(Detail!$L$2:$L$703,Detail!$C$2:$C$703,$A15)</f>
        <v>14</v>
      </c>
      <c r="K15" s="56" t="n">
        <f aca="false">SUMIFS(Detail!$N$2:$N$703,Detail!$C$2:$C$703,$A15)</f>
        <v>716.02</v>
      </c>
      <c r="L15" s="31" t="n">
        <f aca="false">IF(E15&gt;0,J15/E15,0)</f>
        <v>0.127272727272727</v>
      </c>
      <c r="M15" s="31" t="n">
        <f aca="false">IF(G15&gt;0,K15/G15,0)</f>
        <v>0.109208489350182</v>
      </c>
      <c r="N15" s="57" t="n">
        <f aca="false">H15/Settings!$B$17</f>
        <v>0.000569160043462146</v>
      </c>
      <c r="O15" s="58" t="n">
        <f aca="false">H15/Settings!$B$15</f>
        <v>7.31046788145727E-005</v>
      </c>
      <c r="P15" s="59" t="n">
        <f aca="false">E15*Settings!$B$3</f>
        <v>7.31428571428571</v>
      </c>
      <c r="Q15" s="59" t="n">
        <f aca="false">IF(E15&gt;0,(J15-P15)/SQRT(E15*Settings!$B$3*(1-Settings!$B$3)),0)</f>
        <v>2.55860462708281</v>
      </c>
      <c r="R15" s="31" t="n">
        <f aca="false">IF(E15&gt;=Settings!$B$4,(J15+Settings!$B$7*Settings!$B$3)/(E15+Settings!$B$7),Settings!$B$3)</f>
        <v>0.114248608534323</v>
      </c>
      <c r="S15" s="60" t="n">
        <f aca="false">PERCENTRANK($H$2:$H$95,H15,6)</f>
        <v>0.860215</v>
      </c>
      <c r="T15" s="60" t="n">
        <f aca="false">PERCENTRANK($R$2:$R$95,R15,6)</f>
        <v>0.989247</v>
      </c>
      <c r="U15" s="60" t="n">
        <f aca="false">PERCENTRANK($F$2:$F$95,F15,6)</f>
        <v>0.903226</v>
      </c>
      <c r="V15" s="61" t="n">
        <f aca="false">IF(F15&gt;0,ROUND((Settings!$B$8*U15+Settings!$B$9*S15+Settings!$B$10*T15)/SUM(Settings!$B$8:$B$10),10),0)</f>
        <v>0.9175626667</v>
      </c>
      <c r="W15" s="53" t="n">
        <f aca="false">IF(V15&gt;0,RANK(V15,$V$2:$V$95)+COUNTIF($V$2:V15,V15)-1,"")</f>
        <v>4</v>
      </c>
      <c r="X15" s="53" t="str">
        <f aca="false">IF(W15="","",IF(W15&lt;=Settings!$B$11,"1 - Fix first",IF(W15&lt;=Settings!$B$12,"2 - Review","3 - Monitor")))</f>
        <v>1 - Fix first</v>
      </c>
      <c r="Y15" s="53" t="str">
        <f aca="false">IF(AND(E15&gt;=Settings!$B$4,J15&gt;=Settings!$B$5,Q15&gt;=Settings!$B$6),"HIGH RATE","")</f>
        <v/>
      </c>
      <c r="Z15" s="53" t="n">
        <f aca="false">IF(F15&gt;0,RANK(F15,$F$2:$F$95)+COUNTIF($F$2:F15,F15)-1,"")</f>
        <v>10</v>
      </c>
      <c r="AA15" s="53" t="n">
        <f aca="false">IF(H15&gt;0,RANK(H15,$H$2:$H$95)+COUNTIF($H$2:H15,H15)-1,"")</f>
        <v>14</v>
      </c>
      <c r="AB15" s="53" t="n">
        <f aca="false">IF(AD15="","",RANK(AD15,$AD$2:$AD$95)+COUNTIF($AD$2:AD15,AD15)-1)</f>
        <v>4</v>
      </c>
      <c r="AC15" s="53" t="n">
        <f aca="false">IF(AE15="","",RANK(AE15,$AE$2:$AE$95)+COUNTIF($AE$2:AE15,AE15)-1)</f>
        <v>3</v>
      </c>
      <c r="AD15" s="53" t="n">
        <f aca="false">IF(AND(J15&gt;0,E15&gt;=Settings!$B$4),ROUND(L15,10),"")</f>
        <v>0.1272727273</v>
      </c>
      <c r="AE15" s="53" t="n">
        <f aca="false">IF(AND(J15&gt;=Settings!$B$5,E15&gt;=Settings!$B$4),ROUND(Q15,10),"")</f>
        <v>2.5586046271</v>
      </c>
      <c r="AF15" s="62" t="n">
        <f aca="false">L15/Settings!$B$14</f>
        <v>1.69890210082437</v>
      </c>
    </row>
    <row r="16" customFormat="false" ht="15" hidden="false" customHeight="false" outlineLevel="0" collapsed="false">
      <c r="A16" s="53" t="s">
        <v>372</v>
      </c>
      <c r="B16" s="53" t="s">
        <v>415</v>
      </c>
      <c r="C16" s="53" t="s">
        <v>42</v>
      </c>
      <c r="D16" s="53" t="s">
        <v>97</v>
      </c>
      <c r="E16" s="55" t="n">
        <f aca="false">SUMIFS(Detail!$K$2:$K$703,Detail!$C$2:$C$703,$A16)</f>
        <v>79</v>
      </c>
      <c r="F16" s="55" t="n">
        <f aca="false">SUMIFS(Detail!$F$2:$F$703,Detail!$C$2:$C$703,$A16)</f>
        <v>8</v>
      </c>
      <c r="G16" s="56" t="n">
        <f aca="false">SUMIFS(Detail!$M$2:$M$703,Detail!$C$2:$C$703,$A16)</f>
        <v>9107.19</v>
      </c>
      <c r="H16" s="56" t="n">
        <f aca="false">SUMIFS(Detail!$E$2:$E$703,Detail!$C$2:$C$703,$A16)</f>
        <v>798.41</v>
      </c>
      <c r="I16" s="56" t="n">
        <f aca="false">SUMIFS(Detail!$H$2:$H$703,Detail!$C$2:$C$703,$A16)</f>
        <v>15970.01</v>
      </c>
      <c r="J16" s="55" t="n">
        <f aca="false">SUMIFS(Detail!$L$2:$L$703,Detail!$C$2:$C$703,$A16)</f>
        <v>7</v>
      </c>
      <c r="K16" s="56" t="n">
        <f aca="false">SUMIFS(Detail!$N$2:$N$703,Detail!$C$2:$C$703,$A16)</f>
        <v>691.18</v>
      </c>
      <c r="L16" s="31" t="n">
        <f aca="false">IF(E16&gt;0,J16/E16,0)</f>
        <v>0.0886075949367089</v>
      </c>
      <c r="M16" s="31" t="n">
        <f aca="false">IF(G16&gt;0,K16/G16,0)</f>
        <v>0.0758938816473578</v>
      </c>
      <c r="N16" s="57" t="n">
        <f aca="false">H16/Settings!$B$17</f>
        <v>0.000482566339202927</v>
      </c>
      <c r="O16" s="58" t="n">
        <f aca="false">H16/Settings!$B$15</f>
        <v>6.19823152369626E-005</v>
      </c>
      <c r="P16" s="59" t="n">
        <f aca="false">E16*Settings!$B$3</f>
        <v>5.25298701298701</v>
      </c>
      <c r="Q16" s="59" t="n">
        <f aca="false">IF(E16&gt;0,(J16-P16)/SQRT(E16*Settings!$B$3*(1-Settings!$B$3)),0)</f>
        <v>0.788922420096286</v>
      </c>
      <c r="R16" s="31" t="n">
        <f aca="false">IF(E16&gt;=Settings!$B$4,(J16+Settings!$B$7*Settings!$B$3)/(E16+Settings!$B$7),Settings!$B$3)</f>
        <v>0.0825211485761945</v>
      </c>
      <c r="S16" s="60" t="n">
        <f aca="false">PERCENTRANK($H$2:$H$95,H16,6)</f>
        <v>0.849462</v>
      </c>
      <c r="T16" s="60" t="n">
        <f aca="false">PERCENTRANK($R$2:$R$95,R16,6)</f>
        <v>0.924731</v>
      </c>
      <c r="U16" s="60" t="n">
        <f aca="false">PERCENTRANK($F$2:$F$95,F16,6)</f>
        <v>0.806452</v>
      </c>
      <c r="V16" s="61" t="n">
        <f aca="false">IF(F16&gt;0,ROUND((Settings!$B$8*U16+Settings!$B$9*S16+Settings!$B$10*T16)/SUM(Settings!$B$8:$B$10),10),0)</f>
        <v>0.860215</v>
      </c>
      <c r="W16" s="53" t="n">
        <f aca="false">IF(V16&gt;0,RANK(V16,$V$2:$V$95)+COUNTIF($V$2:V16,V16)-1,"")</f>
        <v>10</v>
      </c>
      <c r="X16" s="53" t="str">
        <f aca="false">IF(W16="","",IF(W16&lt;=Settings!$B$11,"1 - Fix first",IF(W16&lt;=Settings!$B$12,"2 - Review","3 - Monitor")))</f>
        <v>1 - Fix first</v>
      </c>
      <c r="Y16" s="53" t="str">
        <f aca="false">IF(AND(E16&gt;=Settings!$B$4,J16&gt;=Settings!$B$5,Q16&gt;=Settings!$B$6),"HIGH RATE","")</f>
        <v/>
      </c>
      <c r="Z16" s="53" t="n">
        <f aca="false">IF(F16&gt;0,RANK(F16,$F$2:$F$95)+COUNTIF($F$2:F16,F16)-1,"")</f>
        <v>17</v>
      </c>
      <c r="AA16" s="53" t="n">
        <f aca="false">IF(H16&gt;0,RANK(H16,$H$2:$H$95)+COUNTIF($H$2:H16,H16)-1,"")</f>
        <v>15</v>
      </c>
      <c r="AB16" s="53" t="n">
        <f aca="false">IF(AD16="","",RANK(AD16,$AD$2:$AD$95)+COUNTIF($AD$2:AD16,AD16)-1)</f>
        <v>10</v>
      </c>
      <c r="AC16" s="53" t="n">
        <f aca="false">IF(AE16="","",RANK(AE16,$AE$2:$AE$95)+COUNTIF($AE$2:AE16,AE16)-1)</f>
        <v>8</v>
      </c>
      <c r="AD16" s="53" t="n">
        <f aca="false">IF(AND(J16&gt;0,E16&gt;=Settings!$B$4),ROUND(L16,10),"")</f>
        <v>0.0886075949</v>
      </c>
      <c r="AE16" s="53" t="n">
        <f aca="false">IF(AND(J16&gt;=Settings!$B$5,E16&gt;=Settings!$B$4),ROUND(Q16,10),"")</f>
        <v>0.7889224201</v>
      </c>
      <c r="AF16" s="62" t="n">
        <f aca="false">L16/Settings!$B$14</f>
        <v>1.18277994361191</v>
      </c>
    </row>
    <row r="17" customFormat="false" ht="15" hidden="false" customHeight="false" outlineLevel="0" collapsed="false">
      <c r="A17" s="53" t="s">
        <v>357</v>
      </c>
      <c r="B17" s="53" t="s">
        <v>426</v>
      </c>
      <c r="C17" s="53" t="s">
        <v>54</v>
      </c>
      <c r="D17" s="53" t="s">
        <v>89</v>
      </c>
      <c r="E17" s="55" t="n">
        <f aca="false">SUMIFS(Detail!$K$2:$K$703,Detail!$C$2:$C$703,$A17)</f>
        <v>108</v>
      </c>
      <c r="F17" s="55" t="n">
        <f aca="false">SUMIFS(Detail!$F$2:$F$703,Detail!$C$2:$C$703,$A17)</f>
        <v>10</v>
      </c>
      <c r="G17" s="56" t="n">
        <f aca="false">SUMIFS(Detail!$M$2:$M$703,Detail!$C$2:$C$703,$A17)</f>
        <v>9049.28</v>
      </c>
      <c r="H17" s="56" t="n">
        <f aca="false">SUMIFS(Detail!$E$2:$E$703,Detail!$C$2:$C$703,$A17)</f>
        <v>762.09</v>
      </c>
      <c r="I17" s="56" t="n">
        <f aca="false">SUMIFS(Detail!$H$2:$H$703,Detail!$C$2:$C$703,$A17)</f>
        <v>29300.012</v>
      </c>
      <c r="J17" s="55" t="n">
        <f aca="false">SUMIFS(Detail!$L$2:$L$703,Detail!$C$2:$C$703,$A17)</f>
        <v>8</v>
      </c>
      <c r="K17" s="56" t="n">
        <f aca="false">SUMIFS(Detail!$N$2:$N$703,Detail!$C$2:$C$703,$A17)</f>
        <v>589.91</v>
      </c>
      <c r="L17" s="31" t="n">
        <f aca="false">IF(E17&gt;0,J17/E17,0)</f>
        <v>0.0740740740740741</v>
      </c>
      <c r="M17" s="31" t="n">
        <f aca="false">IF(G17&gt;0,K17/G17,0)</f>
        <v>0.0651886116906538</v>
      </c>
      <c r="N17" s="57" t="n">
        <f aca="false">H17/Settings!$B$17</f>
        <v>0.000460614197521522</v>
      </c>
      <c r="O17" s="58" t="n">
        <f aca="false">H17/Settings!$B$15</f>
        <v>5.91627141680801E-005</v>
      </c>
      <c r="P17" s="59" t="n">
        <f aca="false">E17*Settings!$B$3</f>
        <v>7.1812987012987</v>
      </c>
      <c r="Q17" s="59" t="n">
        <f aca="false">IF(E17&gt;0,(J17-P17)/SQRT(E17*Settings!$B$3*(1-Settings!$B$3)),0)</f>
        <v>0.316202509281741</v>
      </c>
      <c r="R17" s="31" t="n">
        <f aca="false">IF(E17&gt;=Settings!$B$4,(J17+Settings!$B$7*Settings!$B$3)/(E17+Settings!$B$7),Settings!$B$3)</f>
        <v>0.0724261246000377</v>
      </c>
      <c r="S17" s="60" t="n">
        <f aca="false">PERCENTRANK($H$2:$H$95,H17,6)</f>
        <v>0.83871</v>
      </c>
      <c r="T17" s="60" t="n">
        <f aca="false">PERCENTRANK($R$2:$R$95,R17,6)</f>
        <v>0.870968</v>
      </c>
      <c r="U17" s="60" t="n">
        <f aca="false">PERCENTRANK($F$2:$F$95,F17,6)</f>
        <v>0.860215</v>
      </c>
      <c r="V17" s="61" t="n">
        <f aca="false">IF(F17&gt;0,ROUND((Settings!$B$8*U17+Settings!$B$9*S17+Settings!$B$10*T17)/SUM(Settings!$B$8:$B$10),10),0)</f>
        <v>0.856631</v>
      </c>
      <c r="W17" s="53" t="n">
        <f aca="false">IF(V17&gt;0,RANK(V17,$V$2:$V$95)+COUNTIF($V$2:V17,V17)-1,"")</f>
        <v>11</v>
      </c>
      <c r="X17" s="53" t="str">
        <f aca="false">IF(W17="","",IF(W17&lt;=Settings!$B$11,"1 - Fix first",IF(W17&lt;=Settings!$B$12,"2 - Review","3 - Monitor")))</f>
        <v>2 - Review</v>
      </c>
      <c r="Y17" s="53" t="str">
        <f aca="false">IF(AND(E17&gt;=Settings!$B$4,J17&gt;=Settings!$B$5,Q17&gt;=Settings!$B$6),"HIGH RATE","")</f>
        <v/>
      </c>
      <c r="Z17" s="53" t="n">
        <f aca="false">IF(F17&gt;0,RANK(F17,$F$2:$F$95)+COUNTIF($F$2:F17,F17)-1,"")</f>
        <v>14</v>
      </c>
      <c r="AA17" s="53" t="n">
        <f aca="false">IF(H17&gt;0,RANK(H17,$H$2:$H$95)+COUNTIF($H$2:H17,H17)-1,"")</f>
        <v>16</v>
      </c>
      <c r="AB17" s="53" t="n">
        <f aca="false">IF(AD17="","",RANK(AD17,$AD$2:$AD$95)+COUNTIF($AD$2:AD17,AD17)-1)</f>
        <v>13</v>
      </c>
      <c r="AC17" s="53" t="n">
        <f aca="false">IF(AE17="","",RANK(AE17,$AE$2:$AE$95)+COUNTIF($AE$2:AE17,AE17)-1)</f>
        <v>15</v>
      </c>
      <c r="AD17" s="53" t="n">
        <f aca="false">IF(AND(J17&gt;0,E17&gt;=Settings!$B$4),ROUND(L17,10),"")</f>
        <v>0.0740740741</v>
      </c>
      <c r="AE17" s="53" t="n">
        <f aca="false">IF(AND(J17&gt;=Settings!$B$5,E17&gt;=Settings!$B$4),ROUND(Q17,10),"")</f>
        <v>0.3162025093</v>
      </c>
      <c r="AF17" s="62" t="n">
        <f aca="false">L17/Settings!$B$14</f>
        <v>0.988779000479794</v>
      </c>
    </row>
    <row r="18" customFormat="false" ht="15" hidden="false" customHeight="false" outlineLevel="0" collapsed="false">
      <c r="A18" s="53" t="s">
        <v>371</v>
      </c>
      <c r="B18" s="53" t="s">
        <v>427</v>
      </c>
      <c r="C18" s="53" t="s">
        <v>58</v>
      </c>
      <c r="D18" s="53" t="s">
        <v>97</v>
      </c>
      <c r="E18" s="55" t="n">
        <f aca="false">SUMIFS(Detail!$K$2:$K$703,Detail!$C$2:$C$703,$A18)</f>
        <v>36</v>
      </c>
      <c r="F18" s="55" t="n">
        <f aca="false">SUMIFS(Detail!$F$2:$F$703,Detail!$C$2:$C$703,$A18)</f>
        <v>8</v>
      </c>
      <c r="G18" s="56" t="n">
        <f aca="false">SUMIFS(Detail!$M$2:$M$703,Detail!$C$2:$C$703,$A18)</f>
        <v>3786.33</v>
      </c>
      <c r="H18" s="56" t="n">
        <f aca="false">SUMIFS(Detail!$E$2:$E$703,Detail!$C$2:$C$703,$A18)</f>
        <v>735.3</v>
      </c>
      <c r="I18" s="56" t="n">
        <f aca="false">SUMIFS(Detail!$H$2:$H$703,Detail!$C$2:$C$703,$A18)</f>
        <v>4036.23</v>
      </c>
      <c r="J18" s="55" t="n">
        <f aca="false">SUMIFS(Detail!$L$2:$L$703,Detail!$C$2:$C$703,$A18)</f>
        <v>8</v>
      </c>
      <c r="K18" s="56" t="n">
        <f aca="false">SUMIFS(Detail!$N$2:$N$703,Detail!$C$2:$C$703,$A18)</f>
        <v>735.3</v>
      </c>
      <c r="L18" s="31" t="n">
        <f aca="false">IF(E18&gt;0,J18/E18,0)</f>
        <v>0.222222222222222</v>
      </c>
      <c r="M18" s="31" t="n">
        <f aca="false">IF(G18&gt;0,K18/G18,0)</f>
        <v>0.194198603925173</v>
      </c>
      <c r="N18" s="57" t="n">
        <f aca="false">H18/Settings!$B$17</f>
        <v>0.000444422075394737</v>
      </c>
      <c r="O18" s="58" t="n">
        <f aca="false">H18/Settings!$B$15</f>
        <v>5.70829478510272E-005</v>
      </c>
      <c r="P18" s="59" t="n">
        <f aca="false">E18*Settings!$B$3</f>
        <v>2.39376623376623</v>
      </c>
      <c r="Q18" s="59" t="n">
        <f aca="false">IF(E18&gt;0,(J18-P18)/SQRT(E18*Settings!$B$3*(1-Settings!$B$3)),0)</f>
        <v>3.75034881619314</v>
      </c>
      <c r="R18" s="31" t="n">
        <f aca="false">IF(E18&gt;=Settings!$B$4,(J18+Settings!$B$7*Settings!$B$3)/(E18+Settings!$B$7),Settings!$B$3)</f>
        <v>0.151436442345533</v>
      </c>
      <c r="S18" s="60" t="n">
        <f aca="false">PERCENTRANK($H$2:$H$95,H18,6)</f>
        <v>0.827957</v>
      </c>
      <c r="T18" s="60" t="n">
        <f aca="false">PERCENTRANK($R$2:$R$95,R18,6)</f>
        <v>1</v>
      </c>
      <c r="U18" s="60" t="n">
        <f aca="false">PERCENTRANK($F$2:$F$95,F18,6)</f>
        <v>0.806452</v>
      </c>
      <c r="V18" s="61" t="n">
        <f aca="false">IF(F18&gt;0,ROUND((Settings!$B$8*U18+Settings!$B$9*S18+Settings!$B$10*T18)/SUM(Settings!$B$8:$B$10),10),0)</f>
        <v>0.8781363333</v>
      </c>
      <c r="W18" s="53" t="n">
        <f aca="false">IF(V18&gt;0,RANK(V18,$V$2:$V$95)+COUNTIF($V$2:V18,V18)-1,"")</f>
        <v>9</v>
      </c>
      <c r="X18" s="53" t="str">
        <f aca="false">IF(W18="","",IF(W18&lt;=Settings!$B$11,"1 - Fix first",IF(W18&lt;=Settings!$B$12,"2 - Review","3 - Monitor")))</f>
        <v>1 - Fix first</v>
      </c>
      <c r="Y18" s="53" t="str">
        <f aca="false">IF(AND(E18&gt;=Settings!$B$4,J18&gt;=Settings!$B$5,Q18&gt;=Settings!$B$6),"HIGH RATE","")</f>
        <v>HIGH RATE</v>
      </c>
      <c r="Z18" s="53" t="n">
        <f aca="false">IF(F18&gt;0,RANK(F18,$F$2:$F$95)+COUNTIF($F$2:F18,F18)-1,"")</f>
        <v>18</v>
      </c>
      <c r="AA18" s="53" t="n">
        <f aca="false">IF(H18&gt;0,RANK(H18,$H$2:$H$95)+COUNTIF($H$2:H18,H18)-1,"")</f>
        <v>17</v>
      </c>
      <c r="AB18" s="53" t="n">
        <f aca="false">IF(AD18="","",RANK(AD18,$AD$2:$AD$95)+COUNTIF($AD$2:AD18,AD18)-1)</f>
        <v>1</v>
      </c>
      <c r="AC18" s="53" t="n">
        <f aca="false">IF(AE18="","",RANK(AE18,$AE$2:$AE$95)+COUNTIF($AE$2:AE18,AE18)-1)</f>
        <v>1</v>
      </c>
      <c r="AD18" s="53" t="n">
        <f aca="false">IF(AND(J18&gt;0,E18&gt;=Settings!$B$4),ROUND(L18,10),"")</f>
        <v>0.2222222222</v>
      </c>
      <c r="AE18" s="53" t="n">
        <f aca="false">IF(AND(J18&gt;=Settings!$B$5,E18&gt;=Settings!$B$4),ROUND(Q18,10),"")</f>
        <v>3.7503488162</v>
      </c>
      <c r="AF18" s="62" t="n">
        <f aca="false">L18/Settings!$B$14</f>
        <v>2.96633700143938</v>
      </c>
    </row>
    <row r="19" customFormat="false" ht="15" hidden="false" customHeight="false" outlineLevel="0" collapsed="false">
      <c r="A19" s="53" t="s">
        <v>318</v>
      </c>
      <c r="B19" s="53" t="s">
        <v>428</v>
      </c>
      <c r="C19" s="53" t="s">
        <v>58</v>
      </c>
      <c r="D19" s="53" t="s">
        <v>93</v>
      </c>
      <c r="E19" s="55" t="n">
        <f aca="false">SUMIFS(Detail!$K$2:$K$703,Detail!$C$2:$C$703,$A19)</f>
        <v>41</v>
      </c>
      <c r="F19" s="55" t="n">
        <f aca="false">SUMIFS(Detail!$F$2:$F$703,Detail!$C$2:$C$703,$A19)</f>
        <v>5</v>
      </c>
      <c r="G19" s="56" t="n">
        <f aca="false">SUMIFS(Detail!$M$2:$M$703,Detail!$C$2:$C$703,$A19)</f>
        <v>5529.9</v>
      </c>
      <c r="H19" s="56" t="n">
        <f aca="false">SUMIFS(Detail!$E$2:$E$703,Detail!$C$2:$C$703,$A19)</f>
        <v>711.15</v>
      </c>
      <c r="I19" s="56" t="n">
        <f aca="false">SUMIFS(Detail!$H$2:$H$703,Detail!$C$2:$C$703,$A19)</f>
        <v>12834.33</v>
      </c>
      <c r="J19" s="55" t="n">
        <f aca="false">SUMIFS(Detail!$L$2:$L$703,Detail!$C$2:$C$703,$A19)</f>
        <v>3</v>
      </c>
      <c r="K19" s="56" t="n">
        <f aca="false">SUMIFS(Detail!$N$2:$N$703,Detail!$C$2:$C$703,$A19)</f>
        <v>330.79</v>
      </c>
      <c r="L19" s="31" t="n">
        <f aca="false">IF(E19&gt;0,J19/E19,0)</f>
        <v>0.0731707317073171</v>
      </c>
      <c r="M19" s="31" t="n">
        <f aca="false">IF(G19&gt;0,K19/G19,0)</f>
        <v>0.0598184415631386</v>
      </c>
      <c r="N19" s="57" t="n">
        <f aca="false">H19/Settings!$B$17</f>
        <v>0.000429825593522327</v>
      </c>
      <c r="O19" s="58" t="n">
        <f aca="false">H19/Settings!$B$15</f>
        <v>5.52081305103468E-005</v>
      </c>
      <c r="P19" s="59" t="n">
        <f aca="false">E19*Settings!$B$3</f>
        <v>2.72623376623377</v>
      </c>
      <c r="Q19" s="59" t="n">
        <f aca="false">IF(E19&gt;0,(J19-P19)/SQRT(E19*Settings!$B$3*(1-Settings!$B$3)),0)</f>
        <v>0.171608843078875</v>
      </c>
      <c r="R19" s="31" t="n">
        <f aca="false">IF(E19&gt;=Settings!$B$4,(J19+Settings!$B$7*Settings!$B$3)/(E19+Settings!$B$7),Settings!$B$3)</f>
        <v>0.0703493689409182</v>
      </c>
      <c r="S19" s="60" t="n">
        <f aca="false">PERCENTRANK($H$2:$H$95,H19,6)</f>
        <v>0.817204</v>
      </c>
      <c r="T19" s="60" t="n">
        <f aca="false">PERCENTRANK($R$2:$R$95,R19,6)</f>
        <v>0.83871</v>
      </c>
      <c r="U19" s="60" t="n">
        <f aca="false">PERCENTRANK($F$2:$F$95,F19,6)</f>
        <v>0.72043</v>
      </c>
      <c r="V19" s="61" t="n">
        <f aca="false">IF(F19&gt;0,ROUND((Settings!$B$8*U19+Settings!$B$9*S19+Settings!$B$10*T19)/SUM(Settings!$B$8:$B$10),10),0)</f>
        <v>0.7921146667</v>
      </c>
      <c r="W19" s="53" t="n">
        <f aca="false">IF(V19&gt;0,RANK(V19,$V$2:$V$95)+COUNTIF($V$2:V19,V19)-1,"")</f>
        <v>15</v>
      </c>
      <c r="X19" s="53" t="str">
        <f aca="false">IF(W19="","",IF(W19&lt;=Settings!$B$11,"1 - Fix first",IF(W19&lt;=Settings!$B$12,"2 - Review","3 - Monitor")))</f>
        <v>2 - Review</v>
      </c>
      <c r="Y19" s="53" t="str">
        <f aca="false">IF(AND(E19&gt;=Settings!$B$4,J19&gt;=Settings!$B$5,Q19&gt;=Settings!$B$6),"HIGH RATE","")</f>
        <v/>
      </c>
      <c r="Z19" s="53" t="n">
        <f aca="false">IF(F19&gt;0,RANK(F19,$F$2:$F$95)+COUNTIF($F$2:F19,F19)-1,"")</f>
        <v>25</v>
      </c>
      <c r="AA19" s="53" t="n">
        <f aca="false">IF(H19&gt;0,RANK(H19,$H$2:$H$95)+COUNTIF($H$2:H19,H19)-1,"")</f>
        <v>18</v>
      </c>
      <c r="AB19" s="53" t="n">
        <f aca="false">IF(AD19="","",RANK(AD19,$AD$2:$AD$95)+COUNTIF($AD$2:AD19,AD19)-1)</f>
        <v>15</v>
      </c>
      <c r="AC19" s="53" t="n">
        <f aca="false">IF(AE19="","",RANK(AE19,$AE$2:$AE$95)+COUNTIF($AE$2:AE19,AE19)-1)</f>
        <v>19</v>
      </c>
      <c r="AD19" s="53" t="n">
        <f aca="false">IF(AND(J19&gt;0,E19&gt;=Settings!$B$4),ROUND(L19,10),"")</f>
        <v>0.0731707317</v>
      </c>
      <c r="AE19" s="53" t="n">
        <f aca="false">IF(AND(J19&gt;=Settings!$B$5,E19&gt;=Settings!$B$4),ROUND(Q19,10),"")</f>
        <v>0.1716088431</v>
      </c>
      <c r="AF19" s="62" t="n">
        <f aca="false">L19/Settings!$B$14</f>
        <v>0.976720719986138</v>
      </c>
    </row>
    <row r="20" customFormat="false" ht="15" hidden="false" customHeight="false" outlineLevel="0" collapsed="false">
      <c r="A20" s="53" t="s">
        <v>156</v>
      </c>
      <c r="B20" s="53" t="s">
        <v>429</v>
      </c>
      <c r="C20" s="53" t="s">
        <v>58</v>
      </c>
      <c r="D20" s="53" t="s">
        <v>89</v>
      </c>
      <c r="E20" s="55" t="n">
        <f aca="false">SUMIFS(Detail!$K$2:$K$703,Detail!$C$2:$C$703,$A20)</f>
        <v>158</v>
      </c>
      <c r="F20" s="55" t="n">
        <f aca="false">SUMIFS(Detail!$F$2:$F$703,Detail!$C$2:$C$703,$A20)</f>
        <v>9</v>
      </c>
      <c r="G20" s="56" t="n">
        <f aca="false">SUMIFS(Detail!$M$2:$M$703,Detail!$C$2:$C$703,$A20)</f>
        <v>12949.27</v>
      </c>
      <c r="H20" s="56" t="n">
        <f aca="false">SUMIFS(Detail!$E$2:$E$703,Detail!$C$2:$C$703,$A20)</f>
        <v>669.8</v>
      </c>
      <c r="I20" s="56" t="n">
        <f aca="false">SUMIFS(Detail!$H$2:$H$703,Detail!$C$2:$C$703,$A20)</f>
        <v>68977.084</v>
      </c>
      <c r="J20" s="55" t="n">
        <f aca="false">SUMIFS(Detail!$L$2:$L$703,Detail!$C$2:$C$703,$A20)</f>
        <v>8</v>
      </c>
      <c r="K20" s="56" t="n">
        <f aca="false">SUMIFS(Detail!$N$2:$N$703,Detail!$C$2:$C$703,$A20)</f>
        <v>597.12</v>
      </c>
      <c r="L20" s="31" t="n">
        <f aca="false">IF(E20&gt;0,J20/E20,0)</f>
        <v>0.0506329113924051</v>
      </c>
      <c r="M20" s="31" t="n">
        <f aca="false">IF(G20&gt;0,K20/G20,0)</f>
        <v>0.0461122518875581</v>
      </c>
      <c r="N20" s="57" t="n">
        <f aca="false">H20/Settings!$B$17</f>
        <v>0.000404833273628988</v>
      </c>
      <c r="O20" s="58" t="n">
        <f aca="false">H20/Settings!$B$15</f>
        <v>5.19980395357242E-005</v>
      </c>
      <c r="P20" s="59" t="n">
        <f aca="false">E20*Settings!$B$3</f>
        <v>10.505974025974</v>
      </c>
      <c r="Q20" s="59" t="n">
        <f aca="false">IF(E20&gt;0,(J20-P20)/SQRT(E20*Settings!$B$3*(1-Settings!$B$3)),0)</f>
        <v>-0.800202183829562</v>
      </c>
      <c r="R20" s="31" t="n">
        <f aca="false">IF(E20&gt;=Settings!$B$4,(J20+Settings!$B$7*Settings!$B$3)/(E20+Settings!$B$7),Settings!$B$3)</f>
        <v>0.0531638574191766</v>
      </c>
      <c r="S20" s="60" t="n">
        <f aca="false">PERCENTRANK($H$2:$H$95,H20,6)</f>
        <v>0.806452</v>
      </c>
      <c r="T20" s="60" t="n">
        <f aca="false">PERCENTRANK($R$2:$R$95,R20,6)</f>
        <v>0.0645161</v>
      </c>
      <c r="U20" s="60" t="n">
        <f aca="false">PERCENTRANK($F$2:$F$95,F20,6)</f>
        <v>0.83871</v>
      </c>
      <c r="V20" s="61" t="n">
        <f aca="false">IF(F20&gt;0,ROUND((Settings!$B$8*U20+Settings!$B$9*S20+Settings!$B$10*T20)/SUM(Settings!$B$8:$B$10),10),0)</f>
        <v>0.5698927</v>
      </c>
      <c r="W20" s="53" t="n">
        <f aca="false">IF(V20&gt;0,RANK(V20,$V$2:$V$95)+COUNTIF($V$2:V20,V20)-1,"")</f>
        <v>26</v>
      </c>
      <c r="X20" s="53" t="str">
        <f aca="false">IF(W20="","",IF(W20&lt;=Settings!$B$11,"1 - Fix first",IF(W20&lt;=Settings!$B$12,"2 - Review","3 - Monitor")))</f>
        <v>3 - Monitor</v>
      </c>
      <c r="Y20" s="53" t="str">
        <f aca="false">IF(AND(E20&gt;=Settings!$B$4,J20&gt;=Settings!$B$5,Q20&gt;=Settings!$B$6),"HIGH RATE","")</f>
        <v/>
      </c>
      <c r="Z20" s="53" t="n">
        <f aca="false">IF(F20&gt;0,RANK(F20,$F$2:$F$95)+COUNTIF($F$2:F20,F20)-1,"")</f>
        <v>15</v>
      </c>
      <c r="AA20" s="53" t="n">
        <f aca="false">IF(H20&gt;0,RANK(H20,$H$2:$H$95)+COUNTIF($H$2:H20,H20)-1,"")</f>
        <v>19</v>
      </c>
      <c r="AB20" s="53" t="n">
        <f aca="false">IF(AD20="","",RANK(AD20,$AD$2:$AD$95)+COUNTIF($AD$2:AD20,AD20)-1)</f>
        <v>26</v>
      </c>
      <c r="AC20" s="53" t="n">
        <f aca="false">IF(AE20="","",RANK(AE20,$AE$2:$AE$95)+COUNTIF($AE$2:AE20,AE20)-1)</f>
        <v>25</v>
      </c>
      <c r="AD20" s="53" t="n">
        <f aca="false">IF(AND(J20&gt;0,E20&gt;=Settings!$B$4),ROUND(L20,10),"")</f>
        <v>0.0506329114</v>
      </c>
      <c r="AE20" s="53" t="n">
        <f aca="false">IF(AND(J20&gt;=Settings!$B$5,E20&gt;=Settings!$B$4),ROUND(Q20,10),"")</f>
        <v>-0.8002021838</v>
      </c>
      <c r="AF20" s="62" t="n">
        <f aca="false">L20/Settings!$B$14</f>
        <v>0.675874253492518</v>
      </c>
    </row>
    <row r="21" customFormat="false" ht="15" hidden="false" customHeight="false" outlineLevel="0" collapsed="false">
      <c r="A21" s="53" t="s">
        <v>333</v>
      </c>
      <c r="B21" s="53" t="s">
        <v>430</v>
      </c>
      <c r="C21" s="53" t="s">
        <v>54</v>
      </c>
      <c r="D21" s="53" t="s">
        <v>93</v>
      </c>
      <c r="E21" s="55" t="n">
        <f aca="false">SUMIFS(Detail!$K$2:$K$703,Detail!$C$2:$C$703,$A21)</f>
        <v>85</v>
      </c>
      <c r="F21" s="55" t="n">
        <f aca="false">SUMIFS(Detail!$F$2:$F$703,Detail!$C$2:$C$703,$A21)</f>
        <v>9</v>
      </c>
      <c r="G21" s="56" t="n">
        <f aca="false">SUMIFS(Detail!$M$2:$M$703,Detail!$C$2:$C$703,$A21)</f>
        <v>6262.18</v>
      </c>
      <c r="H21" s="56" t="n">
        <f aca="false">SUMIFS(Detail!$E$2:$E$703,Detail!$C$2:$C$703,$A21)</f>
        <v>634.55</v>
      </c>
      <c r="I21" s="56" t="n">
        <f aca="false">SUMIFS(Detail!$H$2:$H$703,Detail!$C$2:$C$703,$A21)</f>
        <v>37369.42</v>
      </c>
      <c r="J21" s="55" t="n">
        <f aca="false">SUMIFS(Detail!$L$2:$L$703,Detail!$C$2:$C$703,$A21)</f>
        <v>4</v>
      </c>
      <c r="K21" s="56" t="n">
        <f aca="false">SUMIFS(Detail!$N$2:$N$703,Detail!$C$2:$C$703,$A21)</f>
        <v>266.69</v>
      </c>
      <c r="L21" s="31" t="n">
        <f aca="false">IF(E21&gt;0,J21/E21,0)</f>
        <v>0.0470588235294118</v>
      </c>
      <c r="M21" s="31" t="n">
        <f aca="false">IF(G21&gt;0,K21/G21,0)</f>
        <v>0.0425874056638423</v>
      </c>
      <c r="N21" s="57" t="n">
        <f aca="false">H21/Settings!$B$17</f>
        <v>0.000383527849777955</v>
      </c>
      <c r="O21" s="58" t="n">
        <f aca="false">H21/Settings!$B$15</f>
        <v>4.9261504908023E-005</v>
      </c>
      <c r="P21" s="59" t="n">
        <f aca="false">E21*Settings!$B$3</f>
        <v>5.65194805194805</v>
      </c>
      <c r="Q21" s="59" t="n">
        <f aca="false">IF(E21&gt;0,(J21-P21)/SQRT(E21*Settings!$B$3*(1-Settings!$B$3)),0)</f>
        <v>-0.719181709539767</v>
      </c>
      <c r="R21" s="31" t="n">
        <f aca="false">IF(E21&gt;=Settings!$B$4,(J21+Settings!$B$7*Settings!$B$3)/(E21+Settings!$B$7),Settings!$B$3)</f>
        <v>0.052128740824393</v>
      </c>
      <c r="S21" s="60" t="n">
        <f aca="false">PERCENTRANK($H$2:$H$95,H21,6)</f>
        <v>0.795699</v>
      </c>
      <c r="T21" s="60" t="n">
        <f aca="false">PERCENTRANK($R$2:$R$95,R21,6)</f>
        <v>0.0430108</v>
      </c>
      <c r="U21" s="60" t="n">
        <f aca="false">PERCENTRANK($F$2:$F$95,F21,6)</f>
        <v>0.83871</v>
      </c>
      <c r="V21" s="61" t="n">
        <f aca="false">IF(F21&gt;0,ROUND((Settings!$B$8*U21+Settings!$B$9*S21+Settings!$B$10*T21)/SUM(Settings!$B$8:$B$10),10),0)</f>
        <v>0.5591399333</v>
      </c>
      <c r="W21" s="53" t="n">
        <f aca="false">IF(V21&gt;0,RANK(V21,$V$2:$V$95)+COUNTIF($V$2:V21,V21)-1,"")</f>
        <v>27</v>
      </c>
      <c r="X21" s="53" t="str">
        <f aca="false">IF(W21="","",IF(W21&lt;=Settings!$B$11,"1 - Fix first",IF(W21&lt;=Settings!$B$12,"2 - Review","3 - Monitor")))</f>
        <v>3 - Monitor</v>
      </c>
      <c r="Y21" s="53" t="str">
        <f aca="false">IF(AND(E21&gt;=Settings!$B$4,J21&gt;=Settings!$B$5,Q21&gt;=Settings!$B$6),"HIGH RATE","")</f>
        <v/>
      </c>
      <c r="Z21" s="53" t="n">
        <f aca="false">IF(F21&gt;0,RANK(F21,$F$2:$F$95)+COUNTIF($F$2:F21,F21)-1,"")</f>
        <v>16</v>
      </c>
      <c r="AA21" s="53" t="n">
        <f aca="false">IF(H21&gt;0,RANK(H21,$H$2:$H$95)+COUNTIF($H$2:H21,H21)-1,"")</f>
        <v>20</v>
      </c>
      <c r="AB21" s="53" t="n">
        <f aca="false">IF(AD21="","",RANK(AD21,$AD$2:$AD$95)+COUNTIF($AD$2:AD21,AD21)-1)</f>
        <v>28</v>
      </c>
      <c r="AC21" s="53" t="n">
        <f aca="false">IF(AE21="","",RANK(AE21,$AE$2:$AE$95)+COUNTIF($AE$2:AE21,AE21)-1)</f>
        <v>24</v>
      </c>
      <c r="AD21" s="53" t="n">
        <f aca="false">IF(AND(J21&gt;0,E21&gt;=Settings!$B$4),ROUND(L21,10),"")</f>
        <v>0.0470588235</v>
      </c>
      <c r="AE21" s="53" t="n">
        <f aca="false">IF(AND(J21&gt;=Settings!$B$5,E21&gt;=Settings!$B$4),ROUND(Q21,10),"")</f>
        <v>-0.7191817095</v>
      </c>
      <c r="AF21" s="62" t="n">
        <f aca="false">L21/Settings!$B$14</f>
        <v>0.628165482657752</v>
      </c>
    </row>
    <row r="22" customFormat="false" ht="15" hidden="false" customHeight="false" outlineLevel="0" collapsed="false">
      <c r="A22" s="53" t="s">
        <v>141</v>
      </c>
      <c r="B22" s="53" t="s">
        <v>431</v>
      </c>
      <c r="C22" s="53" t="s">
        <v>50</v>
      </c>
      <c r="D22" s="53" t="s">
        <v>97</v>
      </c>
      <c r="E22" s="55" t="n">
        <f aca="false">SUMIFS(Detail!$K$2:$K$703,Detail!$C$2:$C$703,$A22)</f>
        <v>22</v>
      </c>
      <c r="F22" s="55" t="n">
        <f aca="false">SUMIFS(Detail!$F$2:$F$703,Detail!$C$2:$C$703,$A22)</f>
        <v>5</v>
      </c>
      <c r="G22" s="56" t="n">
        <f aca="false">SUMIFS(Detail!$M$2:$M$703,Detail!$C$2:$C$703,$A22)</f>
        <v>3161.74</v>
      </c>
      <c r="H22" s="56" t="n">
        <f aca="false">SUMIFS(Detail!$E$2:$E$703,Detail!$C$2:$C$703,$A22)</f>
        <v>619.12</v>
      </c>
      <c r="I22" s="56" t="n">
        <f aca="false">SUMIFS(Detail!$H$2:$H$703,Detail!$C$2:$C$703,$A22)</f>
        <v>5258.39</v>
      </c>
      <c r="J22" s="55" t="n">
        <f aca="false">SUMIFS(Detail!$L$2:$L$703,Detail!$C$2:$C$703,$A22)</f>
        <v>4</v>
      </c>
      <c r="K22" s="56" t="n">
        <f aca="false">SUMIFS(Detail!$N$2:$N$703,Detail!$C$2:$C$703,$A22)</f>
        <v>478.91</v>
      </c>
      <c r="L22" s="31" t="n">
        <f aca="false">IF(E22&gt;0,J22/E22,0)</f>
        <v>0.181818181818182</v>
      </c>
      <c r="M22" s="31" t="n">
        <f aca="false">IF(G22&gt;0,K22/G22,0)</f>
        <v>0.15147039288493</v>
      </c>
      <c r="N22" s="57" t="n">
        <f aca="false">H22/Settings!$B$17</f>
        <v>0.000374201816018482</v>
      </c>
      <c r="O22" s="58" t="n">
        <f aca="false">H22/Settings!$B$15</f>
        <v>4.8063640246876E-005</v>
      </c>
      <c r="P22" s="59" t="n">
        <f aca="false">E22*Settings!$B$3</f>
        <v>1.46285714285714</v>
      </c>
      <c r="Q22" s="59" t="n">
        <f aca="false">IF(E22&gt;0,(J22-P22)/SQRT(E22*Settings!$B$3*(1-Settings!$B$3)),0)</f>
        <v>2.17112731617434</v>
      </c>
      <c r="R22" s="31" t="n">
        <f aca="false">IF(E22&gt;=Settings!$B$4,(J22+Settings!$B$7*Settings!$B$3)/(E22+Settings!$B$7),Settings!$B$3)</f>
        <v>0.0664935064935065</v>
      </c>
      <c r="S22" s="60" t="n">
        <f aca="false">PERCENTRANK($H$2:$H$95,H22,6)</f>
        <v>0.784946</v>
      </c>
      <c r="T22" s="60" t="n">
        <f aca="false">PERCENTRANK($R$2:$R$95,R22,6)</f>
        <v>0.129032</v>
      </c>
      <c r="U22" s="60" t="n">
        <f aca="false">PERCENTRANK($F$2:$F$95,F22,6)</f>
        <v>0.72043</v>
      </c>
      <c r="V22" s="61" t="n">
        <f aca="false">IF(F22&gt;0,ROUND((Settings!$B$8*U22+Settings!$B$9*S22+Settings!$B$10*T22)/SUM(Settings!$B$8:$B$10),10),0)</f>
        <v>0.5448026667</v>
      </c>
      <c r="W22" s="53" t="n">
        <f aca="false">IF(V22&gt;0,RANK(V22,$V$2:$V$95)+COUNTIF($V$2:V22,V22)-1,"")</f>
        <v>28</v>
      </c>
      <c r="X22" s="53" t="str">
        <f aca="false">IF(W22="","",IF(W22&lt;=Settings!$B$11,"1 - Fix first",IF(W22&lt;=Settings!$B$12,"2 - Review","3 - Monitor")))</f>
        <v>3 - Monitor</v>
      </c>
      <c r="Y22" s="53" t="str">
        <f aca="false">IF(AND(E22&gt;=Settings!$B$4,J22&gt;=Settings!$B$5,Q22&gt;=Settings!$B$6),"HIGH RATE","")</f>
        <v/>
      </c>
      <c r="Z22" s="53" t="n">
        <f aca="false">IF(F22&gt;0,RANK(F22,$F$2:$F$95)+COUNTIF($F$2:F22,F22)-1,"")</f>
        <v>26</v>
      </c>
      <c r="AA22" s="53" t="n">
        <f aca="false">IF(H22&gt;0,RANK(H22,$H$2:$H$95)+COUNTIF($H$2:H22,H22)-1,"")</f>
        <v>21</v>
      </c>
      <c r="AB22" s="53" t="str">
        <f aca="false">IF(AD22="","",RANK(AD22,$AD$2:$AD$95)+COUNTIF($AD$2:AD22,AD22)-1)</f>
        <v/>
      </c>
      <c r="AC22" s="53" t="str">
        <f aca="false">IF(AE22="","",RANK(AE22,$AE$2:$AE$95)+COUNTIF($AE$2:AE22,AE22)-1)</f>
        <v/>
      </c>
      <c r="AD22" s="53" t="str">
        <f aca="false">IF(AND(J22&gt;0,E22&gt;=Settings!$B$4),ROUND(L22,10),"")</f>
        <v/>
      </c>
      <c r="AE22" s="53" t="str">
        <f aca="false">IF(AND(J22&gt;=Settings!$B$5,E22&gt;=Settings!$B$4),ROUND(Q22,10),"")</f>
        <v/>
      </c>
      <c r="AF22" s="62" t="n">
        <f aca="false">L22/Settings!$B$14</f>
        <v>2.42700300117768</v>
      </c>
    </row>
    <row r="23" customFormat="false" ht="15" hidden="false" customHeight="false" outlineLevel="0" collapsed="false">
      <c r="A23" s="53" t="s">
        <v>375</v>
      </c>
      <c r="B23" s="53" t="s">
        <v>418</v>
      </c>
      <c r="C23" s="53" t="s">
        <v>42</v>
      </c>
      <c r="D23" s="53" t="s">
        <v>97</v>
      </c>
      <c r="E23" s="55" t="n">
        <f aca="false">SUMIFS(Detail!$K$2:$K$703,Detail!$C$2:$C$703,$A23)</f>
        <v>47</v>
      </c>
      <c r="F23" s="55" t="n">
        <f aca="false">SUMIFS(Detail!$F$2:$F$703,Detail!$C$2:$C$703,$A23)</f>
        <v>8</v>
      </c>
      <c r="G23" s="56" t="n">
        <f aca="false">SUMIFS(Detail!$M$2:$M$703,Detail!$C$2:$C$703,$A23)</f>
        <v>4000.41</v>
      </c>
      <c r="H23" s="56" t="n">
        <f aca="false">SUMIFS(Detail!$E$2:$E$703,Detail!$C$2:$C$703,$A23)</f>
        <v>609.82</v>
      </c>
      <c r="I23" s="56" t="n">
        <f aca="false">SUMIFS(Detail!$H$2:$H$703,Detail!$C$2:$C$703,$A23)</f>
        <v>9422.707</v>
      </c>
      <c r="J23" s="55" t="n">
        <f aca="false">SUMIFS(Detail!$L$2:$L$703,Detail!$C$2:$C$703,$A23)</f>
        <v>6</v>
      </c>
      <c r="K23" s="56" t="n">
        <f aca="false">SUMIFS(Detail!$N$2:$N$703,Detail!$C$2:$C$703,$A23)</f>
        <v>445.36</v>
      </c>
      <c r="L23" s="31" t="n">
        <f aca="false">IF(E23&gt;0,J23/E23,0)</f>
        <v>0.127659574468085</v>
      </c>
      <c r="M23" s="31" t="n">
        <f aca="false">IF(G23&gt;0,K23/G23,0)</f>
        <v>0.111328588819646</v>
      </c>
      <c r="N23" s="57" t="n">
        <f aca="false">H23/Settings!$B$17</f>
        <v>0.000368580810576933</v>
      </c>
      <c r="O23" s="58" t="n">
        <f aca="false">H23/Settings!$B$15</f>
        <v>4.7341660898291E-005</v>
      </c>
      <c r="P23" s="59" t="n">
        <f aca="false">E23*Settings!$B$3</f>
        <v>3.12519480519481</v>
      </c>
      <c r="Q23" s="59" t="n">
        <f aca="false">IF(E23&gt;0,(J23-P23)/SQRT(E23*Settings!$B$3*(1-Settings!$B$3)),0)</f>
        <v>1.68310497018526</v>
      </c>
      <c r="R23" s="31" t="n">
        <f aca="false">IF(E23&gt;=Settings!$B$4,(J23+Settings!$B$7*Settings!$B$3)/(E23+Settings!$B$7),Settings!$B$3)</f>
        <v>0.103828638893574</v>
      </c>
      <c r="S23" s="60" t="n">
        <f aca="false">PERCENTRANK($H$2:$H$95,H23,6)</f>
        <v>0.774194</v>
      </c>
      <c r="T23" s="60" t="n">
        <f aca="false">PERCENTRANK($R$2:$R$95,R23,6)</f>
        <v>0.967742</v>
      </c>
      <c r="U23" s="60" t="n">
        <f aca="false">PERCENTRANK($F$2:$F$95,F23,6)</f>
        <v>0.806452</v>
      </c>
      <c r="V23" s="61" t="n">
        <f aca="false">IF(F23&gt;0,ROUND((Settings!$B$8*U23+Settings!$B$9*S23+Settings!$B$10*T23)/SUM(Settings!$B$8:$B$10),10),0)</f>
        <v>0.8494626667</v>
      </c>
      <c r="W23" s="53" t="n">
        <f aca="false">IF(V23&gt;0,RANK(V23,$V$2:$V$95)+COUNTIF($V$2:V23,V23)-1,"")</f>
        <v>12</v>
      </c>
      <c r="X23" s="53" t="str">
        <f aca="false">IF(W23="","",IF(W23&lt;=Settings!$B$11,"1 - Fix first",IF(W23&lt;=Settings!$B$12,"2 - Review","3 - Monitor")))</f>
        <v>2 - Review</v>
      </c>
      <c r="Y23" s="53" t="str">
        <f aca="false">IF(AND(E23&gt;=Settings!$B$4,J23&gt;=Settings!$B$5,Q23&gt;=Settings!$B$6),"HIGH RATE","")</f>
        <v/>
      </c>
      <c r="Z23" s="53" t="n">
        <f aca="false">IF(F23&gt;0,RANK(F23,$F$2:$F$95)+COUNTIF($F$2:F23,F23)-1,"")</f>
        <v>19</v>
      </c>
      <c r="AA23" s="53" t="n">
        <f aca="false">IF(H23&gt;0,RANK(H23,$H$2:$H$95)+COUNTIF($H$2:H23,H23)-1,"")</f>
        <v>22</v>
      </c>
      <c r="AB23" s="53" t="n">
        <f aca="false">IF(AD23="","",RANK(AD23,$AD$2:$AD$95)+COUNTIF($AD$2:AD23,AD23)-1)</f>
        <v>3</v>
      </c>
      <c r="AC23" s="53" t="n">
        <f aca="false">IF(AE23="","",RANK(AE23,$AE$2:$AE$95)+COUNTIF($AE$2:AE23,AE23)-1)</f>
        <v>5</v>
      </c>
      <c r="AD23" s="53" t="n">
        <f aca="false">IF(AND(J23&gt;0,E23&gt;=Settings!$B$4),ROUND(L23,10),"")</f>
        <v>0.1276595745</v>
      </c>
      <c r="AE23" s="53" t="n">
        <f aca="false">IF(AND(J23&gt;=Settings!$B$5,E23&gt;=Settings!$B$4),ROUND(Q23,10),"")</f>
        <v>1.6831049702</v>
      </c>
      <c r="AF23" s="62" t="n">
        <f aca="false">L23/Settings!$B$14</f>
        <v>1.70406593699709</v>
      </c>
    </row>
    <row r="24" customFormat="false" ht="15" hidden="false" customHeight="false" outlineLevel="0" collapsed="false">
      <c r="A24" s="53" t="s">
        <v>390</v>
      </c>
      <c r="B24" s="53" t="s">
        <v>423</v>
      </c>
      <c r="C24" s="53" t="s">
        <v>54</v>
      </c>
      <c r="D24" s="53" t="s">
        <v>97</v>
      </c>
      <c r="E24" s="55" t="n">
        <f aca="false">SUMIFS(Detail!$K$2:$K$703,Detail!$C$2:$C$703,$A24)</f>
        <v>58</v>
      </c>
      <c r="F24" s="55" t="n">
        <f aca="false">SUMIFS(Detail!$F$2:$F$703,Detail!$C$2:$C$703,$A24)</f>
        <v>7</v>
      </c>
      <c r="G24" s="56" t="n">
        <f aca="false">SUMIFS(Detail!$M$2:$M$703,Detail!$C$2:$C$703,$A24)</f>
        <v>4708.18</v>
      </c>
      <c r="H24" s="56" t="n">
        <f aca="false">SUMIFS(Detail!$E$2:$E$703,Detail!$C$2:$C$703,$A24)</f>
        <v>531.83</v>
      </c>
      <c r="I24" s="56" t="n">
        <f aca="false">SUMIFS(Detail!$H$2:$H$703,Detail!$C$2:$C$703,$A24)</f>
        <v>9622.28</v>
      </c>
      <c r="J24" s="55" t="n">
        <f aca="false">SUMIFS(Detail!$L$2:$L$703,Detail!$C$2:$C$703,$A24)</f>
        <v>4</v>
      </c>
      <c r="K24" s="56" t="n">
        <f aca="false">SUMIFS(Detail!$N$2:$N$703,Detail!$C$2:$C$703,$A24)</f>
        <v>270.4</v>
      </c>
      <c r="L24" s="31" t="n">
        <f aca="false">IF(E24&gt;0,J24/E24,0)</f>
        <v>0.0689655172413793</v>
      </c>
      <c r="M24" s="31" t="n">
        <f aca="false">IF(G24&gt;0,K24/G24,0)</f>
        <v>0.0574319588460934</v>
      </c>
      <c r="N24" s="57" t="n">
        <f aca="false">H24/Settings!$B$17</f>
        <v>0.000321442938062264</v>
      </c>
      <c r="O24" s="58" t="n">
        <f aca="false">H24/Settings!$B$15</f>
        <v>4.12871265546196E-005</v>
      </c>
      <c r="P24" s="59" t="n">
        <f aca="false">E24*Settings!$B$3</f>
        <v>3.85662337662338</v>
      </c>
      <c r="Q24" s="59" t="n">
        <f aca="false">IF(E24&gt;0,(J24-P24)/SQRT(E24*Settings!$B$3*(1-Settings!$B$3)),0)</f>
        <v>0.0755641953165594</v>
      </c>
      <c r="R24" s="31" t="n">
        <f aca="false">IF(E24&gt;=Settings!$B$4,(J24+Settings!$B$7*Settings!$B$3)/(E24+Settings!$B$7),Settings!$B$3)</f>
        <v>0.0681227863046045</v>
      </c>
      <c r="S24" s="60" t="n">
        <f aca="false">PERCENTRANK($H$2:$H$95,H24,6)</f>
        <v>0.763441</v>
      </c>
      <c r="T24" s="60" t="n">
        <f aca="false">PERCENTRANK($R$2:$R$95,R24,6)</f>
        <v>0.795699</v>
      </c>
      <c r="U24" s="60" t="n">
        <f aca="false">PERCENTRANK($F$2:$F$95,F24,6)</f>
        <v>0.784946</v>
      </c>
      <c r="V24" s="61" t="n">
        <f aca="false">IF(F24&gt;0,ROUND((Settings!$B$8*U24+Settings!$B$9*S24+Settings!$B$10*T24)/SUM(Settings!$B$8:$B$10),10),0)</f>
        <v>0.781362</v>
      </c>
      <c r="W24" s="53" t="n">
        <f aca="false">IF(V24&gt;0,RANK(V24,$V$2:$V$95)+COUNTIF($V$2:V24,V24)-1,"")</f>
        <v>17</v>
      </c>
      <c r="X24" s="53" t="str">
        <f aca="false">IF(W24="","",IF(W24&lt;=Settings!$B$11,"1 - Fix first",IF(W24&lt;=Settings!$B$12,"2 - Review","3 - Monitor")))</f>
        <v>2 - Review</v>
      </c>
      <c r="Y24" s="53" t="str">
        <f aca="false">IF(AND(E24&gt;=Settings!$B$4,J24&gt;=Settings!$B$5,Q24&gt;=Settings!$B$6),"HIGH RATE","")</f>
        <v/>
      </c>
      <c r="Z24" s="53" t="n">
        <f aca="false">IF(F24&gt;0,RANK(F24,$F$2:$F$95)+COUNTIF($F$2:F24,F24)-1,"")</f>
        <v>20</v>
      </c>
      <c r="AA24" s="53" t="n">
        <f aca="false">IF(H24&gt;0,RANK(H24,$H$2:$H$95)+COUNTIF($H$2:H24,H24)-1,"")</f>
        <v>23</v>
      </c>
      <c r="AB24" s="53" t="n">
        <f aca="false">IF(AD24="","",RANK(AD24,$AD$2:$AD$95)+COUNTIF($AD$2:AD24,AD24)-1)</f>
        <v>19</v>
      </c>
      <c r="AC24" s="53" t="n">
        <f aca="false">IF(AE24="","",RANK(AE24,$AE$2:$AE$95)+COUNTIF($AE$2:AE24,AE24)-1)</f>
        <v>20</v>
      </c>
      <c r="AD24" s="53" t="n">
        <f aca="false">IF(AND(J24&gt;0,E24&gt;=Settings!$B$4),ROUND(L24,10),"")</f>
        <v>0.0689655172</v>
      </c>
      <c r="AE24" s="53" t="n">
        <f aca="false">IF(AND(J24&gt;=Settings!$B$5,E24&gt;=Settings!$B$4),ROUND(Q24,10),"")</f>
        <v>0.0755641953</v>
      </c>
      <c r="AF24" s="62" t="n">
        <f aca="false">L24/Settings!$B$14</f>
        <v>0.920587345274291</v>
      </c>
    </row>
    <row r="25" customFormat="false" ht="15" hidden="false" customHeight="false" outlineLevel="0" collapsed="false">
      <c r="A25" s="53" t="s">
        <v>160</v>
      </c>
      <c r="B25" s="53" t="s">
        <v>432</v>
      </c>
      <c r="C25" s="53" t="s">
        <v>58</v>
      </c>
      <c r="D25" s="53" t="s">
        <v>89</v>
      </c>
      <c r="E25" s="55" t="n">
        <f aca="false">SUMIFS(Detail!$K$2:$K$703,Detail!$C$2:$C$703,$A25)</f>
        <v>59</v>
      </c>
      <c r="F25" s="55" t="n">
        <f aca="false">SUMIFS(Detail!$F$2:$F$703,Detail!$C$2:$C$703,$A25)</f>
        <v>6</v>
      </c>
      <c r="G25" s="56" t="n">
        <f aca="false">SUMIFS(Detail!$M$2:$M$703,Detail!$C$2:$C$703,$A25)</f>
        <v>4528.96</v>
      </c>
      <c r="H25" s="56" t="n">
        <f aca="false">SUMIFS(Detail!$E$2:$E$703,Detail!$C$2:$C$703,$A25)</f>
        <v>466.03</v>
      </c>
      <c r="I25" s="56" t="n">
        <f aca="false">SUMIFS(Detail!$H$2:$H$703,Detail!$C$2:$C$703,$A25)</f>
        <v>10707.45</v>
      </c>
      <c r="J25" s="55" t="n">
        <f aca="false">SUMIFS(Detail!$L$2:$L$703,Detail!$C$2:$C$703,$A25)</f>
        <v>5</v>
      </c>
      <c r="K25" s="56" t="n">
        <f aca="false">SUMIFS(Detail!$N$2:$N$703,Detail!$C$2:$C$703,$A25)</f>
        <v>347.07</v>
      </c>
      <c r="L25" s="31" t="n">
        <f aca="false">IF(E25&gt;0,J25/E25,0)</f>
        <v>0.0847457627118644</v>
      </c>
      <c r="M25" s="31" t="n">
        <f aca="false">IF(G25&gt;0,K25/G25,0)</f>
        <v>0.0766334875998022</v>
      </c>
      <c r="N25" s="57" t="n">
        <f aca="false">H25/Settings!$B$17</f>
        <v>0.000281672813540336</v>
      </c>
      <c r="O25" s="58" t="n">
        <f aca="false">H25/Settings!$B$15</f>
        <v>3.61789285829107E-005</v>
      </c>
      <c r="P25" s="59" t="n">
        <f aca="false">E25*Settings!$B$3</f>
        <v>3.92311688311688</v>
      </c>
      <c r="Q25" s="59" t="n">
        <f aca="false">IF(E25&gt;0,(J25-P25)/SQRT(E25*Settings!$B$3*(1-Settings!$B$3)),0)</f>
        <v>0.562722490259731</v>
      </c>
      <c r="R25" s="31" t="n">
        <f aca="false">IF(E25&gt;=Settings!$B$4,(J25+Settings!$B$7*Settings!$B$3)/(E25+Settings!$B$7),Settings!$B$3)</f>
        <v>0.078593316795564</v>
      </c>
      <c r="S25" s="60" t="n">
        <f aca="false">PERCENTRANK($H$2:$H$95,H25,6)</f>
        <v>0.752688</v>
      </c>
      <c r="T25" s="60" t="n">
        <f aca="false">PERCENTRANK($R$2:$R$95,R25,6)</f>
        <v>0.892473</v>
      </c>
      <c r="U25" s="60" t="n">
        <f aca="false">PERCENTRANK($F$2:$F$95,F25,6)</f>
        <v>0.752688</v>
      </c>
      <c r="V25" s="61" t="n">
        <f aca="false">IF(F25&gt;0,ROUND((Settings!$B$8*U25+Settings!$B$9*S25+Settings!$B$10*T25)/SUM(Settings!$B$8:$B$10),10),0)</f>
        <v>0.799283</v>
      </c>
      <c r="W25" s="53" t="n">
        <f aca="false">IF(V25&gt;0,RANK(V25,$V$2:$V$95)+COUNTIF($V$2:V25,V25)-1,"")</f>
        <v>14</v>
      </c>
      <c r="X25" s="53" t="str">
        <f aca="false">IF(W25="","",IF(W25&lt;=Settings!$B$11,"1 - Fix first",IF(W25&lt;=Settings!$B$12,"2 - Review","3 - Monitor")))</f>
        <v>2 - Review</v>
      </c>
      <c r="Y25" s="53" t="str">
        <f aca="false">IF(AND(E25&gt;=Settings!$B$4,J25&gt;=Settings!$B$5,Q25&gt;=Settings!$B$6),"HIGH RATE","")</f>
        <v/>
      </c>
      <c r="Z25" s="53" t="n">
        <f aca="false">IF(F25&gt;0,RANK(F25,$F$2:$F$95)+COUNTIF($F$2:F25,F25)-1,"")</f>
        <v>23</v>
      </c>
      <c r="AA25" s="53" t="n">
        <f aca="false">IF(H25&gt;0,RANK(H25,$H$2:$H$95)+COUNTIF($H$2:H25,H25)-1,"")</f>
        <v>24</v>
      </c>
      <c r="AB25" s="53" t="n">
        <f aca="false">IF(AD25="","",RANK(AD25,$AD$2:$AD$95)+COUNTIF($AD$2:AD25,AD25)-1)</f>
        <v>12</v>
      </c>
      <c r="AC25" s="53" t="n">
        <f aca="false">IF(AE25="","",RANK(AE25,$AE$2:$AE$95)+COUNTIF($AE$2:AE25,AE25)-1)</f>
        <v>11</v>
      </c>
      <c r="AD25" s="53" t="n">
        <f aca="false">IF(AND(J25&gt;0,E25&gt;=Settings!$B$4),ROUND(L25,10),"")</f>
        <v>0.0847457627</v>
      </c>
      <c r="AE25" s="53" t="n">
        <f aca="false">IF(AND(J25&gt;=Settings!$B$5,E25&gt;=Settings!$B$4),ROUND(Q25,10),"")</f>
        <v>0.5627224903</v>
      </c>
      <c r="AF25" s="62" t="n">
        <f aca="false">L25/Settings!$B$14</f>
        <v>1.13123021241332</v>
      </c>
    </row>
    <row r="26" customFormat="false" ht="15" hidden="false" customHeight="false" outlineLevel="0" collapsed="false">
      <c r="A26" s="53" t="s">
        <v>322</v>
      </c>
      <c r="B26" s="53" t="s">
        <v>425</v>
      </c>
      <c r="C26" s="53" t="s">
        <v>54</v>
      </c>
      <c r="D26" s="53" t="s">
        <v>89</v>
      </c>
      <c r="E26" s="55" t="n">
        <f aca="false">SUMIFS(Detail!$K$2:$K$703,Detail!$C$2:$C$703,$A26)</f>
        <v>118</v>
      </c>
      <c r="F26" s="55" t="n">
        <f aca="false">SUMIFS(Detail!$F$2:$F$703,Detail!$C$2:$C$703,$A26)</f>
        <v>7</v>
      </c>
      <c r="G26" s="56" t="n">
        <f aca="false">SUMIFS(Detail!$M$2:$M$703,Detail!$C$2:$C$703,$A26)</f>
        <v>8629.01</v>
      </c>
      <c r="H26" s="56" t="n">
        <f aca="false">SUMIFS(Detail!$E$2:$E$703,Detail!$C$2:$C$703,$A26)</f>
        <v>435.85</v>
      </c>
      <c r="I26" s="56" t="n">
        <f aca="false">SUMIFS(Detail!$H$2:$H$703,Detail!$C$2:$C$703,$A26)</f>
        <v>69170.278</v>
      </c>
      <c r="J26" s="55" t="n">
        <f aca="false">SUMIFS(Detail!$L$2:$L$703,Detail!$C$2:$C$703,$A26)</f>
        <v>4</v>
      </c>
      <c r="K26" s="56" t="n">
        <f aca="false">SUMIFS(Detail!$N$2:$N$703,Detail!$C$2:$C$703,$A26)</f>
        <v>262.81</v>
      </c>
      <c r="L26" s="31" t="n">
        <f aca="false">IF(E26&gt;0,J26/E26,0)</f>
        <v>0.0338983050847458</v>
      </c>
      <c r="M26" s="31" t="n">
        <f aca="false">IF(G26&gt;0,K26/G26,0)</f>
        <v>0.0304565645421665</v>
      </c>
      <c r="N26" s="57" t="n">
        <f aca="false">H26/Settings!$B$17</f>
        <v>0.000263431744268729</v>
      </c>
      <c r="O26" s="58" t="n">
        <f aca="false">H26/Settings!$B$15</f>
        <v>3.38359891484703E-005</v>
      </c>
      <c r="P26" s="59" t="n">
        <f aca="false">E26*Settings!$B$3</f>
        <v>7.84623376623377</v>
      </c>
      <c r="Q26" s="59" t="n">
        <f aca="false">IF(E26&gt;0,(J26-P26)/SQRT(E26*Settings!$B$3*(1-Settings!$B$3)),0)</f>
        <v>-1.42117115127475</v>
      </c>
      <c r="R26" s="31" t="n">
        <f aca="false">IF(E26&gt;=Settings!$B$4,(J26+Settings!$B$7*Settings!$B$3)/(E26+Settings!$B$7),Settings!$B$3)</f>
        <v>0.0405054405054405</v>
      </c>
      <c r="S26" s="60" t="n">
        <f aca="false">PERCENTRANK($H$2:$H$95,H26,6)</f>
        <v>0.741935</v>
      </c>
      <c r="T26" s="60" t="n">
        <f aca="false">PERCENTRANK($R$2:$R$95,R26,6)</f>
        <v>0.0215054</v>
      </c>
      <c r="U26" s="60" t="n">
        <f aca="false">PERCENTRANK($F$2:$F$95,F26,6)</f>
        <v>0.784946</v>
      </c>
      <c r="V26" s="61" t="n">
        <f aca="false">IF(F26&gt;0,ROUND((Settings!$B$8*U26+Settings!$B$9*S26+Settings!$B$10*T26)/SUM(Settings!$B$8:$B$10),10),0)</f>
        <v>0.5161288</v>
      </c>
      <c r="W26" s="53" t="n">
        <f aca="false">IF(V26&gt;0,RANK(V26,$V$2:$V$95)+COUNTIF($V$2:V26,V26)-1,"")</f>
        <v>30</v>
      </c>
      <c r="X26" s="53" t="str">
        <f aca="false">IF(W26="","",IF(W26&lt;=Settings!$B$11,"1 - Fix first",IF(W26&lt;=Settings!$B$12,"2 - Review","3 - Monitor")))</f>
        <v>3 - Monitor</v>
      </c>
      <c r="Y26" s="53" t="str">
        <f aca="false">IF(AND(E26&gt;=Settings!$B$4,J26&gt;=Settings!$B$5,Q26&gt;=Settings!$B$6),"HIGH RATE","")</f>
        <v/>
      </c>
      <c r="Z26" s="53" t="n">
        <f aca="false">IF(F26&gt;0,RANK(F26,$F$2:$F$95)+COUNTIF($F$2:F26,F26)-1,"")</f>
        <v>21</v>
      </c>
      <c r="AA26" s="53" t="n">
        <f aca="false">IF(H26&gt;0,RANK(H26,$H$2:$H$95)+COUNTIF($H$2:H26,H26)-1,"")</f>
        <v>25</v>
      </c>
      <c r="AB26" s="53" t="n">
        <f aca="false">IF(AD26="","",RANK(AD26,$AD$2:$AD$95)+COUNTIF($AD$2:AD26,AD26)-1)</f>
        <v>30</v>
      </c>
      <c r="AC26" s="53" t="n">
        <f aca="false">IF(AE26="","",RANK(AE26,$AE$2:$AE$95)+COUNTIF($AE$2:AE26,AE26)-1)</f>
        <v>28</v>
      </c>
      <c r="AD26" s="53" t="n">
        <f aca="false">IF(AND(J26&gt;0,E26&gt;=Settings!$B$4),ROUND(L26,10),"")</f>
        <v>0.0338983051</v>
      </c>
      <c r="AE26" s="53" t="n">
        <f aca="false">IF(AND(J26&gt;=Settings!$B$5,E26&gt;=Settings!$B$4),ROUND(Q26,10),"")</f>
        <v>-1.4211711513</v>
      </c>
      <c r="AF26" s="62" t="n">
        <f aca="false">L26/Settings!$B$14</f>
        <v>0.45249208496533</v>
      </c>
    </row>
    <row r="27" customFormat="false" ht="15" hidden="false" customHeight="false" outlineLevel="0" collapsed="false">
      <c r="A27" s="53" t="s">
        <v>386</v>
      </c>
      <c r="B27" s="53" t="s">
        <v>426</v>
      </c>
      <c r="C27" s="53" t="s">
        <v>54</v>
      </c>
      <c r="D27" s="53" t="s">
        <v>97</v>
      </c>
      <c r="E27" s="55" t="n">
        <f aca="false">SUMIFS(Detail!$K$2:$K$703,Detail!$C$2:$C$703,$A27)</f>
        <v>51</v>
      </c>
      <c r="F27" s="55" t="n">
        <f aca="false">SUMIFS(Detail!$F$2:$F$703,Detail!$C$2:$C$703,$A27)</f>
        <v>6</v>
      </c>
      <c r="G27" s="56" t="n">
        <f aca="false">SUMIFS(Detail!$M$2:$M$703,Detail!$C$2:$C$703,$A27)</f>
        <v>3890.27</v>
      </c>
      <c r="H27" s="56" t="n">
        <f aca="false">SUMIFS(Detail!$E$2:$E$703,Detail!$C$2:$C$703,$A27)</f>
        <v>429.28</v>
      </c>
      <c r="I27" s="56" t="n">
        <f aca="false">SUMIFS(Detail!$H$2:$H$703,Detail!$C$2:$C$703,$A27)</f>
        <v>6482.3</v>
      </c>
      <c r="J27" s="55" t="n">
        <f aca="false">SUMIFS(Detail!$L$2:$L$703,Detail!$C$2:$C$703,$A27)</f>
        <v>3</v>
      </c>
      <c r="K27" s="56" t="n">
        <f aca="false">SUMIFS(Detail!$N$2:$N$703,Detail!$C$2:$C$703,$A27)</f>
        <v>201.25</v>
      </c>
      <c r="L27" s="31" t="n">
        <f aca="false">IF(E27&gt;0,J27/E27,0)</f>
        <v>0.0588235294117647</v>
      </c>
      <c r="M27" s="31" t="n">
        <f aca="false">IF(G27&gt;0,K27/G27,0)</f>
        <v>0.0517316278818694</v>
      </c>
      <c r="N27" s="57" t="n">
        <f aca="false">H27/Settings!$B$17</f>
        <v>0.000259460775908408</v>
      </c>
      <c r="O27" s="58" t="n">
        <f aca="false">H27/Settings!$B$15</f>
        <v>3.33259456731796E-005</v>
      </c>
      <c r="P27" s="59" t="n">
        <f aca="false">E27*Settings!$B$3</f>
        <v>3.39116883116883</v>
      </c>
      <c r="Q27" s="59" t="n">
        <f aca="false">IF(E27&gt;0,(J27-P27)/SQRT(E27*Settings!$B$3*(1-Settings!$B$3)),0)</f>
        <v>-0.219852224770462</v>
      </c>
      <c r="R27" s="31" t="n">
        <f aca="false">IF(E27&gt;=Settings!$B$4,(J27+Settings!$B$7*Settings!$B$3)/(E27+Settings!$B$7),Settings!$B$3)</f>
        <v>0.0616642616642617</v>
      </c>
      <c r="S27" s="60" t="n">
        <f aca="false">PERCENTRANK($H$2:$H$95,H27,6)</f>
        <v>0.731183</v>
      </c>
      <c r="T27" s="60" t="n">
        <f aca="false">PERCENTRANK($R$2:$R$95,R27,6)</f>
        <v>0.107527</v>
      </c>
      <c r="U27" s="60" t="n">
        <f aca="false">PERCENTRANK($F$2:$F$95,F27,6)</f>
        <v>0.752688</v>
      </c>
      <c r="V27" s="61" t="n">
        <f aca="false">IF(F27&gt;0,ROUND((Settings!$B$8*U27+Settings!$B$9*S27+Settings!$B$10*T27)/SUM(Settings!$B$8:$B$10),10),0)</f>
        <v>0.530466</v>
      </c>
      <c r="W27" s="53" t="n">
        <f aca="false">IF(V27&gt;0,RANK(V27,$V$2:$V$95)+COUNTIF($V$2:V27,V27)-1,"")</f>
        <v>29</v>
      </c>
      <c r="X27" s="53" t="str">
        <f aca="false">IF(W27="","",IF(W27&lt;=Settings!$B$11,"1 - Fix first",IF(W27&lt;=Settings!$B$12,"2 - Review","3 - Monitor")))</f>
        <v>3 - Monitor</v>
      </c>
      <c r="Y27" s="53" t="str">
        <f aca="false">IF(AND(E27&gt;=Settings!$B$4,J27&gt;=Settings!$B$5,Q27&gt;=Settings!$B$6),"HIGH RATE","")</f>
        <v/>
      </c>
      <c r="Z27" s="53" t="n">
        <f aca="false">IF(F27&gt;0,RANK(F27,$F$2:$F$95)+COUNTIF($F$2:F27,F27)-1,"")</f>
        <v>24</v>
      </c>
      <c r="AA27" s="53" t="n">
        <f aca="false">IF(H27&gt;0,RANK(H27,$H$2:$H$95)+COUNTIF($H$2:H27,H27)-1,"")</f>
        <v>26</v>
      </c>
      <c r="AB27" s="53" t="n">
        <f aca="false">IF(AD27="","",RANK(AD27,$AD$2:$AD$95)+COUNTIF($AD$2:AD27,AD27)-1)</f>
        <v>23</v>
      </c>
      <c r="AC27" s="53" t="n">
        <f aca="false">IF(AE27="","",RANK(AE27,$AE$2:$AE$95)+COUNTIF($AE$2:AE27,AE27)-1)</f>
        <v>21</v>
      </c>
      <c r="AD27" s="53" t="n">
        <f aca="false">IF(AND(J27&gt;0,E27&gt;=Settings!$B$4),ROUND(L27,10),"")</f>
        <v>0.0588235294</v>
      </c>
      <c r="AE27" s="53" t="n">
        <f aca="false">IF(AND(J27&gt;=Settings!$B$5,E27&gt;=Settings!$B$4),ROUND(Q27,10),"")</f>
        <v>-0.2198522248</v>
      </c>
      <c r="AF27" s="62" t="n">
        <f aca="false">L27/Settings!$B$14</f>
        <v>0.78520685332219</v>
      </c>
    </row>
    <row r="28" customFormat="false" ht="15" hidden="false" customHeight="false" outlineLevel="0" collapsed="false">
      <c r="A28" s="53" t="s">
        <v>145</v>
      </c>
      <c r="B28" s="53" t="s">
        <v>433</v>
      </c>
      <c r="C28" s="53" t="s">
        <v>62</v>
      </c>
      <c r="D28" s="53" t="s">
        <v>93</v>
      </c>
      <c r="E28" s="55" t="n">
        <f aca="false">SUMIFS(Detail!$K$2:$K$703,Detail!$C$2:$C$703,$A28)</f>
        <v>22</v>
      </c>
      <c r="F28" s="55" t="n">
        <f aca="false">SUMIFS(Detail!$F$2:$F$703,Detail!$C$2:$C$703,$A28)</f>
        <v>3</v>
      </c>
      <c r="G28" s="56" t="n">
        <f aca="false">SUMIFS(Detail!$M$2:$M$703,Detail!$C$2:$C$703,$A28)</f>
        <v>3103.48</v>
      </c>
      <c r="H28" s="56" t="n">
        <f aca="false">SUMIFS(Detail!$E$2:$E$703,Detail!$C$2:$C$703,$A28)</f>
        <v>427.37</v>
      </c>
      <c r="I28" s="56" t="n">
        <f aca="false">SUMIFS(Detail!$H$2:$H$703,Detail!$C$2:$C$703,$A28)</f>
        <v>8021.91</v>
      </c>
      <c r="J28" s="55" t="n">
        <f aca="false">SUMIFS(Detail!$L$2:$L$703,Detail!$C$2:$C$703,$A28)</f>
        <v>2</v>
      </c>
      <c r="K28" s="56" t="n">
        <f aca="false">SUMIFS(Detail!$N$2:$N$703,Detail!$C$2:$C$703,$A28)</f>
        <v>277.42</v>
      </c>
      <c r="L28" s="31" t="n">
        <f aca="false">IF(E28&gt;0,J28/E28,0)</f>
        <v>0.0909090909090909</v>
      </c>
      <c r="M28" s="31" t="n">
        <f aca="false">IF(G28&gt;0,K28/G28,0)</f>
        <v>0.0893899751246987</v>
      </c>
      <c r="N28" s="57" t="n">
        <f aca="false">H28/Settings!$B$17</f>
        <v>0.000258306354360735</v>
      </c>
      <c r="O28" s="58" t="n">
        <f aca="false">H28/Settings!$B$15</f>
        <v>3.31776681940616E-005</v>
      </c>
      <c r="P28" s="59" t="n">
        <f aca="false">E28*Settings!$B$3</f>
        <v>1.46285714285714</v>
      </c>
      <c r="Q28" s="59" t="n">
        <f aca="false">IF(E28&gt;0,(J28-P28)/SQRT(E28*Settings!$B$3*(1-Settings!$B$3)),0)</f>
        <v>0.459653080451324</v>
      </c>
      <c r="R28" s="31" t="n">
        <f aca="false">IF(E28&gt;=Settings!$B$4,(J28+Settings!$B$7*Settings!$B$3)/(E28+Settings!$B$7),Settings!$B$3)</f>
        <v>0.0664935064935065</v>
      </c>
      <c r="S28" s="60" t="n">
        <f aca="false">PERCENTRANK($H$2:$H$95,H28,6)</f>
        <v>0.72043</v>
      </c>
      <c r="T28" s="60" t="n">
        <f aca="false">PERCENTRANK($R$2:$R$95,R28,6)</f>
        <v>0.129032</v>
      </c>
      <c r="U28" s="60" t="n">
        <f aca="false">PERCENTRANK($F$2:$F$95,F28,6)</f>
        <v>0.666667</v>
      </c>
      <c r="V28" s="61" t="n">
        <f aca="false">IF(F28&gt;0,ROUND((Settings!$B$8*U28+Settings!$B$9*S28+Settings!$B$10*T28)/SUM(Settings!$B$8:$B$10),10),0)</f>
        <v>0.5053763333</v>
      </c>
      <c r="W28" s="53" t="n">
        <f aca="false">IF(V28&gt;0,RANK(V28,$V$2:$V$95)+COUNTIF($V$2:V28,V28)-1,"")</f>
        <v>31</v>
      </c>
      <c r="X28" s="53" t="str">
        <f aca="false">IF(W28="","",IF(W28&lt;=Settings!$B$11,"1 - Fix first",IF(W28&lt;=Settings!$B$12,"2 - Review","3 - Monitor")))</f>
        <v>3 - Monitor</v>
      </c>
      <c r="Y28" s="53" t="str">
        <f aca="false">IF(AND(E28&gt;=Settings!$B$4,J28&gt;=Settings!$B$5,Q28&gt;=Settings!$B$6),"HIGH RATE","")</f>
        <v/>
      </c>
      <c r="Z28" s="53" t="n">
        <f aca="false">IF(F28&gt;0,RANK(F28,$F$2:$F$95)+COUNTIF($F$2:F28,F28)-1,"")</f>
        <v>30</v>
      </c>
      <c r="AA28" s="53" t="n">
        <f aca="false">IF(H28&gt;0,RANK(H28,$H$2:$H$95)+COUNTIF($H$2:H28,H28)-1,"")</f>
        <v>27</v>
      </c>
      <c r="AB28" s="53" t="str">
        <f aca="false">IF(AD28="","",RANK(AD28,$AD$2:$AD$95)+COUNTIF($AD$2:AD28,AD28)-1)</f>
        <v/>
      </c>
      <c r="AC28" s="53" t="str">
        <f aca="false">IF(AE28="","",RANK(AE28,$AE$2:$AE$95)+COUNTIF($AE$2:AE28,AE28)-1)</f>
        <v/>
      </c>
      <c r="AD28" s="53" t="str">
        <f aca="false">IF(AND(J28&gt;0,E28&gt;=Settings!$B$4),ROUND(L28,10),"")</f>
        <v/>
      </c>
      <c r="AE28" s="53" t="str">
        <f aca="false">IF(AND(J28&gt;=Settings!$B$5,E28&gt;=Settings!$B$4),ROUND(Q28,10),"")</f>
        <v/>
      </c>
      <c r="AF28" s="62" t="n">
        <f aca="false">L28/Settings!$B$14</f>
        <v>1.21350150058884</v>
      </c>
    </row>
    <row r="29" customFormat="false" ht="15" hidden="false" customHeight="false" outlineLevel="0" collapsed="false">
      <c r="A29" s="53" t="s">
        <v>316</v>
      </c>
      <c r="B29" s="53" t="s">
        <v>434</v>
      </c>
      <c r="C29" s="53" t="s">
        <v>62</v>
      </c>
      <c r="D29" s="53" t="s">
        <v>89</v>
      </c>
      <c r="E29" s="55" t="n">
        <f aca="false">SUMIFS(Detail!$K$2:$K$703,Detail!$C$2:$C$703,$A29)</f>
        <v>45</v>
      </c>
      <c r="F29" s="55" t="n">
        <f aca="false">SUMIFS(Detail!$F$2:$F$703,Detail!$C$2:$C$703,$A29)</f>
        <v>4</v>
      </c>
      <c r="G29" s="56" t="n">
        <f aca="false">SUMIFS(Detail!$M$2:$M$703,Detail!$C$2:$C$703,$A29)</f>
        <v>4720.51</v>
      </c>
      <c r="H29" s="56" t="n">
        <f aca="false">SUMIFS(Detail!$E$2:$E$703,Detail!$C$2:$C$703,$A29)</f>
        <v>404.36</v>
      </c>
      <c r="I29" s="56" t="n">
        <f aca="false">SUMIFS(Detail!$H$2:$H$703,Detail!$C$2:$C$703,$A29)</f>
        <v>10245.13</v>
      </c>
      <c r="J29" s="55" t="n">
        <f aca="false">SUMIFS(Detail!$L$2:$L$703,Detail!$C$2:$C$703,$A29)</f>
        <v>4</v>
      </c>
      <c r="K29" s="56" t="n">
        <f aca="false">SUMIFS(Detail!$N$2:$N$703,Detail!$C$2:$C$703,$A29)</f>
        <v>404.36</v>
      </c>
      <c r="L29" s="31" t="n">
        <f aca="false">IF(E29&gt;0,J29/E29,0)</f>
        <v>0.0888888888888889</v>
      </c>
      <c r="M29" s="31" t="n">
        <f aca="false">IF(G29&gt;0,K29/G29,0)</f>
        <v>0.0856602358643452</v>
      </c>
      <c r="N29" s="57" t="n">
        <f aca="false">H29/Settings!$B$17</f>
        <v>0.000244398898961806</v>
      </c>
      <c r="O29" s="58" t="n">
        <f aca="false">H29/Settings!$B$15</f>
        <v>3.13913515477239E-005</v>
      </c>
      <c r="P29" s="59" t="n">
        <f aca="false">E29*Settings!$B$3</f>
        <v>2.99220779220779</v>
      </c>
      <c r="Q29" s="59" t="n">
        <f aca="false">IF(E29&gt;0,(J29-P29)/SQRT(E29*Settings!$B$3*(1-Settings!$B$3)),0)</f>
        <v>0.602998802488762</v>
      </c>
      <c r="R29" s="31" t="n">
        <f aca="false">IF(E29&gt;=Settings!$B$4,(J29+Settings!$B$7*Settings!$B$3)/(E29+Settings!$B$7),Settings!$B$3)</f>
        <v>0.0799307359307359</v>
      </c>
      <c r="S29" s="60" t="n">
        <f aca="false">PERCENTRANK($H$2:$H$95,H29,6)</f>
        <v>0.709677</v>
      </c>
      <c r="T29" s="60" t="n">
        <f aca="false">PERCENTRANK($R$2:$R$95,R29,6)</f>
        <v>0.913978</v>
      </c>
      <c r="U29" s="60" t="n">
        <f aca="false">PERCENTRANK($F$2:$F$95,F29,6)</f>
        <v>0.698925</v>
      </c>
      <c r="V29" s="61" t="n">
        <f aca="false">IF(F29&gt;0,ROUND((Settings!$B$8*U29+Settings!$B$9*S29+Settings!$B$10*T29)/SUM(Settings!$B$8:$B$10),10),0)</f>
        <v>0.7741933333</v>
      </c>
      <c r="W29" s="53" t="n">
        <f aca="false">IF(V29&gt;0,RANK(V29,$V$2:$V$95)+COUNTIF($V$2:V29,V29)-1,"")</f>
        <v>18</v>
      </c>
      <c r="X29" s="53" t="str">
        <f aca="false">IF(W29="","",IF(W29&lt;=Settings!$B$11,"1 - Fix first",IF(W29&lt;=Settings!$B$12,"2 - Review","3 - Monitor")))</f>
        <v>2 - Review</v>
      </c>
      <c r="Y29" s="53" t="str">
        <f aca="false">IF(AND(E29&gt;=Settings!$B$4,J29&gt;=Settings!$B$5,Q29&gt;=Settings!$B$6),"HIGH RATE","")</f>
        <v/>
      </c>
      <c r="Z29" s="53" t="n">
        <f aca="false">IF(F29&gt;0,RANK(F29,$F$2:$F$95)+COUNTIF($F$2:F29,F29)-1,"")</f>
        <v>28</v>
      </c>
      <c r="AA29" s="53" t="n">
        <f aca="false">IF(H29&gt;0,RANK(H29,$H$2:$H$95)+COUNTIF($H$2:H29,H29)-1,"")</f>
        <v>28</v>
      </c>
      <c r="AB29" s="53" t="n">
        <f aca="false">IF(AD29="","",RANK(AD29,$AD$2:$AD$95)+COUNTIF($AD$2:AD29,AD29)-1)</f>
        <v>9</v>
      </c>
      <c r="AC29" s="53" t="n">
        <f aca="false">IF(AE29="","",RANK(AE29,$AE$2:$AE$95)+COUNTIF($AE$2:AE29,AE29)-1)</f>
        <v>9</v>
      </c>
      <c r="AD29" s="53" t="n">
        <f aca="false">IF(AND(J29&gt;0,E29&gt;=Settings!$B$4),ROUND(L29,10),"")</f>
        <v>0.0888888889</v>
      </c>
      <c r="AE29" s="53" t="n">
        <f aca="false">IF(AND(J29&gt;=Settings!$B$5,E29&gt;=Settings!$B$4),ROUND(Q29,10),"")</f>
        <v>0.6029988025</v>
      </c>
      <c r="AF29" s="62" t="n">
        <f aca="false">L29/Settings!$B$14</f>
        <v>1.18653480057575</v>
      </c>
    </row>
    <row r="30" customFormat="false" ht="15" hidden="false" customHeight="false" outlineLevel="0" collapsed="false">
      <c r="A30" s="53" t="s">
        <v>387</v>
      </c>
      <c r="B30" s="53" t="s">
        <v>435</v>
      </c>
      <c r="C30" s="53" t="s">
        <v>58</v>
      </c>
      <c r="D30" s="53" t="s">
        <v>97</v>
      </c>
      <c r="E30" s="55" t="n">
        <f aca="false">SUMIFS(Detail!$K$2:$K$703,Detail!$C$2:$C$703,$A30)</f>
        <v>39</v>
      </c>
      <c r="F30" s="55" t="n">
        <f aca="false">SUMIFS(Detail!$F$2:$F$703,Detail!$C$2:$C$703,$A30)</f>
        <v>5</v>
      </c>
      <c r="G30" s="56" t="n">
        <f aca="false">SUMIFS(Detail!$M$2:$M$703,Detail!$C$2:$C$703,$A30)</f>
        <v>3037.66</v>
      </c>
      <c r="H30" s="56" t="n">
        <f aca="false">SUMIFS(Detail!$E$2:$E$703,Detail!$C$2:$C$703,$A30)</f>
        <v>381.59</v>
      </c>
      <c r="I30" s="56" t="n">
        <f aca="false">SUMIFS(Detail!$H$2:$H$703,Detail!$C$2:$C$703,$A30)</f>
        <v>3199.84</v>
      </c>
      <c r="J30" s="55" t="n">
        <f aca="false">SUMIFS(Detail!$L$2:$L$703,Detail!$C$2:$C$703,$A30)</f>
        <v>5</v>
      </c>
      <c r="K30" s="56" t="n">
        <f aca="false">SUMIFS(Detail!$N$2:$N$703,Detail!$C$2:$C$703,$A30)</f>
        <v>381.59</v>
      </c>
      <c r="L30" s="31" t="n">
        <f aca="false">IF(E30&gt;0,J30/E30,0)</f>
        <v>0.128205128205128</v>
      </c>
      <c r="M30" s="31" t="n">
        <f aca="false">IF(G30&gt;0,K30/G30,0)</f>
        <v>0.125619720442709</v>
      </c>
      <c r="N30" s="57" t="n">
        <f aca="false">H30/Settings!$B$17</f>
        <v>0.00023063650176782</v>
      </c>
      <c r="O30" s="58" t="n">
        <f aca="false">H30/Settings!$B$15</f>
        <v>2.96236666265109E-005</v>
      </c>
      <c r="P30" s="59" t="n">
        <f aca="false">E30*Settings!$B$3</f>
        <v>2.59324675324675</v>
      </c>
      <c r="Q30" s="59" t="n">
        <f aca="false">IF(E30&gt;0,(J30-P30)/SQRT(E30*Settings!$B$3*(1-Settings!$B$3)),0)</f>
        <v>1.54685987198501</v>
      </c>
      <c r="R30" s="31" t="n">
        <f aca="false">IF(E30&gt;=Settings!$B$4,(J30+Settings!$B$7*Settings!$B$3)/(E30+Settings!$B$7),Settings!$B$3)</f>
        <v>0.10137398833051</v>
      </c>
      <c r="S30" s="60" t="n">
        <f aca="false">PERCENTRANK($H$2:$H$95,H30,6)</f>
        <v>0.698925</v>
      </c>
      <c r="T30" s="60" t="n">
        <f aca="false">PERCENTRANK($R$2:$R$95,R30,6)</f>
        <v>0.946237</v>
      </c>
      <c r="U30" s="60" t="n">
        <f aca="false">PERCENTRANK($F$2:$F$95,F30,6)</f>
        <v>0.72043</v>
      </c>
      <c r="V30" s="61" t="n">
        <f aca="false">IF(F30&gt;0,ROUND((Settings!$B$8*U30+Settings!$B$9*S30+Settings!$B$10*T30)/SUM(Settings!$B$8:$B$10),10),0)</f>
        <v>0.7885306667</v>
      </c>
      <c r="W30" s="53" t="n">
        <f aca="false">IF(V30&gt;0,RANK(V30,$V$2:$V$95)+COUNTIF($V$2:V30,V30)-1,"")</f>
        <v>16</v>
      </c>
      <c r="X30" s="53" t="str">
        <f aca="false">IF(W30="","",IF(W30&lt;=Settings!$B$11,"1 - Fix first",IF(W30&lt;=Settings!$B$12,"2 - Review","3 - Monitor")))</f>
        <v>2 - Review</v>
      </c>
      <c r="Y30" s="53" t="str">
        <f aca="false">IF(AND(E30&gt;=Settings!$B$4,J30&gt;=Settings!$B$5,Q30&gt;=Settings!$B$6),"HIGH RATE","")</f>
        <v/>
      </c>
      <c r="Z30" s="53" t="n">
        <f aca="false">IF(F30&gt;0,RANK(F30,$F$2:$F$95)+COUNTIF($F$2:F30,F30)-1,"")</f>
        <v>27</v>
      </c>
      <c r="AA30" s="53" t="n">
        <f aca="false">IF(H30&gt;0,RANK(H30,$H$2:$H$95)+COUNTIF($H$2:H30,H30)-1,"")</f>
        <v>29</v>
      </c>
      <c r="AB30" s="53" t="n">
        <f aca="false">IF(AD30="","",RANK(AD30,$AD$2:$AD$95)+COUNTIF($AD$2:AD30,AD30)-1)</f>
        <v>2</v>
      </c>
      <c r="AC30" s="53" t="n">
        <f aca="false">IF(AE30="","",RANK(AE30,$AE$2:$AE$95)+COUNTIF($AE$2:AE30,AE30)-1)</f>
        <v>6</v>
      </c>
      <c r="AD30" s="53" t="n">
        <f aca="false">IF(AND(J30&gt;0,E30&gt;=Settings!$B$4),ROUND(L30,10),"")</f>
        <v>0.1282051282</v>
      </c>
      <c r="AE30" s="53" t="n">
        <f aca="false">IF(AND(J30&gt;=Settings!$B$5,E30&gt;=Settings!$B$4),ROUND(Q30,10),"")</f>
        <v>1.546859872</v>
      </c>
      <c r="AF30" s="62" t="n">
        <f aca="false">L30/Settings!$B$14</f>
        <v>1.71134827006118</v>
      </c>
    </row>
    <row r="31" customFormat="false" ht="15" hidden="false" customHeight="false" outlineLevel="0" collapsed="false">
      <c r="A31" s="53" t="s">
        <v>166</v>
      </c>
      <c r="B31" s="53" t="s">
        <v>436</v>
      </c>
      <c r="C31" s="53" t="s">
        <v>50</v>
      </c>
      <c r="D31" s="53" t="s">
        <v>89</v>
      </c>
      <c r="E31" s="55" t="n">
        <f aca="false">SUMIFS(Detail!$K$2:$K$703,Detail!$C$2:$C$703,$A31)</f>
        <v>35</v>
      </c>
      <c r="F31" s="55" t="n">
        <f aca="false">SUMIFS(Detail!$F$2:$F$703,Detail!$C$2:$C$703,$A31)</f>
        <v>3</v>
      </c>
      <c r="G31" s="56" t="n">
        <f aca="false">SUMIFS(Detail!$M$2:$M$703,Detail!$C$2:$C$703,$A31)</f>
        <v>5243.79</v>
      </c>
      <c r="H31" s="56" t="n">
        <f aca="false">SUMIFS(Detail!$E$2:$E$703,Detail!$C$2:$C$703,$A31)</f>
        <v>374.66</v>
      </c>
      <c r="I31" s="56" t="n">
        <f aca="false">SUMIFS(Detail!$H$2:$H$703,Detail!$C$2:$C$703,$A31)</f>
        <v>11480.942</v>
      </c>
      <c r="J31" s="55" t="n">
        <f aca="false">SUMIFS(Detail!$L$2:$L$703,Detail!$C$2:$C$703,$A31)</f>
        <v>3</v>
      </c>
      <c r="K31" s="56" t="n">
        <f aca="false">SUMIFS(Detail!$N$2:$N$703,Detail!$C$2:$C$703,$A31)</f>
        <v>374.66</v>
      </c>
      <c r="L31" s="31" t="n">
        <f aca="false">IF(E31&gt;0,J31/E31,0)</f>
        <v>0.0857142857142857</v>
      </c>
      <c r="M31" s="31" t="n">
        <f aca="false">IF(G31&gt;0,K31/G31,0)</f>
        <v>0.0714483226826398</v>
      </c>
      <c r="N31" s="57" t="n">
        <f aca="false">H31/Settings!$B$17</f>
        <v>0.000226447946100085</v>
      </c>
      <c r="O31" s="58" t="n">
        <f aca="false">H31/Settings!$B$15</f>
        <v>2.9085675563533E-005</v>
      </c>
      <c r="P31" s="59" t="n">
        <f aca="false">E31*Settings!$B$3</f>
        <v>2.32727272727273</v>
      </c>
      <c r="Q31" s="59" t="n">
        <f aca="false">IF(E31&gt;0,(J31-P31)/SQRT(E31*Settings!$B$3*(1-Settings!$B$3)),0)</f>
        <v>0.45641165159873</v>
      </c>
      <c r="R31" s="31" t="n">
        <f aca="false">IF(E31&gt;=Settings!$B$4,(J31+Settings!$B$7*Settings!$B$3)/(E31+Settings!$B$7),Settings!$B$3)</f>
        <v>0.0768431568431569</v>
      </c>
      <c r="S31" s="60" t="n">
        <f aca="false">PERCENTRANK($H$2:$H$95,H31,6)</f>
        <v>0.688172</v>
      </c>
      <c r="T31" s="60" t="n">
        <f aca="false">PERCENTRANK($R$2:$R$95,R31,6)</f>
        <v>0.88172</v>
      </c>
      <c r="U31" s="60" t="n">
        <f aca="false">PERCENTRANK($F$2:$F$95,F31,6)</f>
        <v>0.666667</v>
      </c>
      <c r="V31" s="61" t="n">
        <f aca="false">IF(F31&gt;0,ROUND((Settings!$B$8*U31+Settings!$B$9*S31+Settings!$B$10*T31)/SUM(Settings!$B$8:$B$10),10),0)</f>
        <v>0.7455196667</v>
      </c>
      <c r="W31" s="53" t="n">
        <f aca="false">IF(V31&gt;0,RANK(V31,$V$2:$V$95)+COUNTIF($V$2:V31,V31)-1,"")</f>
        <v>19</v>
      </c>
      <c r="X31" s="53" t="str">
        <f aca="false">IF(W31="","",IF(W31&lt;=Settings!$B$11,"1 - Fix first",IF(W31&lt;=Settings!$B$12,"2 - Review","3 - Monitor")))</f>
        <v>2 - Review</v>
      </c>
      <c r="Y31" s="53" t="str">
        <f aca="false">IF(AND(E31&gt;=Settings!$B$4,J31&gt;=Settings!$B$5,Q31&gt;=Settings!$B$6),"HIGH RATE","")</f>
        <v/>
      </c>
      <c r="Z31" s="53" t="n">
        <f aca="false">IF(F31&gt;0,RANK(F31,$F$2:$F$95)+COUNTIF($F$2:F31,F31)-1,"")</f>
        <v>31</v>
      </c>
      <c r="AA31" s="53" t="n">
        <f aca="false">IF(H31&gt;0,RANK(H31,$H$2:$H$95)+COUNTIF($H$2:H31,H31)-1,"")</f>
        <v>30</v>
      </c>
      <c r="AB31" s="53" t="n">
        <f aca="false">IF(AD31="","",RANK(AD31,$AD$2:$AD$95)+COUNTIF($AD$2:AD31,AD31)-1)</f>
        <v>11</v>
      </c>
      <c r="AC31" s="53" t="n">
        <f aca="false">IF(AE31="","",RANK(AE31,$AE$2:$AE$95)+COUNTIF($AE$2:AE31,AE31)-1)</f>
        <v>12</v>
      </c>
      <c r="AD31" s="53" t="n">
        <f aca="false">IF(AND(J31&gt;0,E31&gt;=Settings!$B$4),ROUND(L31,10),"")</f>
        <v>0.0857142857</v>
      </c>
      <c r="AE31" s="53" t="n">
        <f aca="false">IF(AND(J31&gt;=Settings!$B$5,E31&gt;=Settings!$B$4),ROUND(Q31,10),"")</f>
        <v>0.4564116516</v>
      </c>
      <c r="AF31" s="62" t="n">
        <f aca="false">L31/Settings!$B$14</f>
        <v>1.14415855769805</v>
      </c>
    </row>
    <row r="32" customFormat="false" ht="15" hidden="false" customHeight="false" outlineLevel="0" collapsed="false">
      <c r="A32" s="53" t="s">
        <v>338</v>
      </c>
      <c r="B32" s="53" t="s">
        <v>422</v>
      </c>
      <c r="C32" s="53" t="s">
        <v>50</v>
      </c>
      <c r="D32" s="53" t="s">
        <v>97</v>
      </c>
      <c r="E32" s="55" t="n">
        <f aca="false">SUMIFS(Detail!$K$2:$K$703,Detail!$C$2:$C$703,$A32)</f>
        <v>52</v>
      </c>
      <c r="F32" s="55" t="n">
        <f aca="false">SUMIFS(Detail!$F$2:$F$703,Detail!$C$2:$C$703,$A32)</f>
        <v>4</v>
      </c>
      <c r="G32" s="56" t="n">
        <f aca="false">SUMIFS(Detail!$M$2:$M$703,Detail!$C$2:$C$703,$A32)</f>
        <v>4085.58</v>
      </c>
      <c r="H32" s="56" t="n">
        <f aca="false">SUMIFS(Detail!$E$2:$E$703,Detail!$C$2:$C$703,$A32)</f>
        <v>286.74</v>
      </c>
      <c r="I32" s="56" t="n">
        <f aca="false">SUMIFS(Detail!$H$2:$H$703,Detail!$C$2:$C$703,$A32)</f>
        <v>8384.06</v>
      </c>
      <c r="J32" s="55" t="n">
        <f aca="false">SUMIFS(Detail!$L$2:$L$703,Detail!$C$2:$C$703,$A32)</f>
        <v>1</v>
      </c>
      <c r="K32" s="56" t="n">
        <f aca="false">SUMIFS(Detail!$N$2:$N$703,Detail!$C$2:$C$703,$A32)</f>
        <v>62.51</v>
      </c>
      <c r="L32" s="31" t="n">
        <f aca="false">IF(E32&gt;0,J32/E32,0)</f>
        <v>0.0192307692307692</v>
      </c>
      <c r="M32" s="31" t="n">
        <f aca="false">IF(G32&gt;0,K32/G32,0)</f>
        <v>0.0153001532218192</v>
      </c>
      <c r="N32" s="57" t="n">
        <f aca="false">H32/Settings!$B$17</f>
        <v>0.000173308290355891</v>
      </c>
      <c r="O32" s="58" t="n">
        <f aca="false">H32/Settings!$B$15</f>
        <v>2.22602535928241E-005</v>
      </c>
      <c r="P32" s="59" t="n">
        <f aca="false">E32*Settings!$B$3</f>
        <v>3.45766233766234</v>
      </c>
      <c r="Q32" s="59" t="n">
        <f aca="false">IF(E32&gt;0,(J32-P32)/SQRT(E32*Settings!$B$3*(1-Settings!$B$3)),0)</f>
        <v>-1.36795639130174</v>
      </c>
      <c r="R32" s="31" t="n">
        <f aca="false">IF(E32&gt;=Settings!$B$4,(J32+Settings!$B$7*Settings!$B$3)/(E32+Settings!$B$7),Settings!$B$3)</f>
        <v>0.0365220145707951</v>
      </c>
      <c r="S32" s="60" t="n">
        <f aca="false">PERCENTRANK($H$2:$H$95,H32,6)</f>
        <v>0.677419</v>
      </c>
      <c r="T32" s="60" t="n">
        <f aca="false">PERCENTRANK($R$2:$R$95,R32,6)</f>
        <v>0</v>
      </c>
      <c r="U32" s="60" t="n">
        <f aca="false">PERCENTRANK($F$2:$F$95,F32,6)</f>
        <v>0.698925</v>
      </c>
      <c r="V32" s="61" t="n">
        <f aca="false">IF(F32&gt;0,ROUND((Settings!$B$8*U32+Settings!$B$9*S32+Settings!$B$10*T32)/SUM(Settings!$B$8:$B$10),10),0)</f>
        <v>0.4587813333</v>
      </c>
      <c r="W32" s="53" t="n">
        <f aca="false">IF(V32&gt;0,RANK(V32,$V$2:$V$95)+COUNTIF($V$2:V32,V32)-1,"")</f>
        <v>33</v>
      </c>
      <c r="X32" s="53" t="str">
        <f aca="false">IF(W32="","",IF(W32&lt;=Settings!$B$11,"1 - Fix first",IF(W32&lt;=Settings!$B$12,"2 - Review","3 - Monitor")))</f>
        <v>3 - Monitor</v>
      </c>
      <c r="Y32" s="53" t="str">
        <f aca="false">IF(AND(E32&gt;=Settings!$B$4,J32&gt;=Settings!$B$5,Q32&gt;=Settings!$B$6),"HIGH RATE","")</f>
        <v/>
      </c>
      <c r="Z32" s="53" t="n">
        <f aca="false">IF(F32&gt;0,RANK(F32,$F$2:$F$95)+COUNTIF($F$2:F32,F32)-1,"")</f>
        <v>29</v>
      </c>
      <c r="AA32" s="53" t="n">
        <f aca="false">IF(H32&gt;0,RANK(H32,$H$2:$H$95)+COUNTIF($H$2:H32,H32)-1,"")</f>
        <v>31</v>
      </c>
      <c r="AB32" s="53" t="n">
        <f aca="false">IF(AD32="","",RANK(AD32,$AD$2:$AD$95)+COUNTIF($AD$2:AD32,AD32)-1)</f>
        <v>32</v>
      </c>
      <c r="AC32" s="53" t="str">
        <f aca="false">IF(AE32="","",RANK(AE32,$AE$2:$AE$95)+COUNTIF($AE$2:AE32,AE32)-1)</f>
        <v/>
      </c>
      <c r="AD32" s="53" t="n">
        <f aca="false">IF(AND(J32&gt;0,E32&gt;=Settings!$B$4),ROUND(L32,10),"")</f>
        <v>0.0192307692</v>
      </c>
      <c r="AE32" s="53" t="str">
        <f aca="false">IF(AND(J32&gt;=Settings!$B$5,E32&gt;=Settings!$B$4),ROUND(Q32,10),"")</f>
        <v/>
      </c>
      <c r="AF32" s="62" t="n">
        <f aca="false">L32/Settings!$B$14</f>
        <v>0.256702240509177</v>
      </c>
    </row>
    <row r="33" customFormat="false" ht="15" hidden="false" customHeight="false" outlineLevel="0" collapsed="false">
      <c r="A33" s="53" t="s">
        <v>345</v>
      </c>
      <c r="B33" s="53" t="s">
        <v>437</v>
      </c>
      <c r="C33" s="53" t="s">
        <v>46</v>
      </c>
      <c r="D33" s="53" t="s">
        <v>97</v>
      </c>
      <c r="E33" s="55" t="n">
        <f aca="false">SUMIFS(Detail!$K$2:$K$703,Detail!$C$2:$C$703,$A33)</f>
        <v>0</v>
      </c>
      <c r="F33" s="55" t="n">
        <f aca="false">SUMIFS(Detail!$F$2:$F$703,Detail!$C$2:$C$703,$A33)</f>
        <v>2</v>
      </c>
      <c r="G33" s="56" t="n">
        <f aca="false">SUMIFS(Detail!$M$2:$M$703,Detail!$C$2:$C$703,$A33)</f>
        <v>0</v>
      </c>
      <c r="H33" s="56" t="n">
        <f aca="false">SUMIFS(Detail!$E$2:$E$703,Detail!$C$2:$C$703,$A33)</f>
        <v>269.9</v>
      </c>
      <c r="I33" s="56" t="n">
        <f aca="false">SUMIFS(Detail!$H$2:$H$703,Detail!$C$2:$C$703,$A33)</f>
        <v>1214.55</v>
      </c>
      <c r="J33" s="55" t="n">
        <f aca="false">SUMIFS(Detail!$L$2:$L$703,Detail!$C$2:$C$703,$A33)</f>
        <v>0</v>
      </c>
      <c r="K33" s="56" t="n">
        <f aca="false">SUMIFS(Detail!$N$2:$N$703,Detail!$C$2:$C$703,$A33)</f>
        <v>0</v>
      </c>
      <c r="L33" s="31" t="n">
        <f aca="false">IF(E33&gt;0,J33/E33,0)</f>
        <v>0</v>
      </c>
      <c r="M33" s="31" t="n">
        <f aca="false">IF(G33&gt;0,K33/G33,0)</f>
        <v>0</v>
      </c>
      <c r="N33" s="57" t="n">
        <f aca="false">H33/Settings!$B$17</f>
        <v>0.000163130039642377</v>
      </c>
      <c r="O33" s="58" t="n">
        <f aca="false">H33/Settings!$B$15</f>
        <v>2.09529275465691E-005</v>
      </c>
      <c r="P33" s="59" t="n">
        <f aca="false">E33*Settings!$B$3</f>
        <v>0</v>
      </c>
      <c r="Q33" s="59" t="n">
        <f aca="false">IF(E33&gt;0,(J33-P33)/SQRT(E33*Settings!$B$3*(1-Settings!$B$3)),0)</f>
        <v>0</v>
      </c>
      <c r="R33" s="31" t="n">
        <f aca="false">IF(E33&gt;=Settings!$B$4,(J33+Settings!$B$7*Settings!$B$3)/(E33+Settings!$B$7),Settings!$B$3)</f>
        <v>0.0664935064935065</v>
      </c>
      <c r="S33" s="60" t="n">
        <f aca="false">PERCENTRANK($H$2:$H$95,H33,6)</f>
        <v>0.666667</v>
      </c>
      <c r="T33" s="60" t="n">
        <f aca="false">PERCENTRANK($R$2:$R$95,R33,6)</f>
        <v>0.129032</v>
      </c>
      <c r="U33" s="60" t="n">
        <f aca="false">PERCENTRANK($F$2:$F$95,F33,6)</f>
        <v>0.591398</v>
      </c>
      <c r="V33" s="61" t="n">
        <f aca="false">IF(F33&gt;0,ROUND((Settings!$B$8*U33+Settings!$B$9*S33+Settings!$B$10*T33)/SUM(Settings!$B$8:$B$10),10),0)</f>
        <v>0.4623656667</v>
      </c>
      <c r="W33" s="53" t="n">
        <f aca="false">IF(V33&gt;0,RANK(V33,$V$2:$V$95)+COUNTIF($V$2:V33,V33)-1,"")</f>
        <v>32</v>
      </c>
      <c r="X33" s="53" t="str">
        <f aca="false">IF(W33="","",IF(W33&lt;=Settings!$B$11,"1 - Fix first",IF(W33&lt;=Settings!$B$12,"2 - Review","3 - Monitor")))</f>
        <v>3 - Monitor</v>
      </c>
      <c r="Y33" s="53" t="str">
        <f aca="false">IF(AND(E33&gt;=Settings!$B$4,J33&gt;=Settings!$B$5,Q33&gt;=Settings!$B$6),"HIGH RATE","")</f>
        <v/>
      </c>
      <c r="Z33" s="53" t="n">
        <f aca="false">IF(F33&gt;0,RANK(F33,$F$2:$F$95)+COUNTIF($F$2:F33,F33)-1,"")</f>
        <v>33</v>
      </c>
      <c r="AA33" s="53" t="n">
        <f aca="false">IF(H33&gt;0,RANK(H33,$H$2:$H$95)+COUNTIF($H$2:H33,H33)-1,"")</f>
        <v>32</v>
      </c>
      <c r="AB33" s="53" t="str">
        <f aca="false">IF(AD33="","",RANK(AD33,$AD$2:$AD$95)+COUNTIF($AD$2:AD33,AD33)-1)</f>
        <v/>
      </c>
      <c r="AC33" s="53" t="str">
        <f aca="false">IF(AE33="","",RANK(AE33,$AE$2:$AE$95)+COUNTIF($AE$2:AE33,AE33)-1)</f>
        <v/>
      </c>
      <c r="AD33" s="53" t="str">
        <f aca="false">IF(AND(J33&gt;0,E33&gt;=Settings!$B$4),ROUND(L33,10),"")</f>
        <v/>
      </c>
      <c r="AE33" s="53" t="str">
        <f aca="false">IF(AND(J33&gt;=Settings!$B$5,E33&gt;=Settings!$B$4),ROUND(Q33,10),"")</f>
        <v/>
      </c>
      <c r="AF33" s="62" t="n">
        <f aca="false">L33/Settings!$B$14</f>
        <v>0</v>
      </c>
    </row>
    <row r="34" customFormat="false" ht="15" hidden="false" customHeight="false" outlineLevel="0" collapsed="false">
      <c r="A34" s="53" t="s">
        <v>392</v>
      </c>
      <c r="B34" s="53" t="s">
        <v>438</v>
      </c>
      <c r="C34" s="53" t="s">
        <v>54</v>
      </c>
      <c r="D34" s="53" t="s">
        <v>100</v>
      </c>
      <c r="E34" s="55" t="n">
        <f aca="false">SUMIFS(Detail!$K$2:$K$703,Detail!$C$2:$C$703,$A34)</f>
        <v>33</v>
      </c>
      <c r="F34" s="55" t="n">
        <f aca="false">SUMIFS(Detail!$F$2:$F$703,Detail!$C$2:$C$703,$A34)</f>
        <v>3</v>
      </c>
      <c r="G34" s="56" t="n">
        <f aca="false">SUMIFS(Detail!$M$2:$M$703,Detail!$C$2:$C$703,$A34)</f>
        <v>3280.15</v>
      </c>
      <c r="H34" s="56" t="n">
        <f aca="false">SUMIFS(Detail!$E$2:$E$703,Detail!$C$2:$C$703,$A34)</f>
        <v>259.88</v>
      </c>
      <c r="I34" s="56" t="n">
        <f aca="false">SUMIFS(Detail!$H$2:$H$703,Detail!$C$2:$C$703,$A34)</f>
        <v>4520.46</v>
      </c>
      <c r="J34" s="55" t="n">
        <f aca="false">SUMIFS(Detail!$L$2:$L$703,Detail!$C$2:$C$703,$A34)</f>
        <v>3</v>
      </c>
      <c r="K34" s="56" t="n">
        <f aca="false">SUMIFS(Detail!$N$2:$N$703,Detail!$C$2:$C$703,$A34)</f>
        <v>259.88</v>
      </c>
      <c r="L34" s="31" t="n">
        <f aca="false">IF(E34&gt;0,J34/E34,0)</f>
        <v>0.0909090909090909</v>
      </c>
      <c r="M34" s="31" t="n">
        <f aca="false">IF(G34&gt;0,K34/G34,0)</f>
        <v>0.0792280840815207</v>
      </c>
      <c r="N34" s="57" t="n">
        <f aca="false">H34/Settings!$B$17</f>
        <v>0.000157073859585998</v>
      </c>
      <c r="O34" s="58" t="n">
        <f aca="false">H34/Settings!$B$15</f>
        <v>2.01750530226097E-005</v>
      </c>
      <c r="P34" s="59" t="n">
        <f aca="false">E34*Settings!$B$3</f>
        <v>2.19428571428571</v>
      </c>
      <c r="Q34" s="59" t="n">
        <f aca="false">IF(E34&gt;0,(J34-P34)/SQRT(E34*Settings!$B$3*(1-Settings!$B$3)),0)</f>
        <v>0.562957752902105</v>
      </c>
      <c r="R34" s="31" t="n">
        <f aca="false">IF(E34&gt;=Settings!$B$4,(J34+Settings!$B$7*Settings!$B$3)/(E34+Settings!$B$7),Settings!$B$3)</f>
        <v>0.079282622139765</v>
      </c>
      <c r="S34" s="60" t="n">
        <f aca="false">PERCENTRANK($H$2:$H$95,H34,6)</f>
        <v>0.655914</v>
      </c>
      <c r="T34" s="60" t="n">
        <f aca="false">PERCENTRANK($R$2:$R$95,R34,6)</f>
        <v>0.903226</v>
      </c>
      <c r="U34" s="60" t="n">
        <f aca="false">PERCENTRANK($F$2:$F$95,F34,6)</f>
        <v>0.666667</v>
      </c>
      <c r="V34" s="61" t="n">
        <f aca="false">IF(F34&gt;0,ROUND((Settings!$B$8*U34+Settings!$B$9*S34+Settings!$B$10*T34)/SUM(Settings!$B$8:$B$10),10),0)</f>
        <v>0.7419356667</v>
      </c>
      <c r="W34" s="53" t="n">
        <f aca="false">IF(V34&gt;0,RANK(V34,$V$2:$V$95)+COUNTIF($V$2:V34,V34)-1,"")</f>
        <v>20</v>
      </c>
      <c r="X34" s="53" t="str">
        <f aca="false">IF(W34="","",IF(W34&lt;=Settings!$B$11,"1 - Fix first",IF(W34&lt;=Settings!$B$12,"2 - Review","3 - Monitor")))</f>
        <v>2 - Review</v>
      </c>
      <c r="Y34" s="53" t="str">
        <f aca="false">IF(AND(E34&gt;=Settings!$B$4,J34&gt;=Settings!$B$5,Q34&gt;=Settings!$B$6),"HIGH RATE","")</f>
        <v/>
      </c>
      <c r="Z34" s="53" t="n">
        <f aca="false">IF(F34&gt;0,RANK(F34,$F$2:$F$95)+COUNTIF($F$2:F34,F34)-1,"")</f>
        <v>32</v>
      </c>
      <c r="AA34" s="53" t="n">
        <f aca="false">IF(H34&gt;0,RANK(H34,$H$2:$H$95)+COUNTIF($H$2:H34,H34)-1,"")</f>
        <v>33</v>
      </c>
      <c r="AB34" s="53" t="n">
        <f aca="false">IF(AD34="","",RANK(AD34,$AD$2:$AD$95)+COUNTIF($AD$2:AD34,AD34)-1)</f>
        <v>8</v>
      </c>
      <c r="AC34" s="53" t="n">
        <f aca="false">IF(AE34="","",RANK(AE34,$AE$2:$AE$95)+COUNTIF($AE$2:AE34,AE34)-1)</f>
        <v>10</v>
      </c>
      <c r="AD34" s="53" t="n">
        <f aca="false">IF(AND(J34&gt;0,E34&gt;=Settings!$B$4),ROUND(L34,10),"")</f>
        <v>0.0909090909</v>
      </c>
      <c r="AE34" s="53" t="n">
        <f aca="false">IF(AND(J34&gt;=Settings!$B$5,E34&gt;=Settings!$B$4),ROUND(Q34,10),"")</f>
        <v>0.5629577529</v>
      </c>
      <c r="AF34" s="62" t="n">
        <f aca="false">L34/Settings!$B$14</f>
        <v>1.21350150058884</v>
      </c>
    </row>
    <row r="35" customFormat="false" ht="15" hidden="false" customHeight="false" outlineLevel="0" collapsed="false">
      <c r="A35" s="53" t="s">
        <v>163</v>
      </c>
      <c r="B35" s="53" t="s">
        <v>431</v>
      </c>
      <c r="C35" s="53" t="s">
        <v>50</v>
      </c>
      <c r="D35" s="53" t="s">
        <v>89</v>
      </c>
      <c r="E35" s="55" t="n">
        <f aca="false">SUMIFS(Detail!$K$2:$K$703,Detail!$C$2:$C$703,$A35)</f>
        <v>46</v>
      </c>
      <c r="F35" s="55" t="n">
        <f aca="false">SUMIFS(Detail!$F$2:$F$703,Detail!$C$2:$C$703,$A35)</f>
        <v>2</v>
      </c>
      <c r="G35" s="56" t="n">
        <f aca="false">SUMIFS(Detail!$M$2:$M$703,Detail!$C$2:$C$703,$A35)</f>
        <v>6093.28</v>
      </c>
      <c r="H35" s="56" t="n">
        <f aca="false">SUMIFS(Detail!$E$2:$E$703,Detail!$C$2:$C$703,$A35)</f>
        <v>251.51</v>
      </c>
      <c r="I35" s="56" t="n">
        <f aca="false">SUMIFS(Detail!$H$2:$H$703,Detail!$C$2:$C$703,$A35)</f>
        <v>8761.564</v>
      </c>
      <c r="J35" s="55" t="n">
        <f aca="false">SUMIFS(Detail!$L$2:$L$703,Detail!$C$2:$C$703,$A35)</f>
        <v>2</v>
      </c>
      <c r="K35" s="56" t="n">
        <f aca="false">SUMIFS(Detail!$N$2:$N$703,Detail!$C$2:$C$703,$A35)</f>
        <v>251.51</v>
      </c>
      <c r="L35" s="31" t="n">
        <f aca="false">IF(E35&gt;0,J35/E35,0)</f>
        <v>0.0434782608695652</v>
      </c>
      <c r="M35" s="31" t="n">
        <f aca="false">IF(G35&gt;0,K35/G35,0)</f>
        <v>0.0412766194890108</v>
      </c>
      <c r="N35" s="57" t="n">
        <f aca="false">H35/Settings!$B$17</f>
        <v>0.000152014954688604</v>
      </c>
      <c r="O35" s="58" t="n">
        <f aca="false">H35/Settings!$B$15</f>
        <v>1.95252716088832E-005</v>
      </c>
      <c r="P35" s="59" t="n">
        <f aca="false">E35*Settings!$B$3</f>
        <v>3.0587012987013</v>
      </c>
      <c r="Q35" s="59" t="n">
        <f aca="false">IF(E35&gt;0,(J35-P35)/SQRT(E35*Settings!$B$3*(1-Settings!$B$3)),0)</f>
        <v>-0.626536303489381</v>
      </c>
      <c r="R35" s="31" t="n">
        <f aca="false">IF(E35&gt;=Settings!$B$4,(J35+Settings!$B$7*Settings!$B$3)/(E35+Settings!$B$7),Settings!$B$3)</f>
        <v>0.0525632262474368</v>
      </c>
      <c r="S35" s="60" t="n">
        <f aca="false">PERCENTRANK($H$2:$H$95,H35,6)</f>
        <v>0.645161</v>
      </c>
      <c r="T35" s="60" t="n">
        <f aca="false">PERCENTRANK($R$2:$R$95,R35,6)</f>
        <v>0.0537634</v>
      </c>
      <c r="U35" s="60" t="n">
        <f aca="false">PERCENTRANK($F$2:$F$95,F35,6)</f>
        <v>0.591398</v>
      </c>
      <c r="V35" s="61" t="n">
        <f aca="false">IF(F35&gt;0,ROUND((Settings!$B$8*U35+Settings!$B$9*S35+Settings!$B$10*T35)/SUM(Settings!$B$8:$B$10),10),0)</f>
        <v>0.4301074667</v>
      </c>
      <c r="W35" s="53" t="n">
        <f aca="false">IF(V35&gt;0,RANK(V35,$V$2:$V$95)+COUNTIF($V$2:V35,V35)-1,"")</f>
        <v>38</v>
      </c>
      <c r="X35" s="53" t="str">
        <f aca="false">IF(W35="","",IF(W35&lt;=Settings!$B$11,"1 - Fix first",IF(W35&lt;=Settings!$B$12,"2 - Review","3 - Monitor")))</f>
        <v>3 - Monitor</v>
      </c>
      <c r="Y35" s="53" t="str">
        <f aca="false">IF(AND(E35&gt;=Settings!$B$4,J35&gt;=Settings!$B$5,Q35&gt;=Settings!$B$6),"HIGH RATE","")</f>
        <v/>
      </c>
      <c r="Z35" s="53" t="n">
        <f aca="false">IF(F35&gt;0,RANK(F35,$F$2:$F$95)+COUNTIF($F$2:F35,F35)-1,"")</f>
        <v>34</v>
      </c>
      <c r="AA35" s="53" t="n">
        <f aca="false">IF(H35&gt;0,RANK(H35,$H$2:$H$95)+COUNTIF($H$2:H35,H35)-1,"")</f>
        <v>34</v>
      </c>
      <c r="AB35" s="53" t="n">
        <f aca="false">IF(AD35="","",RANK(AD35,$AD$2:$AD$95)+COUNTIF($AD$2:AD35,AD35)-1)</f>
        <v>29</v>
      </c>
      <c r="AC35" s="53" t="str">
        <f aca="false">IF(AE35="","",RANK(AE35,$AE$2:$AE$95)+COUNTIF($AE$2:AE35,AE35)-1)</f>
        <v/>
      </c>
      <c r="AD35" s="53" t="n">
        <f aca="false">IF(AND(J35&gt;0,E35&gt;=Settings!$B$4),ROUND(L35,10),"")</f>
        <v>0.0434782609</v>
      </c>
      <c r="AE35" s="53" t="str">
        <f aca="false">IF(AND(J35&gt;=Settings!$B$5,E35&gt;=Settings!$B$4),ROUND(Q35,10),"")</f>
        <v/>
      </c>
      <c r="AF35" s="62" t="n">
        <f aca="false">L35/Settings!$B$14</f>
        <v>0.580370282890314</v>
      </c>
    </row>
    <row r="36" customFormat="false" ht="15" hidden="false" customHeight="false" outlineLevel="0" collapsed="false">
      <c r="A36" s="53" t="s">
        <v>144</v>
      </c>
      <c r="B36" s="53" t="s">
        <v>439</v>
      </c>
      <c r="C36" s="53" t="s">
        <v>58</v>
      </c>
      <c r="D36" s="53" t="s">
        <v>89</v>
      </c>
      <c r="E36" s="55" t="n">
        <f aca="false">SUMIFS(Detail!$K$2:$K$703,Detail!$C$2:$C$703,$A36)</f>
        <v>18</v>
      </c>
      <c r="F36" s="55" t="n">
        <f aca="false">SUMIFS(Detail!$F$2:$F$703,Detail!$C$2:$C$703,$A36)</f>
        <v>2</v>
      </c>
      <c r="G36" s="56" t="n">
        <f aca="false">SUMIFS(Detail!$M$2:$M$703,Detail!$C$2:$C$703,$A36)</f>
        <v>2199.07</v>
      </c>
      <c r="H36" s="56" t="n">
        <f aca="false">SUMIFS(Detail!$E$2:$E$703,Detail!$C$2:$C$703,$A36)</f>
        <v>237.19</v>
      </c>
      <c r="I36" s="56" t="n">
        <f aca="false">SUMIFS(Detail!$H$2:$H$703,Detail!$C$2:$C$703,$A36)</f>
        <v>6077.518</v>
      </c>
      <c r="J36" s="55" t="n">
        <f aca="false">SUMIFS(Detail!$L$2:$L$703,Detail!$C$2:$C$703,$A36)</f>
        <v>2</v>
      </c>
      <c r="K36" s="56" t="n">
        <f aca="false">SUMIFS(Detail!$N$2:$N$703,Detail!$C$2:$C$703,$A36)</f>
        <v>237.19</v>
      </c>
      <c r="L36" s="31" t="n">
        <f aca="false">IF(E36&gt;0,J36/E36,0)</f>
        <v>0.111111111111111</v>
      </c>
      <c r="M36" s="31" t="n">
        <f aca="false">IF(G36&gt;0,K36/G36,0)</f>
        <v>0.107859231402366</v>
      </c>
      <c r="N36" s="57" t="n">
        <f aca="false">H36/Settings!$B$17</f>
        <v>0.000143359815126993</v>
      </c>
      <c r="O36" s="58" t="n">
        <f aca="false">H36/Settings!$B$15</f>
        <v>1.84135786764384E-005</v>
      </c>
      <c r="P36" s="59" t="n">
        <f aca="false">E36*Settings!$B$3</f>
        <v>1.19688311688312</v>
      </c>
      <c r="Q36" s="59" t="n">
        <f aca="false">IF(E36&gt;0,(J36-P36)/SQRT(E36*Settings!$B$3*(1-Settings!$B$3)),0)</f>
        <v>0.759791120327267</v>
      </c>
      <c r="R36" s="31" t="n">
        <f aca="false">IF(E36&gt;=Settings!$B$4,(J36+Settings!$B$7*Settings!$B$3)/(E36+Settings!$B$7),Settings!$B$3)</f>
        <v>0.0664935064935065</v>
      </c>
      <c r="S36" s="60" t="n">
        <f aca="false">PERCENTRANK($H$2:$H$95,H36,6)</f>
        <v>0.634409</v>
      </c>
      <c r="T36" s="60" t="n">
        <f aca="false">PERCENTRANK($R$2:$R$95,R36,6)</f>
        <v>0.129032</v>
      </c>
      <c r="U36" s="60" t="n">
        <f aca="false">PERCENTRANK($F$2:$F$95,F36,6)</f>
        <v>0.591398</v>
      </c>
      <c r="V36" s="61" t="n">
        <f aca="false">IF(F36&gt;0,ROUND((Settings!$B$8*U36+Settings!$B$9*S36+Settings!$B$10*T36)/SUM(Settings!$B$8:$B$10),10),0)</f>
        <v>0.451613</v>
      </c>
      <c r="W36" s="53" t="n">
        <f aca="false">IF(V36&gt;0,RANK(V36,$V$2:$V$95)+COUNTIF($V$2:V36,V36)-1,"")</f>
        <v>34</v>
      </c>
      <c r="X36" s="53" t="str">
        <f aca="false">IF(W36="","",IF(W36&lt;=Settings!$B$11,"1 - Fix first",IF(W36&lt;=Settings!$B$12,"2 - Review","3 - Monitor")))</f>
        <v>3 - Monitor</v>
      </c>
      <c r="Y36" s="53" t="str">
        <f aca="false">IF(AND(E36&gt;=Settings!$B$4,J36&gt;=Settings!$B$5,Q36&gt;=Settings!$B$6),"HIGH RATE","")</f>
        <v/>
      </c>
      <c r="Z36" s="53" t="n">
        <f aca="false">IF(F36&gt;0,RANK(F36,$F$2:$F$95)+COUNTIF($F$2:F36,F36)-1,"")</f>
        <v>35</v>
      </c>
      <c r="AA36" s="53" t="n">
        <f aca="false">IF(H36&gt;0,RANK(H36,$H$2:$H$95)+COUNTIF($H$2:H36,H36)-1,"")</f>
        <v>35</v>
      </c>
      <c r="AB36" s="53" t="str">
        <f aca="false">IF(AD36="","",RANK(AD36,$AD$2:$AD$95)+COUNTIF($AD$2:AD36,AD36)-1)</f>
        <v/>
      </c>
      <c r="AC36" s="53" t="str">
        <f aca="false">IF(AE36="","",RANK(AE36,$AE$2:$AE$95)+COUNTIF($AE$2:AE36,AE36)-1)</f>
        <v/>
      </c>
      <c r="AD36" s="53" t="str">
        <f aca="false">IF(AND(J36&gt;0,E36&gt;=Settings!$B$4),ROUND(L36,10),"")</f>
        <v/>
      </c>
      <c r="AE36" s="53" t="str">
        <f aca="false">IF(AND(J36&gt;=Settings!$B$5,E36&gt;=Settings!$B$4),ROUND(Q36,10),"")</f>
        <v/>
      </c>
      <c r="AF36" s="62" t="n">
        <f aca="false">L36/Settings!$B$14</f>
        <v>1.48316850071969</v>
      </c>
    </row>
    <row r="37" customFormat="false" ht="15" hidden="false" customHeight="false" outlineLevel="0" collapsed="false">
      <c r="A37" s="53" t="s">
        <v>146</v>
      </c>
      <c r="B37" s="53" t="s">
        <v>440</v>
      </c>
      <c r="C37" s="53" t="s">
        <v>58</v>
      </c>
      <c r="D37" s="53" t="s">
        <v>97</v>
      </c>
      <c r="E37" s="55" t="n">
        <f aca="false">SUMIFS(Detail!$K$2:$K$703,Detail!$C$2:$C$703,$A37)</f>
        <v>27</v>
      </c>
      <c r="F37" s="55" t="n">
        <f aca="false">SUMIFS(Detail!$F$2:$F$703,Detail!$C$2:$C$703,$A37)</f>
        <v>2</v>
      </c>
      <c r="G37" s="56" t="n">
        <f aca="false">SUMIFS(Detail!$M$2:$M$703,Detail!$C$2:$C$703,$A37)</f>
        <v>3598.71</v>
      </c>
      <c r="H37" s="56" t="n">
        <f aca="false">SUMIFS(Detail!$E$2:$E$703,Detail!$C$2:$C$703,$A37)</f>
        <v>228.1</v>
      </c>
      <c r="I37" s="56" t="n">
        <f aca="false">SUMIFS(Detail!$H$2:$H$703,Detail!$C$2:$C$703,$A37)</f>
        <v>3598.71</v>
      </c>
      <c r="J37" s="55" t="n">
        <f aca="false">SUMIFS(Detail!$L$2:$L$703,Detail!$C$2:$C$703,$A37)</f>
        <v>2</v>
      </c>
      <c r="K37" s="56" t="n">
        <f aca="false">SUMIFS(Detail!$N$2:$N$703,Detail!$C$2:$C$703,$A37)</f>
        <v>228.1</v>
      </c>
      <c r="L37" s="31" t="n">
        <f aca="false">IF(E37&gt;0,J37/E37,0)</f>
        <v>0.0740740740740741</v>
      </c>
      <c r="M37" s="31" t="n">
        <f aca="false">IF(G37&gt;0,K37/G37,0)</f>
        <v>0.0633838236479183</v>
      </c>
      <c r="N37" s="57" t="n">
        <f aca="false">H37/Settings!$B$17</f>
        <v>0.000137865735614769</v>
      </c>
      <c r="O37" s="58" t="n">
        <f aca="false">H37/Settings!$B$15</f>
        <v>1.77079020873376E-005</v>
      </c>
      <c r="P37" s="59" t="n">
        <f aca="false">E37*Settings!$B$3</f>
        <v>1.79532467532468</v>
      </c>
      <c r="Q37" s="59" t="n">
        <f aca="false">IF(E37&gt;0,(J37-P37)/SQRT(E37*Settings!$B$3*(1-Settings!$B$3)),0)</f>
        <v>0.15810125464087</v>
      </c>
      <c r="R37" s="31" t="n">
        <f aca="false">IF(E37&gt;=Settings!$B$4,(J37+Settings!$B$7*Settings!$B$3)/(E37+Settings!$B$7),Settings!$B$3)</f>
        <v>0.0664935064935065</v>
      </c>
      <c r="S37" s="60" t="n">
        <f aca="false">PERCENTRANK($H$2:$H$95,H37,6)</f>
        <v>0.623656</v>
      </c>
      <c r="T37" s="60" t="n">
        <f aca="false">PERCENTRANK($R$2:$R$95,R37,6)</f>
        <v>0.129032</v>
      </c>
      <c r="U37" s="60" t="n">
        <f aca="false">PERCENTRANK($F$2:$F$95,F37,6)</f>
        <v>0.591398</v>
      </c>
      <c r="V37" s="61" t="n">
        <f aca="false">IF(F37&gt;0,ROUND((Settings!$B$8*U37+Settings!$B$9*S37+Settings!$B$10*T37)/SUM(Settings!$B$8:$B$10),10),0)</f>
        <v>0.4480286667</v>
      </c>
      <c r="W37" s="53" t="n">
        <f aca="false">IF(V37&gt;0,RANK(V37,$V$2:$V$95)+COUNTIF($V$2:V37,V37)-1,"")</f>
        <v>35</v>
      </c>
      <c r="X37" s="53" t="str">
        <f aca="false">IF(W37="","",IF(W37&lt;=Settings!$B$11,"1 - Fix first",IF(W37&lt;=Settings!$B$12,"2 - Review","3 - Monitor")))</f>
        <v>3 - Monitor</v>
      </c>
      <c r="Y37" s="53" t="str">
        <f aca="false">IF(AND(E37&gt;=Settings!$B$4,J37&gt;=Settings!$B$5,Q37&gt;=Settings!$B$6),"HIGH RATE","")</f>
        <v/>
      </c>
      <c r="Z37" s="53" t="n">
        <f aca="false">IF(F37&gt;0,RANK(F37,$F$2:$F$95)+COUNTIF($F$2:F37,F37)-1,"")</f>
        <v>36</v>
      </c>
      <c r="AA37" s="53" t="n">
        <f aca="false">IF(H37&gt;0,RANK(H37,$H$2:$H$95)+COUNTIF($H$2:H37,H37)-1,"")</f>
        <v>36</v>
      </c>
      <c r="AB37" s="53" t="str">
        <f aca="false">IF(AD37="","",RANK(AD37,$AD$2:$AD$95)+COUNTIF($AD$2:AD37,AD37)-1)</f>
        <v/>
      </c>
      <c r="AC37" s="53" t="str">
        <f aca="false">IF(AE37="","",RANK(AE37,$AE$2:$AE$95)+COUNTIF($AE$2:AE37,AE37)-1)</f>
        <v/>
      </c>
      <c r="AD37" s="53" t="str">
        <f aca="false">IF(AND(J37&gt;0,E37&gt;=Settings!$B$4),ROUND(L37,10),"")</f>
        <v/>
      </c>
      <c r="AE37" s="53" t="str">
        <f aca="false">IF(AND(J37&gt;=Settings!$B$5,E37&gt;=Settings!$B$4),ROUND(Q37,10),"")</f>
        <v/>
      </c>
      <c r="AF37" s="62" t="n">
        <f aca="false">L37/Settings!$B$14</f>
        <v>0.988779000479794</v>
      </c>
    </row>
    <row r="38" customFormat="false" ht="15" hidden="false" customHeight="false" outlineLevel="0" collapsed="false">
      <c r="A38" s="53" t="s">
        <v>143</v>
      </c>
      <c r="B38" s="53" t="s">
        <v>441</v>
      </c>
      <c r="C38" s="53" t="s">
        <v>54</v>
      </c>
      <c r="D38" s="53" t="s">
        <v>100</v>
      </c>
      <c r="E38" s="55" t="n">
        <f aca="false">SUMIFS(Detail!$K$2:$K$703,Detail!$C$2:$C$703,$A38)</f>
        <v>16</v>
      </c>
      <c r="F38" s="55" t="n">
        <f aca="false">SUMIFS(Detail!$F$2:$F$703,Detail!$C$2:$C$703,$A38)</f>
        <v>2</v>
      </c>
      <c r="G38" s="56" t="n">
        <f aca="false">SUMIFS(Detail!$M$2:$M$703,Detail!$C$2:$C$703,$A38)</f>
        <v>2026.47</v>
      </c>
      <c r="H38" s="56" t="n">
        <f aca="false">SUMIFS(Detail!$E$2:$E$703,Detail!$C$2:$C$703,$A38)</f>
        <v>225.16</v>
      </c>
      <c r="I38" s="56" t="n">
        <f aca="false">SUMIFS(Detail!$H$2:$H$703,Detail!$C$2:$C$703,$A38)</f>
        <v>2808</v>
      </c>
      <c r="J38" s="55" t="n">
        <f aca="false">SUMIFS(Detail!$L$2:$L$703,Detail!$C$2:$C$703,$A38)</f>
        <v>2</v>
      </c>
      <c r="K38" s="56" t="n">
        <f aca="false">SUMIFS(Detail!$N$2:$N$703,Detail!$C$2:$C$703,$A38)</f>
        <v>225.16</v>
      </c>
      <c r="L38" s="31" t="n">
        <f aca="false">IF(E38&gt;0,J38/E38,0)</f>
        <v>0.125</v>
      </c>
      <c r="M38" s="31" t="n">
        <f aca="false">IF(G38&gt;0,K38/G38,0)</f>
        <v>0.111109466214649</v>
      </c>
      <c r="N38" s="57" t="n">
        <f aca="false">H38/Settings!$B$17</f>
        <v>0.000136088772604215</v>
      </c>
      <c r="O38" s="58" t="n">
        <f aca="false">H38/Settings!$B$15</f>
        <v>1.74796634545591E-005</v>
      </c>
      <c r="P38" s="59" t="n">
        <f aca="false">E38*Settings!$B$3</f>
        <v>1.0638961038961</v>
      </c>
      <c r="Q38" s="59" t="n">
        <f aca="false">IF(E38&gt;0,(J38-P38)/SQRT(E38*Settings!$B$3*(1-Settings!$B$3)),0)</f>
        <v>0.939324763729619</v>
      </c>
      <c r="R38" s="31" t="n">
        <f aca="false">IF(E38&gt;=Settings!$B$4,(J38+Settings!$B$7*Settings!$B$3)/(E38+Settings!$B$7),Settings!$B$3)</f>
        <v>0.0664935064935065</v>
      </c>
      <c r="S38" s="60" t="n">
        <f aca="false">PERCENTRANK($H$2:$H$95,H38,6)</f>
        <v>0.612903</v>
      </c>
      <c r="T38" s="60" t="n">
        <f aca="false">PERCENTRANK($R$2:$R$95,R38,6)</f>
        <v>0.129032</v>
      </c>
      <c r="U38" s="60" t="n">
        <f aca="false">PERCENTRANK($F$2:$F$95,F38,6)</f>
        <v>0.591398</v>
      </c>
      <c r="V38" s="61" t="n">
        <f aca="false">IF(F38&gt;0,ROUND((Settings!$B$8*U38+Settings!$B$9*S38+Settings!$B$10*T38)/SUM(Settings!$B$8:$B$10),10),0)</f>
        <v>0.4444443333</v>
      </c>
      <c r="W38" s="53" t="n">
        <f aca="false">IF(V38&gt;0,RANK(V38,$V$2:$V$95)+COUNTIF($V$2:V38,V38)-1,"")</f>
        <v>36</v>
      </c>
      <c r="X38" s="53" t="str">
        <f aca="false">IF(W38="","",IF(W38&lt;=Settings!$B$11,"1 - Fix first",IF(W38&lt;=Settings!$B$12,"2 - Review","3 - Monitor")))</f>
        <v>3 - Monitor</v>
      </c>
      <c r="Y38" s="53" t="str">
        <f aca="false">IF(AND(E38&gt;=Settings!$B$4,J38&gt;=Settings!$B$5,Q38&gt;=Settings!$B$6),"HIGH RATE","")</f>
        <v/>
      </c>
      <c r="Z38" s="53" t="n">
        <f aca="false">IF(F38&gt;0,RANK(F38,$F$2:$F$95)+COUNTIF($F$2:F38,F38)-1,"")</f>
        <v>37</v>
      </c>
      <c r="AA38" s="53" t="n">
        <f aca="false">IF(H38&gt;0,RANK(H38,$H$2:$H$95)+COUNTIF($H$2:H38,H38)-1,"")</f>
        <v>37</v>
      </c>
      <c r="AB38" s="53" t="str">
        <f aca="false">IF(AD38="","",RANK(AD38,$AD$2:$AD$95)+COUNTIF($AD$2:AD38,AD38)-1)</f>
        <v/>
      </c>
      <c r="AC38" s="53" t="str">
        <f aca="false">IF(AE38="","",RANK(AE38,$AE$2:$AE$95)+COUNTIF($AE$2:AE38,AE38)-1)</f>
        <v/>
      </c>
      <c r="AD38" s="53" t="str">
        <f aca="false">IF(AND(J38&gt;0,E38&gt;=Settings!$B$4),ROUND(L38,10),"")</f>
        <v/>
      </c>
      <c r="AE38" s="53" t="str">
        <f aca="false">IF(AND(J38&gt;=Settings!$B$5,E38&gt;=Settings!$B$4),ROUND(Q38,10),"")</f>
        <v/>
      </c>
      <c r="AF38" s="62" t="n">
        <f aca="false">L38/Settings!$B$14</f>
        <v>1.66856456330965</v>
      </c>
    </row>
    <row r="39" customFormat="false" ht="15" hidden="false" customHeight="false" outlineLevel="0" collapsed="false">
      <c r="A39" s="53" t="s">
        <v>142</v>
      </c>
      <c r="B39" s="53" t="s">
        <v>442</v>
      </c>
      <c r="C39" s="53" t="s">
        <v>66</v>
      </c>
      <c r="D39" s="53" t="s">
        <v>89</v>
      </c>
      <c r="E39" s="55" t="n">
        <f aca="false">SUMIFS(Detail!$K$2:$K$703,Detail!$C$2:$C$703,$A39)</f>
        <v>11</v>
      </c>
      <c r="F39" s="55" t="n">
        <f aca="false">SUMIFS(Detail!$F$2:$F$703,Detail!$C$2:$C$703,$A39)</f>
        <v>2</v>
      </c>
      <c r="G39" s="56" t="n">
        <f aca="false">SUMIFS(Detail!$M$2:$M$703,Detail!$C$2:$C$703,$A39)</f>
        <v>1056.87</v>
      </c>
      <c r="H39" s="56" t="n">
        <f aca="false">SUMIFS(Detail!$E$2:$E$703,Detail!$C$2:$C$703,$A39)</f>
        <v>199.67</v>
      </c>
      <c r="I39" s="56" t="n">
        <f aca="false">SUMIFS(Detail!$H$2:$H$703,Detail!$C$2:$C$703,$A39)</f>
        <v>6675.344</v>
      </c>
      <c r="J39" s="55" t="n">
        <f aca="false">SUMIFS(Detail!$L$2:$L$703,Detail!$C$2:$C$703,$A39)</f>
        <v>2</v>
      </c>
      <c r="K39" s="56" t="n">
        <f aca="false">SUMIFS(Detail!$N$2:$N$703,Detail!$C$2:$C$703,$A39)</f>
        <v>199.67</v>
      </c>
      <c r="L39" s="31" t="n">
        <f aca="false">IF(E39&gt;0,J39/E39,0)</f>
        <v>0.181818181818182</v>
      </c>
      <c r="M39" s="31" t="n">
        <f aca="false">IF(G39&gt;0,K39/G39,0)</f>
        <v>0.188925790305336</v>
      </c>
      <c r="N39" s="57" t="n">
        <f aca="false">H39/Settings!$B$17</f>
        <v>0.000120682382420872</v>
      </c>
      <c r="O39" s="58" t="n">
        <f aca="false">H39/Settings!$B$15</f>
        <v>1.5500818981932E-005</v>
      </c>
      <c r="P39" s="59" t="n">
        <f aca="false">E39*Settings!$B$3</f>
        <v>0.731428571428571</v>
      </c>
      <c r="Q39" s="59" t="n">
        <f aca="false">IF(E39&gt;0,(J39-P39)/SQRT(E39*Settings!$B$3*(1-Settings!$B$3)),0)</f>
        <v>1.53521884808623</v>
      </c>
      <c r="R39" s="31" t="n">
        <f aca="false">IF(E39&gt;=Settings!$B$4,(J39+Settings!$B$7*Settings!$B$3)/(E39+Settings!$B$7),Settings!$B$3)</f>
        <v>0.0664935064935065</v>
      </c>
      <c r="S39" s="60" t="n">
        <f aca="false">PERCENTRANK($H$2:$H$95,H39,6)</f>
        <v>0.602151</v>
      </c>
      <c r="T39" s="60" t="n">
        <f aca="false">PERCENTRANK($R$2:$R$95,R39,6)</f>
        <v>0.129032</v>
      </c>
      <c r="U39" s="60" t="n">
        <f aca="false">PERCENTRANK($F$2:$F$95,F39,6)</f>
        <v>0.591398</v>
      </c>
      <c r="V39" s="61" t="n">
        <f aca="false">IF(F39&gt;0,ROUND((Settings!$B$8*U39+Settings!$B$9*S39+Settings!$B$10*T39)/SUM(Settings!$B$8:$B$10),10),0)</f>
        <v>0.4408603333</v>
      </c>
      <c r="W39" s="53" t="n">
        <f aca="false">IF(V39&gt;0,RANK(V39,$V$2:$V$95)+COUNTIF($V$2:V39,V39)-1,"")</f>
        <v>37</v>
      </c>
      <c r="X39" s="53" t="str">
        <f aca="false">IF(W39="","",IF(W39&lt;=Settings!$B$11,"1 - Fix first",IF(W39&lt;=Settings!$B$12,"2 - Review","3 - Monitor")))</f>
        <v>3 - Monitor</v>
      </c>
      <c r="Y39" s="53" t="str">
        <f aca="false">IF(AND(E39&gt;=Settings!$B$4,J39&gt;=Settings!$B$5,Q39&gt;=Settings!$B$6),"HIGH RATE","")</f>
        <v/>
      </c>
      <c r="Z39" s="53" t="n">
        <f aca="false">IF(F39&gt;0,RANK(F39,$F$2:$F$95)+COUNTIF($F$2:F39,F39)-1,"")</f>
        <v>38</v>
      </c>
      <c r="AA39" s="53" t="n">
        <f aca="false">IF(H39&gt;0,RANK(H39,$H$2:$H$95)+COUNTIF($H$2:H39,H39)-1,"")</f>
        <v>38</v>
      </c>
      <c r="AB39" s="53" t="str">
        <f aca="false">IF(AD39="","",RANK(AD39,$AD$2:$AD$95)+COUNTIF($AD$2:AD39,AD39)-1)</f>
        <v/>
      </c>
      <c r="AC39" s="53" t="str">
        <f aca="false">IF(AE39="","",RANK(AE39,$AE$2:$AE$95)+COUNTIF($AE$2:AE39,AE39)-1)</f>
        <v/>
      </c>
      <c r="AD39" s="53" t="str">
        <f aca="false">IF(AND(J39&gt;0,E39&gt;=Settings!$B$4),ROUND(L39,10),"")</f>
        <v/>
      </c>
      <c r="AE39" s="53" t="str">
        <f aca="false">IF(AND(J39&gt;=Settings!$B$5,E39&gt;=Settings!$B$4),ROUND(Q39,10),"")</f>
        <v/>
      </c>
      <c r="AF39" s="62" t="n">
        <f aca="false">L39/Settings!$B$14</f>
        <v>2.42700300117768</v>
      </c>
    </row>
    <row r="40" customFormat="false" ht="15" hidden="false" customHeight="false" outlineLevel="0" collapsed="false">
      <c r="A40" s="53" t="s">
        <v>356</v>
      </c>
      <c r="B40" s="53" t="s">
        <v>443</v>
      </c>
      <c r="C40" s="53" t="s">
        <v>42</v>
      </c>
      <c r="D40" s="53" t="s">
        <v>97</v>
      </c>
      <c r="E40" s="55" t="n">
        <f aca="false">SUMIFS(Detail!$K$2:$K$703,Detail!$C$2:$C$703,$A40)</f>
        <v>0</v>
      </c>
      <c r="F40" s="55" t="n">
        <f aca="false">SUMIFS(Detail!$F$2:$F$703,Detail!$C$2:$C$703,$A40)</f>
        <v>1</v>
      </c>
      <c r="G40" s="56" t="n">
        <f aca="false">SUMIFS(Detail!$M$2:$M$703,Detail!$C$2:$C$703,$A40)</f>
        <v>0</v>
      </c>
      <c r="H40" s="56" t="n">
        <f aca="false">SUMIFS(Detail!$E$2:$E$703,Detail!$C$2:$C$703,$A40)</f>
        <v>194.95</v>
      </c>
      <c r="I40" s="56" t="n">
        <f aca="false">SUMIFS(Detail!$H$2:$H$703,Detail!$C$2:$C$703,$A40)</f>
        <v>974.75</v>
      </c>
      <c r="J40" s="55" t="n">
        <f aca="false">SUMIFS(Detail!$L$2:$L$703,Detail!$C$2:$C$703,$A40)</f>
        <v>0</v>
      </c>
      <c r="K40" s="56" t="n">
        <f aca="false">SUMIFS(Detail!$N$2:$N$703,Detail!$C$2:$C$703,$A40)</f>
        <v>0</v>
      </c>
      <c r="L40" s="31" t="n">
        <f aca="false">IF(E40&gt;0,J40/E40,0)</f>
        <v>0</v>
      </c>
      <c r="M40" s="31" t="n">
        <f aca="false">IF(G40&gt;0,K40/G40,0)</f>
        <v>0</v>
      </c>
      <c r="N40" s="57" t="n">
        <f aca="false">H40/Settings!$B$17</f>
        <v>0.000117829571056989</v>
      </c>
      <c r="O40" s="58" t="n">
        <f aca="false">H40/Settings!$B$15</f>
        <v>1.51343950544781E-005</v>
      </c>
      <c r="P40" s="59" t="n">
        <f aca="false">E40*Settings!$B$3</f>
        <v>0</v>
      </c>
      <c r="Q40" s="59" t="n">
        <f aca="false">IF(E40&gt;0,(J40-P40)/SQRT(E40*Settings!$B$3*(1-Settings!$B$3)),0)</f>
        <v>0</v>
      </c>
      <c r="R40" s="31" t="n">
        <f aca="false">IF(E40&gt;=Settings!$B$4,(J40+Settings!$B$7*Settings!$B$3)/(E40+Settings!$B$7),Settings!$B$3)</f>
        <v>0.0664935064935065</v>
      </c>
      <c r="S40" s="60" t="n">
        <f aca="false">PERCENTRANK($H$2:$H$95,H40,6)</f>
        <v>0.591398</v>
      </c>
      <c r="T40" s="60" t="n">
        <f aca="false">PERCENTRANK($R$2:$R$95,R40,6)</f>
        <v>0.129032</v>
      </c>
      <c r="U40" s="60" t="n">
        <f aca="false">PERCENTRANK($F$2:$F$95,F40,6)</f>
        <v>0.483871</v>
      </c>
      <c r="V40" s="61" t="n">
        <f aca="false">IF(F40&gt;0,ROUND((Settings!$B$8*U40+Settings!$B$9*S40+Settings!$B$10*T40)/SUM(Settings!$B$8:$B$10),10),0)</f>
        <v>0.4014336667</v>
      </c>
      <c r="W40" s="53" t="n">
        <f aca="false">IF(V40&gt;0,RANK(V40,$V$2:$V$95)+COUNTIF($V$2:V40,V40)-1,"")</f>
        <v>39</v>
      </c>
      <c r="X40" s="53" t="str">
        <f aca="false">IF(W40="","",IF(W40&lt;=Settings!$B$11,"1 - Fix first",IF(W40&lt;=Settings!$B$12,"2 - Review","3 - Monitor")))</f>
        <v>3 - Monitor</v>
      </c>
      <c r="Y40" s="53" t="str">
        <f aca="false">IF(AND(E40&gt;=Settings!$B$4,J40&gt;=Settings!$B$5,Q40&gt;=Settings!$B$6),"HIGH RATE","")</f>
        <v/>
      </c>
      <c r="Z40" s="53" t="n">
        <f aca="false">IF(F40&gt;0,RANK(F40,$F$2:$F$95)+COUNTIF($F$2:F40,F40)-1,"")</f>
        <v>40</v>
      </c>
      <c r="AA40" s="53" t="n">
        <f aca="false">IF(H40&gt;0,RANK(H40,$H$2:$H$95)+COUNTIF($H$2:H40,H40)-1,"")</f>
        <v>39</v>
      </c>
      <c r="AB40" s="53" t="str">
        <f aca="false">IF(AD40="","",RANK(AD40,$AD$2:$AD$95)+COUNTIF($AD$2:AD40,AD40)-1)</f>
        <v/>
      </c>
      <c r="AC40" s="53" t="str">
        <f aca="false">IF(AE40="","",RANK(AE40,$AE$2:$AE$95)+COUNTIF($AE$2:AE40,AE40)-1)</f>
        <v/>
      </c>
      <c r="AD40" s="53" t="str">
        <f aca="false">IF(AND(J40&gt;0,E40&gt;=Settings!$B$4),ROUND(L40,10),"")</f>
        <v/>
      </c>
      <c r="AE40" s="53" t="str">
        <f aca="false">IF(AND(J40&gt;=Settings!$B$5,E40&gt;=Settings!$B$4),ROUND(Q40,10),"")</f>
        <v/>
      </c>
      <c r="AF40" s="62" t="n">
        <f aca="false">L40/Settings!$B$14</f>
        <v>0</v>
      </c>
    </row>
    <row r="41" customFormat="false" ht="15" hidden="false" customHeight="false" outlineLevel="0" collapsed="false">
      <c r="A41" s="53" t="s">
        <v>323</v>
      </c>
      <c r="B41" s="53" t="s">
        <v>444</v>
      </c>
      <c r="C41" s="53" t="s">
        <v>62</v>
      </c>
      <c r="D41" s="53" t="s">
        <v>93</v>
      </c>
      <c r="E41" s="55" t="n">
        <f aca="false">SUMIFS(Detail!$K$2:$K$703,Detail!$C$2:$C$703,$A41)</f>
        <v>14</v>
      </c>
      <c r="F41" s="55" t="n">
        <f aca="false">SUMIFS(Detail!$F$2:$F$703,Detail!$C$2:$C$703,$A41)</f>
        <v>1</v>
      </c>
      <c r="G41" s="56" t="n">
        <f aca="false">SUMIFS(Detail!$M$2:$M$703,Detail!$C$2:$C$703,$A41)</f>
        <v>1672.01</v>
      </c>
      <c r="H41" s="56" t="n">
        <f aca="false">SUMIFS(Detail!$E$2:$E$703,Detail!$C$2:$C$703,$A41)</f>
        <v>164.95</v>
      </c>
      <c r="I41" s="56" t="n">
        <f aca="false">SUMIFS(Detail!$H$2:$H$703,Detail!$C$2:$C$703,$A41)</f>
        <v>7590.224</v>
      </c>
      <c r="J41" s="55" t="n">
        <f aca="false">SUMIFS(Detail!$L$2:$L$703,Detail!$C$2:$C$703,$A41)</f>
        <v>0</v>
      </c>
      <c r="K41" s="56" t="n">
        <f aca="false">SUMIFS(Detail!$N$2:$N$703,Detail!$C$2:$C$703,$A41)</f>
        <v>0</v>
      </c>
      <c r="L41" s="31" t="n">
        <f aca="false">IF(E41&gt;0,J41/E41,0)</f>
        <v>0</v>
      </c>
      <c r="M41" s="31" t="n">
        <f aca="false">IF(G41&gt;0,K41/G41,0)</f>
        <v>0</v>
      </c>
      <c r="N41" s="57" t="n">
        <f aca="false">H41/Settings!$B$17</f>
        <v>9.96972954390886E-005</v>
      </c>
      <c r="O41" s="58" t="n">
        <f aca="false">H41/Settings!$B$15</f>
        <v>1.28054294138813E-005</v>
      </c>
      <c r="P41" s="59" t="n">
        <f aca="false">E41*Settings!$B$3</f>
        <v>0.930909090909091</v>
      </c>
      <c r="Q41" s="59" t="n">
        <f aca="false">IF(E41&gt;0,(J41-P41)/SQRT(E41*Settings!$B$3*(1-Settings!$B$3)),0)</f>
        <v>-0.998607823353924</v>
      </c>
      <c r="R41" s="31" t="n">
        <f aca="false">IF(E41&gt;=Settings!$B$4,(J41+Settings!$B$7*Settings!$B$3)/(E41+Settings!$B$7),Settings!$B$3)</f>
        <v>0.0664935064935065</v>
      </c>
      <c r="S41" s="60" t="n">
        <f aca="false">PERCENTRANK($H$2:$H$95,H41,6)</f>
        <v>0.580645</v>
      </c>
      <c r="T41" s="60" t="n">
        <f aca="false">PERCENTRANK($R$2:$R$95,R41,6)</f>
        <v>0.129032</v>
      </c>
      <c r="U41" s="60" t="n">
        <f aca="false">PERCENTRANK($F$2:$F$95,F41,6)</f>
        <v>0.483871</v>
      </c>
      <c r="V41" s="61" t="n">
        <f aca="false">IF(F41&gt;0,ROUND((Settings!$B$8*U41+Settings!$B$9*S41+Settings!$B$10*T41)/SUM(Settings!$B$8:$B$10),10),0)</f>
        <v>0.3978493333</v>
      </c>
      <c r="W41" s="53" t="n">
        <f aca="false">IF(V41&gt;0,RANK(V41,$V$2:$V$95)+COUNTIF($V$2:V41,V41)-1,"")</f>
        <v>40</v>
      </c>
      <c r="X41" s="53" t="str">
        <f aca="false">IF(W41="","",IF(W41&lt;=Settings!$B$11,"1 - Fix first",IF(W41&lt;=Settings!$B$12,"2 - Review","3 - Monitor")))</f>
        <v>3 - Monitor</v>
      </c>
      <c r="Y41" s="53" t="str">
        <f aca="false">IF(AND(E41&gt;=Settings!$B$4,J41&gt;=Settings!$B$5,Q41&gt;=Settings!$B$6),"HIGH RATE","")</f>
        <v/>
      </c>
      <c r="Z41" s="53" t="n">
        <f aca="false">IF(F41&gt;0,RANK(F41,$F$2:$F$95)+COUNTIF($F$2:F41,F41)-1,"")</f>
        <v>41</v>
      </c>
      <c r="AA41" s="53" t="n">
        <f aca="false">IF(H41&gt;0,RANK(H41,$H$2:$H$95)+COUNTIF($H$2:H41,H41)-1,"")</f>
        <v>40</v>
      </c>
      <c r="AB41" s="53" t="str">
        <f aca="false">IF(AD41="","",RANK(AD41,$AD$2:$AD$95)+COUNTIF($AD$2:AD41,AD41)-1)</f>
        <v/>
      </c>
      <c r="AC41" s="53" t="str">
        <f aca="false">IF(AE41="","",RANK(AE41,$AE$2:$AE$95)+COUNTIF($AE$2:AE41,AE41)-1)</f>
        <v/>
      </c>
      <c r="AD41" s="53" t="str">
        <f aca="false">IF(AND(J41&gt;0,E41&gt;=Settings!$B$4),ROUND(L41,10),"")</f>
        <v/>
      </c>
      <c r="AE41" s="53" t="str">
        <f aca="false">IF(AND(J41&gt;=Settings!$B$5,E41&gt;=Settings!$B$4),ROUND(Q41,10),"")</f>
        <v/>
      </c>
      <c r="AF41" s="62" t="n">
        <f aca="false">L41/Settings!$B$14</f>
        <v>0</v>
      </c>
    </row>
    <row r="42" customFormat="false" ht="15" hidden="false" customHeight="false" outlineLevel="0" collapsed="false">
      <c r="A42" s="53" t="s">
        <v>383</v>
      </c>
      <c r="B42" s="53" t="s">
        <v>445</v>
      </c>
      <c r="C42" s="53" t="s">
        <v>66</v>
      </c>
      <c r="D42" s="53" t="s">
        <v>97</v>
      </c>
      <c r="E42" s="55" t="n">
        <f aca="false">SUMIFS(Detail!$K$2:$K$703,Detail!$C$2:$C$703,$A42)</f>
        <v>0</v>
      </c>
      <c r="F42" s="55" t="n">
        <f aca="false">SUMIFS(Detail!$F$2:$F$703,Detail!$C$2:$C$703,$A42)</f>
        <v>1</v>
      </c>
      <c r="G42" s="56" t="n">
        <f aca="false">SUMIFS(Detail!$M$2:$M$703,Detail!$C$2:$C$703,$A42)</f>
        <v>0</v>
      </c>
      <c r="H42" s="56" t="n">
        <f aca="false">SUMIFS(Detail!$E$2:$E$703,Detail!$C$2:$C$703,$A42)</f>
        <v>142.92</v>
      </c>
      <c r="I42" s="56" t="n">
        <f aca="false">SUMIFS(Detail!$H$2:$H$703,Detail!$C$2:$C$703,$A42)</f>
        <v>2306.13</v>
      </c>
      <c r="J42" s="55" t="n">
        <f aca="false">SUMIFS(Detail!$L$2:$L$703,Detail!$C$2:$C$703,$A42)</f>
        <v>0</v>
      </c>
      <c r="K42" s="56" t="n">
        <f aca="false">SUMIFS(Detail!$N$2:$N$703,Detail!$C$2:$C$703,$A42)</f>
        <v>0</v>
      </c>
      <c r="L42" s="31" t="n">
        <f aca="false">IF(E42&gt;0,J42/E42,0)</f>
        <v>0</v>
      </c>
      <c r="M42" s="31" t="n">
        <f aca="false">IF(G42&gt;0,K42/G42,0)</f>
        <v>0</v>
      </c>
      <c r="N42" s="57" t="n">
        <f aca="false">H42/Settings!$B$17</f>
        <v>8.63821610436771E-005</v>
      </c>
      <c r="O42" s="58" t="n">
        <f aca="false">H42/Settings!$B$15</f>
        <v>1.10951923118031E-005</v>
      </c>
      <c r="P42" s="59" t="n">
        <f aca="false">E42*Settings!$B$3</f>
        <v>0</v>
      </c>
      <c r="Q42" s="59" t="n">
        <f aca="false">IF(E42&gt;0,(J42-P42)/SQRT(E42*Settings!$B$3*(1-Settings!$B$3)),0)</f>
        <v>0</v>
      </c>
      <c r="R42" s="31" t="n">
        <f aca="false">IF(E42&gt;=Settings!$B$4,(J42+Settings!$B$7*Settings!$B$3)/(E42+Settings!$B$7),Settings!$B$3)</f>
        <v>0.0664935064935065</v>
      </c>
      <c r="S42" s="60" t="n">
        <f aca="false">PERCENTRANK($H$2:$H$95,H42,6)</f>
        <v>0.569892</v>
      </c>
      <c r="T42" s="60" t="n">
        <f aca="false">PERCENTRANK($R$2:$R$95,R42,6)</f>
        <v>0.129032</v>
      </c>
      <c r="U42" s="60" t="n">
        <f aca="false">PERCENTRANK($F$2:$F$95,F42,6)</f>
        <v>0.483871</v>
      </c>
      <c r="V42" s="61" t="n">
        <f aca="false">IF(F42&gt;0,ROUND((Settings!$B$8*U42+Settings!$B$9*S42+Settings!$B$10*T42)/SUM(Settings!$B$8:$B$10),10),0)</f>
        <v>0.394265</v>
      </c>
      <c r="W42" s="53" t="n">
        <f aca="false">IF(V42&gt;0,RANK(V42,$V$2:$V$95)+COUNTIF($V$2:V42,V42)-1,"")</f>
        <v>41</v>
      </c>
      <c r="X42" s="53" t="str">
        <f aca="false">IF(W42="","",IF(W42&lt;=Settings!$B$11,"1 - Fix first",IF(W42&lt;=Settings!$B$12,"2 - Review","3 - Monitor")))</f>
        <v>3 - Monitor</v>
      </c>
      <c r="Y42" s="53" t="str">
        <f aca="false">IF(AND(E42&gt;=Settings!$B$4,J42&gt;=Settings!$B$5,Q42&gt;=Settings!$B$6),"HIGH RATE","")</f>
        <v/>
      </c>
      <c r="Z42" s="53" t="n">
        <f aca="false">IF(F42&gt;0,RANK(F42,$F$2:$F$95)+COUNTIF($F$2:F42,F42)-1,"")</f>
        <v>42</v>
      </c>
      <c r="AA42" s="53" t="n">
        <f aca="false">IF(H42&gt;0,RANK(H42,$H$2:$H$95)+COUNTIF($H$2:H42,H42)-1,"")</f>
        <v>41</v>
      </c>
      <c r="AB42" s="53" t="str">
        <f aca="false">IF(AD42="","",RANK(AD42,$AD$2:$AD$95)+COUNTIF($AD$2:AD42,AD42)-1)</f>
        <v/>
      </c>
      <c r="AC42" s="53" t="str">
        <f aca="false">IF(AE42="","",RANK(AE42,$AE$2:$AE$95)+COUNTIF($AE$2:AE42,AE42)-1)</f>
        <v/>
      </c>
      <c r="AD42" s="53" t="str">
        <f aca="false">IF(AND(J42&gt;0,E42&gt;=Settings!$B$4),ROUND(L42,10),"")</f>
        <v/>
      </c>
      <c r="AE42" s="53" t="str">
        <f aca="false">IF(AND(J42&gt;=Settings!$B$5,E42&gt;=Settings!$B$4),ROUND(Q42,10),"")</f>
        <v/>
      </c>
      <c r="AF42" s="62" t="n">
        <f aca="false">L42/Settings!$B$14</f>
        <v>0</v>
      </c>
    </row>
    <row r="43" customFormat="false" ht="15" hidden="false" customHeight="false" outlineLevel="0" collapsed="false">
      <c r="A43" s="53" t="s">
        <v>380</v>
      </c>
      <c r="B43" s="53" t="s">
        <v>420</v>
      </c>
      <c r="C43" s="53" t="s">
        <v>50</v>
      </c>
      <c r="D43" s="53" t="s">
        <v>97</v>
      </c>
      <c r="E43" s="55" t="n">
        <f aca="false">SUMIFS(Detail!$K$2:$K$703,Detail!$C$2:$C$703,$A43)</f>
        <v>0</v>
      </c>
      <c r="F43" s="55" t="n">
        <f aca="false">SUMIFS(Detail!$F$2:$F$703,Detail!$C$2:$C$703,$A43)</f>
        <v>1</v>
      </c>
      <c r="G43" s="56" t="n">
        <f aca="false">SUMIFS(Detail!$M$2:$M$703,Detail!$C$2:$C$703,$A43)</f>
        <v>0</v>
      </c>
      <c r="H43" s="56" t="n">
        <f aca="false">SUMIFS(Detail!$E$2:$E$703,Detail!$C$2:$C$703,$A43)</f>
        <v>140.86</v>
      </c>
      <c r="I43" s="56" t="n">
        <f aca="false">SUMIFS(Detail!$H$2:$H$703,Detail!$C$2:$C$703,$A43)</f>
        <v>2253.2</v>
      </c>
      <c r="J43" s="55" t="n">
        <f aca="false">SUMIFS(Detail!$L$2:$L$703,Detail!$C$2:$C$703,$A43)</f>
        <v>1</v>
      </c>
      <c r="K43" s="56" t="n">
        <f aca="false">SUMIFS(Detail!$N$2:$N$703,Detail!$C$2:$C$703,$A43)</f>
        <v>140.86</v>
      </c>
      <c r="L43" s="31" t="n">
        <f aca="false">IF(E43&gt;0,J43/E43,0)</f>
        <v>0</v>
      </c>
      <c r="M43" s="31" t="n">
        <f aca="false">IF(G43&gt;0,K43/G43,0)</f>
        <v>0</v>
      </c>
      <c r="N43" s="57" t="n">
        <f aca="false">H43/Settings!$B$17</f>
        <v>8.51370781179147E-005</v>
      </c>
      <c r="O43" s="58" t="n">
        <f aca="false">H43/Settings!$B$15</f>
        <v>1.09352700044821E-005</v>
      </c>
      <c r="P43" s="59" t="n">
        <f aca="false">E43*Settings!$B$3</f>
        <v>0</v>
      </c>
      <c r="Q43" s="59" t="n">
        <f aca="false">IF(E43&gt;0,(J43-P43)/SQRT(E43*Settings!$B$3*(1-Settings!$B$3)),0)</f>
        <v>0</v>
      </c>
      <c r="R43" s="31" t="n">
        <f aca="false">IF(E43&gt;=Settings!$B$4,(J43+Settings!$B$7*Settings!$B$3)/(E43+Settings!$B$7),Settings!$B$3)</f>
        <v>0.0664935064935065</v>
      </c>
      <c r="S43" s="60" t="n">
        <f aca="false">PERCENTRANK($H$2:$H$95,H43,6)</f>
        <v>0.55914</v>
      </c>
      <c r="T43" s="60" t="n">
        <f aca="false">PERCENTRANK($R$2:$R$95,R43,6)</f>
        <v>0.129032</v>
      </c>
      <c r="U43" s="60" t="n">
        <f aca="false">PERCENTRANK($F$2:$F$95,F43,6)</f>
        <v>0.483871</v>
      </c>
      <c r="V43" s="61" t="n">
        <f aca="false">IF(F43&gt;0,ROUND((Settings!$B$8*U43+Settings!$B$9*S43+Settings!$B$10*T43)/SUM(Settings!$B$8:$B$10),10),0)</f>
        <v>0.390681</v>
      </c>
      <c r="W43" s="53" t="n">
        <f aca="false">IF(V43&gt;0,RANK(V43,$V$2:$V$95)+COUNTIF($V$2:V43,V43)-1,"")</f>
        <v>42</v>
      </c>
      <c r="X43" s="53" t="str">
        <f aca="false">IF(W43="","",IF(W43&lt;=Settings!$B$11,"1 - Fix first",IF(W43&lt;=Settings!$B$12,"2 - Review","3 - Monitor")))</f>
        <v>3 - Monitor</v>
      </c>
      <c r="Y43" s="53" t="str">
        <f aca="false">IF(AND(E43&gt;=Settings!$B$4,J43&gt;=Settings!$B$5,Q43&gt;=Settings!$B$6),"HIGH RATE","")</f>
        <v/>
      </c>
      <c r="Z43" s="53" t="n">
        <f aca="false">IF(F43&gt;0,RANK(F43,$F$2:$F$95)+COUNTIF($F$2:F43,F43)-1,"")</f>
        <v>43</v>
      </c>
      <c r="AA43" s="53" t="n">
        <f aca="false">IF(H43&gt;0,RANK(H43,$H$2:$H$95)+COUNTIF($H$2:H43,H43)-1,"")</f>
        <v>42</v>
      </c>
      <c r="AB43" s="53" t="str">
        <f aca="false">IF(AD43="","",RANK(AD43,$AD$2:$AD$95)+COUNTIF($AD$2:AD43,AD43)-1)</f>
        <v/>
      </c>
      <c r="AC43" s="53" t="str">
        <f aca="false">IF(AE43="","",RANK(AE43,$AE$2:$AE$95)+COUNTIF($AE$2:AE43,AE43)-1)</f>
        <v/>
      </c>
      <c r="AD43" s="53" t="str">
        <f aca="false">IF(AND(J43&gt;0,E43&gt;=Settings!$B$4),ROUND(L43,10),"")</f>
        <v/>
      </c>
      <c r="AE43" s="53" t="str">
        <f aca="false">IF(AND(J43&gt;=Settings!$B$5,E43&gt;=Settings!$B$4),ROUND(Q43,10),"")</f>
        <v/>
      </c>
      <c r="AF43" s="62" t="n">
        <f aca="false">L43/Settings!$B$14</f>
        <v>0</v>
      </c>
    </row>
    <row r="44" customFormat="false" ht="15" hidden="false" customHeight="false" outlineLevel="0" collapsed="false">
      <c r="A44" s="53" t="s">
        <v>347</v>
      </c>
      <c r="B44" s="53" t="s">
        <v>446</v>
      </c>
      <c r="C44" s="53" t="s">
        <v>62</v>
      </c>
      <c r="D44" s="53" t="s">
        <v>89</v>
      </c>
      <c r="E44" s="55" t="n">
        <f aca="false">SUMIFS(Detail!$K$2:$K$703,Detail!$C$2:$C$703,$A44)</f>
        <v>75</v>
      </c>
      <c r="F44" s="55" t="n">
        <f aca="false">SUMIFS(Detail!$F$2:$F$703,Detail!$C$2:$C$703,$A44)</f>
        <v>2</v>
      </c>
      <c r="G44" s="56" t="n">
        <f aca="false">SUMIFS(Detail!$M$2:$M$703,Detail!$C$2:$C$703,$A44)</f>
        <v>5628.27</v>
      </c>
      <c r="H44" s="56" t="n">
        <f aca="false">SUMIFS(Detail!$E$2:$E$703,Detail!$C$2:$C$703,$A44)</f>
        <v>134.47</v>
      </c>
      <c r="I44" s="56" t="n">
        <f aca="false">SUMIFS(Detail!$H$2:$H$703,Detail!$C$2:$C$703,$A44)</f>
        <v>28659.039</v>
      </c>
      <c r="J44" s="55" t="n">
        <f aca="false">SUMIFS(Detail!$L$2:$L$703,Detail!$C$2:$C$703,$A44)</f>
        <v>2</v>
      </c>
      <c r="K44" s="56" t="n">
        <f aca="false">SUMIFS(Detail!$N$2:$N$703,Detail!$C$2:$C$703,$A44)</f>
        <v>134.47</v>
      </c>
      <c r="L44" s="31" t="n">
        <f aca="false">IF(E44&gt;0,J44/E44,0)</f>
        <v>0.0266666666666667</v>
      </c>
      <c r="M44" s="31" t="n">
        <f aca="false">IF(G44&gt;0,K44/G44,0)</f>
        <v>0.0238918886265229</v>
      </c>
      <c r="N44" s="57" t="n">
        <f aca="false">H44/Settings!$B$17</f>
        <v>8.12749034113019E-005</v>
      </c>
      <c r="O44" s="58" t="n">
        <f aca="false">H44/Settings!$B$15</f>
        <v>1.0439200323035E-005</v>
      </c>
      <c r="P44" s="59" t="n">
        <f aca="false">E44*Settings!$B$3</f>
        <v>4.98701298701299</v>
      </c>
      <c r="Q44" s="59" t="n">
        <f aca="false">IF(E44&gt;0,(J44-P44)/SQRT(E44*Settings!$B$3*(1-Settings!$B$3)),0)</f>
        <v>-1.38438915865737</v>
      </c>
      <c r="R44" s="31" t="n">
        <f aca="false">IF(E44&gt;=Settings!$B$4,(J44+Settings!$B$7*Settings!$B$3)/(E44+Settings!$B$7),Settings!$B$3)</f>
        <v>0.0380457637600495</v>
      </c>
      <c r="S44" s="60" t="n">
        <f aca="false">PERCENTRANK($H$2:$H$95,H44,6)</f>
        <v>0.548387</v>
      </c>
      <c r="T44" s="60" t="n">
        <f aca="false">PERCENTRANK($R$2:$R$95,R44,6)</f>
        <v>0.0107527</v>
      </c>
      <c r="U44" s="60" t="n">
        <f aca="false">PERCENTRANK($F$2:$F$95,F44,6)</f>
        <v>0.591398</v>
      </c>
      <c r="V44" s="61" t="n">
        <f aca="false">IF(F44&gt;0,ROUND((Settings!$B$8*U44+Settings!$B$9*S44+Settings!$B$10*T44)/SUM(Settings!$B$8:$B$10),10),0)</f>
        <v>0.3835125667</v>
      </c>
      <c r="W44" s="53" t="n">
        <f aca="false">IF(V44&gt;0,RANK(V44,$V$2:$V$95)+COUNTIF($V$2:V44,V44)-1,"")</f>
        <v>43</v>
      </c>
      <c r="X44" s="53" t="str">
        <f aca="false">IF(W44="","",IF(W44&lt;=Settings!$B$11,"1 - Fix first",IF(W44&lt;=Settings!$B$12,"2 - Review","3 - Monitor")))</f>
        <v>3 - Monitor</v>
      </c>
      <c r="Y44" s="53" t="str">
        <f aca="false">IF(AND(E44&gt;=Settings!$B$4,J44&gt;=Settings!$B$5,Q44&gt;=Settings!$B$6),"HIGH RATE","")</f>
        <v/>
      </c>
      <c r="Z44" s="53" t="n">
        <f aca="false">IF(F44&gt;0,RANK(F44,$F$2:$F$95)+COUNTIF($F$2:F44,F44)-1,"")</f>
        <v>39</v>
      </c>
      <c r="AA44" s="53" t="n">
        <f aca="false">IF(H44&gt;0,RANK(H44,$H$2:$H$95)+COUNTIF($H$2:H44,H44)-1,"")</f>
        <v>43</v>
      </c>
      <c r="AB44" s="53" t="n">
        <f aca="false">IF(AD44="","",RANK(AD44,$AD$2:$AD$95)+COUNTIF($AD$2:AD44,AD44)-1)</f>
        <v>31</v>
      </c>
      <c r="AC44" s="53" t="str">
        <f aca="false">IF(AE44="","",RANK(AE44,$AE$2:$AE$95)+COUNTIF($AE$2:AE44,AE44)-1)</f>
        <v/>
      </c>
      <c r="AD44" s="53" t="n">
        <f aca="false">IF(AND(J44&gt;0,E44&gt;=Settings!$B$4),ROUND(L44,10),"")</f>
        <v>0.0266666667</v>
      </c>
      <c r="AE44" s="53" t="str">
        <f aca="false">IF(AND(J44&gt;=Settings!$B$5,E44&gt;=Settings!$B$4),ROUND(Q44,10),"")</f>
        <v/>
      </c>
      <c r="AF44" s="62" t="n">
        <f aca="false">L44/Settings!$B$14</f>
        <v>0.355960440172726</v>
      </c>
    </row>
    <row r="45" customFormat="false" ht="15" hidden="false" customHeight="false" outlineLevel="0" collapsed="false">
      <c r="A45" s="53" t="s">
        <v>350</v>
      </c>
      <c r="B45" s="53" t="s">
        <v>437</v>
      </c>
      <c r="C45" s="53" t="s">
        <v>46</v>
      </c>
      <c r="D45" s="53" t="s">
        <v>97</v>
      </c>
      <c r="E45" s="55" t="n">
        <f aca="false">SUMIFS(Detail!$K$2:$K$703,Detail!$C$2:$C$703,$A45)</f>
        <v>0</v>
      </c>
      <c r="F45" s="55" t="n">
        <f aca="false">SUMIFS(Detail!$F$2:$F$703,Detail!$C$2:$C$703,$A45)</f>
        <v>1</v>
      </c>
      <c r="G45" s="56" t="n">
        <f aca="false">SUMIFS(Detail!$M$2:$M$703,Detail!$C$2:$C$703,$A45)</f>
        <v>0</v>
      </c>
      <c r="H45" s="56" t="n">
        <f aca="false">SUMIFS(Detail!$E$2:$E$703,Detail!$C$2:$C$703,$A45)</f>
        <v>124.95</v>
      </c>
      <c r="I45" s="56" t="n">
        <f aca="false">SUMIFS(Detail!$H$2:$H$703,Detail!$C$2:$C$703,$A45)</f>
        <v>1249.5</v>
      </c>
      <c r="J45" s="55" t="n">
        <f aca="false">SUMIFS(Detail!$L$2:$L$703,Detail!$C$2:$C$703,$A45)</f>
        <v>0</v>
      </c>
      <c r="K45" s="56" t="n">
        <f aca="false">SUMIFS(Detail!$N$2:$N$703,Detail!$C$2:$C$703,$A45)</f>
        <v>0</v>
      </c>
      <c r="L45" s="31" t="n">
        <f aca="false">IF(E45&gt;0,J45/E45,0)</f>
        <v>0</v>
      </c>
      <c r="M45" s="31" t="n">
        <f aca="false">IF(G45&gt;0,K45/G45,0)</f>
        <v>0</v>
      </c>
      <c r="N45" s="57" t="n">
        <f aca="false">H45/Settings!$B$17</f>
        <v>7.55209279485549E-005</v>
      </c>
      <c r="O45" s="58" t="n">
        <f aca="false">H45/Settings!$B$15</f>
        <v>9.70014189308561E-006</v>
      </c>
      <c r="P45" s="59" t="n">
        <f aca="false">E45*Settings!$B$3</f>
        <v>0</v>
      </c>
      <c r="Q45" s="59" t="n">
        <f aca="false">IF(E45&gt;0,(J45-P45)/SQRT(E45*Settings!$B$3*(1-Settings!$B$3)),0)</f>
        <v>0</v>
      </c>
      <c r="R45" s="31" t="n">
        <f aca="false">IF(E45&gt;=Settings!$B$4,(J45+Settings!$B$7*Settings!$B$3)/(E45+Settings!$B$7),Settings!$B$3)</f>
        <v>0.0664935064935065</v>
      </c>
      <c r="S45" s="60" t="n">
        <f aca="false">PERCENTRANK($H$2:$H$95,H45,6)</f>
        <v>0.537634</v>
      </c>
      <c r="T45" s="60" t="n">
        <f aca="false">PERCENTRANK($R$2:$R$95,R45,6)</f>
        <v>0.129032</v>
      </c>
      <c r="U45" s="60" t="n">
        <f aca="false">PERCENTRANK($F$2:$F$95,F45,6)</f>
        <v>0.483871</v>
      </c>
      <c r="V45" s="61" t="n">
        <f aca="false">IF(F45&gt;0,ROUND((Settings!$B$8*U45+Settings!$B$9*S45+Settings!$B$10*T45)/SUM(Settings!$B$8:$B$10),10),0)</f>
        <v>0.3835123333</v>
      </c>
      <c r="W45" s="53" t="n">
        <f aca="false">IF(V45&gt;0,RANK(V45,$V$2:$V$95)+COUNTIF($V$2:V45,V45)-1,"")</f>
        <v>44</v>
      </c>
      <c r="X45" s="53" t="str">
        <f aca="false">IF(W45="","",IF(W45&lt;=Settings!$B$11,"1 - Fix first",IF(W45&lt;=Settings!$B$12,"2 - Review","3 - Monitor")))</f>
        <v>3 - Monitor</v>
      </c>
      <c r="Y45" s="53" t="str">
        <f aca="false">IF(AND(E45&gt;=Settings!$B$4,J45&gt;=Settings!$B$5,Q45&gt;=Settings!$B$6),"HIGH RATE","")</f>
        <v/>
      </c>
      <c r="Z45" s="53" t="n">
        <f aca="false">IF(F45&gt;0,RANK(F45,$F$2:$F$95)+COUNTIF($F$2:F45,F45)-1,"")</f>
        <v>44</v>
      </c>
      <c r="AA45" s="53" t="n">
        <f aca="false">IF(H45&gt;0,RANK(H45,$H$2:$H$95)+COUNTIF($H$2:H45,H45)-1,"")</f>
        <v>44</v>
      </c>
      <c r="AB45" s="53" t="str">
        <f aca="false">IF(AD45="","",RANK(AD45,$AD$2:$AD$95)+COUNTIF($AD$2:AD45,AD45)-1)</f>
        <v/>
      </c>
      <c r="AC45" s="53" t="str">
        <f aca="false">IF(AE45="","",RANK(AE45,$AE$2:$AE$95)+COUNTIF($AE$2:AE45,AE45)-1)</f>
        <v/>
      </c>
      <c r="AD45" s="53" t="str">
        <f aca="false">IF(AND(J45&gt;0,E45&gt;=Settings!$B$4),ROUND(L45,10),"")</f>
        <v/>
      </c>
      <c r="AE45" s="53" t="str">
        <f aca="false">IF(AND(J45&gt;=Settings!$B$5,E45&gt;=Settings!$B$4),ROUND(Q45,10),"")</f>
        <v/>
      </c>
      <c r="AF45" s="62" t="n">
        <f aca="false">L45/Settings!$B$14</f>
        <v>0</v>
      </c>
    </row>
    <row r="46" customFormat="false" ht="15" hidden="false" customHeight="false" outlineLevel="0" collapsed="false">
      <c r="A46" s="53" t="s">
        <v>359</v>
      </c>
      <c r="B46" s="53" t="s">
        <v>447</v>
      </c>
      <c r="C46" s="53" t="s">
        <v>66</v>
      </c>
      <c r="D46" s="53" t="s">
        <v>97</v>
      </c>
      <c r="E46" s="55" t="n">
        <f aca="false">SUMIFS(Detail!$K$2:$K$703,Detail!$C$2:$C$703,$A46)</f>
        <v>0</v>
      </c>
      <c r="F46" s="55" t="n">
        <f aca="false">SUMIFS(Detail!$F$2:$F$703,Detail!$C$2:$C$703,$A46)</f>
        <v>1</v>
      </c>
      <c r="G46" s="56" t="n">
        <f aca="false">SUMIFS(Detail!$M$2:$M$703,Detail!$C$2:$C$703,$A46)</f>
        <v>0</v>
      </c>
      <c r="H46" s="56" t="n">
        <f aca="false">SUMIFS(Detail!$E$2:$E$703,Detail!$C$2:$C$703,$A46)</f>
        <v>109.95</v>
      </c>
      <c r="I46" s="56" t="n">
        <f aca="false">SUMIFS(Detail!$H$2:$H$703,Detail!$C$2:$C$703,$A46)</f>
        <v>329.85</v>
      </c>
      <c r="J46" s="55" t="n">
        <f aca="false">SUMIFS(Detail!$L$2:$L$703,Detail!$C$2:$C$703,$A46)</f>
        <v>0</v>
      </c>
      <c r="K46" s="56" t="n">
        <f aca="false">SUMIFS(Detail!$N$2:$N$703,Detail!$C$2:$C$703,$A46)</f>
        <v>0</v>
      </c>
      <c r="L46" s="31" t="n">
        <f aca="false">IF(E46&gt;0,J46/E46,0)</f>
        <v>0</v>
      </c>
      <c r="M46" s="31" t="n">
        <f aca="false">IF(G46&gt;0,K46/G46,0)</f>
        <v>0</v>
      </c>
      <c r="N46" s="57" t="n">
        <f aca="false">H46/Settings!$B$17</f>
        <v>6.64547901396047E-005</v>
      </c>
      <c r="O46" s="58" t="n">
        <f aca="false">H46/Settings!$B$15</f>
        <v>8.53565907278722E-006</v>
      </c>
      <c r="P46" s="59" t="n">
        <f aca="false">E46*Settings!$B$3</f>
        <v>0</v>
      </c>
      <c r="Q46" s="59" t="n">
        <f aca="false">IF(E46&gt;0,(J46-P46)/SQRT(E46*Settings!$B$3*(1-Settings!$B$3)),0)</f>
        <v>0</v>
      </c>
      <c r="R46" s="31" t="n">
        <f aca="false">IF(E46&gt;=Settings!$B$4,(J46+Settings!$B$7*Settings!$B$3)/(E46+Settings!$B$7),Settings!$B$3)</f>
        <v>0.0664935064935065</v>
      </c>
      <c r="S46" s="60" t="n">
        <f aca="false">PERCENTRANK($H$2:$H$95,H46,6)</f>
        <v>0.526882</v>
      </c>
      <c r="T46" s="60" t="n">
        <f aca="false">PERCENTRANK($R$2:$R$95,R46,6)</f>
        <v>0.129032</v>
      </c>
      <c r="U46" s="60" t="n">
        <f aca="false">PERCENTRANK($F$2:$F$95,F46,6)</f>
        <v>0.483871</v>
      </c>
      <c r="V46" s="61" t="n">
        <f aca="false">IF(F46&gt;0,ROUND((Settings!$B$8*U46+Settings!$B$9*S46+Settings!$B$10*T46)/SUM(Settings!$B$8:$B$10),10),0)</f>
        <v>0.3799283333</v>
      </c>
      <c r="W46" s="53" t="n">
        <f aca="false">IF(V46&gt;0,RANK(V46,$V$2:$V$95)+COUNTIF($V$2:V46,V46)-1,"")</f>
        <v>45</v>
      </c>
      <c r="X46" s="53" t="str">
        <f aca="false">IF(W46="","",IF(W46&lt;=Settings!$B$11,"1 - Fix first",IF(W46&lt;=Settings!$B$12,"2 - Review","3 - Monitor")))</f>
        <v>3 - Monitor</v>
      </c>
      <c r="Y46" s="53" t="str">
        <f aca="false">IF(AND(E46&gt;=Settings!$B$4,J46&gt;=Settings!$B$5,Q46&gt;=Settings!$B$6),"HIGH RATE","")</f>
        <v/>
      </c>
      <c r="Z46" s="53" t="n">
        <f aca="false">IF(F46&gt;0,RANK(F46,$F$2:$F$95)+COUNTIF($F$2:F46,F46)-1,"")</f>
        <v>45</v>
      </c>
      <c r="AA46" s="53" t="n">
        <f aca="false">IF(H46&gt;0,RANK(H46,$H$2:$H$95)+COUNTIF($H$2:H46,H46)-1,"")</f>
        <v>45</v>
      </c>
      <c r="AB46" s="53" t="str">
        <f aca="false">IF(AD46="","",RANK(AD46,$AD$2:$AD$95)+COUNTIF($AD$2:AD46,AD46)-1)</f>
        <v/>
      </c>
      <c r="AC46" s="53" t="str">
        <f aca="false">IF(AE46="","",RANK(AE46,$AE$2:$AE$95)+COUNTIF($AE$2:AE46,AE46)-1)</f>
        <v/>
      </c>
      <c r="AD46" s="53" t="str">
        <f aca="false">IF(AND(J46&gt;0,E46&gt;=Settings!$B$4),ROUND(L46,10),"")</f>
        <v/>
      </c>
      <c r="AE46" s="53" t="str">
        <f aca="false">IF(AND(J46&gt;=Settings!$B$5,E46&gt;=Settings!$B$4),ROUND(Q46,10),"")</f>
        <v/>
      </c>
      <c r="AF46" s="62" t="n">
        <f aca="false">L46/Settings!$B$14</f>
        <v>0</v>
      </c>
    </row>
    <row r="47" customFormat="false" ht="15" hidden="false" customHeight="false" outlineLevel="0" collapsed="false">
      <c r="A47" s="53" t="s">
        <v>352</v>
      </c>
      <c r="B47" s="53" t="s">
        <v>437</v>
      </c>
      <c r="C47" s="53" t="s">
        <v>46</v>
      </c>
      <c r="D47" s="53" t="s">
        <v>97</v>
      </c>
      <c r="E47" s="55" t="n">
        <f aca="false">SUMIFS(Detail!$K$2:$K$703,Detail!$C$2:$C$703,$A47)</f>
        <v>0</v>
      </c>
      <c r="F47" s="55" t="n">
        <f aca="false">SUMIFS(Detail!$F$2:$F$703,Detail!$C$2:$C$703,$A47)</f>
        <v>1</v>
      </c>
      <c r="G47" s="56" t="n">
        <f aca="false">SUMIFS(Detail!$M$2:$M$703,Detail!$C$2:$C$703,$A47)</f>
        <v>0</v>
      </c>
      <c r="H47" s="56" t="n">
        <f aca="false">SUMIFS(Detail!$E$2:$E$703,Detail!$C$2:$C$703,$A47)</f>
        <v>84.95</v>
      </c>
      <c r="I47" s="56" t="n">
        <f aca="false">SUMIFS(Detail!$H$2:$H$703,Detail!$C$2:$C$703,$A47)</f>
        <v>594.65</v>
      </c>
      <c r="J47" s="55" t="n">
        <f aca="false">SUMIFS(Detail!$L$2:$L$703,Detail!$C$2:$C$703,$A47)</f>
        <v>0</v>
      </c>
      <c r="K47" s="56" t="n">
        <f aca="false">SUMIFS(Detail!$N$2:$N$703,Detail!$C$2:$C$703,$A47)</f>
        <v>0</v>
      </c>
      <c r="L47" s="31" t="n">
        <f aca="false">IF(E47&gt;0,J47/E47,0)</f>
        <v>0</v>
      </c>
      <c r="M47" s="31" t="n">
        <f aca="false">IF(G47&gt;0,K47/G47,0)</f>
        <v>0</v>
      </c>
      <c r="N47" s="57" t="n">
        <f aca="false">H47/Settings!$B$17</f>
        <v>5.13445604580211E-005</v>
      </c>
      <c r="O47" s="58" t="n">
        <f aca="false">H47/Settings!$B$15</f>
        <v>6.5948543722899E-006</v>
      </c>
      <c r="P47" s="59" t="n">
        <f aca="false">E47*Settings!$B$3</f>
        <v>0</v>
      </c>
      <c r="Q47" s="59" t="n">
        <f aca="false">IF(E47&gt;0,(J47-P47)/SQRT(E47*Settings!$B$3*(1-Settings!$B$3)),0)</f>
        <v>0</v>
      </c>
      <c r="R47" s="31" t="n">
        <f aca="false">IF(E47&gt;=Settings!$B$4,(J47+Settings!$B$7*Settings!$B$3)/(E47+Settings!$B$7),Settings!$B$3)</f>
        <v>0.0664935064935065</v>
      </c>
      <c r="S47" s="60" t="n">
        <f aca="false">PERCENTRANK($H$2:$H$95,H47,6)</f>
        <v>0.516129</v>
      </c>
      <c r="T47" s="60" t="n">
        <f aca="false">PERCENTRANK($R$2:$R$95,R47,6)</f>
        <v>0.129032</v>
      </c>
      <c r="U47" s="60" t="n">
        <f aca="false">PERCENTRANK($F$2:$F$95,F47,6)</f>
        <v>0.483871</v>
      </c>
      <c r="V47" s="61" t="n">
        <f aca="false">IF(F47&gt;0,ROUND((Settings!$B$8*U47+Settings!$B$9*S47+Settings!$B$10*T47)/SUM(Settings!$B$8:$B$10),10),0)</f>
        <v>0.376344</v>
      </c>
      <c r="W47" s="53" t="n">
        <f aca="false">IF(V47&gt;0,RANK(V47,$V$2:$V$95)+COUNTIF($V$2:V47,V47)-1,"")</f>
        <v>46</v>
      </c>
      <c r="X47" s="53" t="str">
        <f aca="false">IF(W47="","",IF(W47&lt;=Settings!$B$11,"1 - Fix first",IF(W47&lt;=Settings!$B$12,"2 - Review","3 - Monitor")))</f>
        <v>3 - Monitor</v>
      </c>
      <c r="Y47" s="53" t="str">
        <f aca="false">IF(AND(E47&gt;=Settings!$B$4,J47&gt;=Settings!$B$5,Q47&gt;=Settings!$B$6),"HIGH RATE","")</f>
        <v/>
      </c>
      <c r="Z47" s="53" t="n">
        <f aca="false">IF(F47&gt;0,RANK(F47,$F$2:$F$95)+COUNTIF($F$2:F47,F47)-1,"")</f>
        <v>46</v>
      </c>
      <c r="AA47" s="53" t="n">
        <f aca="false">IF(H47&gt;0,RANK(H47,$H$2:$H$95)+COUNTIF($H$2:H47,H47)-1,"")</f>
        <v>46</v>
      </c>
      <c r="AB47" s="53" t="str">
        <f aca="false">IF(AD47="","",RANK(AD47,$AD$2:$AD$95)+COUNTIF($AD$2:AD47,AD47)-1)</f>
        <v/>
      </c>
      <c r="AC47" s="53" t="str">
        <f aca="false">IF(AE47="","",RANK(AE47,$AE$2:$AE$95)+COUNTIF($AE$2:AE47,AE47)-1)</f>
        <v/>
      </c>
      <c r="AD47" s="53" t="str">
        <f aca="false">IF(AND(J47&gt;0,E47&gt;=Settings!$B$4),ROUND(L47,10),"")</f>
        <v/>
      </c>
      <c r="AE47" s="53" t="str">
        <f aca="false">IF(AND(J47&gt;=Settings!$B$5,E47&gt;=Settings!$B$4),ROUND(Q47,10),"")</f>
        <v/>
      </c>
      <c r="AF47" s="62" t="n">
        <f aca="false">L47/Settings!$B$14</f>
        <v>0</v>
      </c>
    </row>
    <row r="48" customFormat="false" ht="15" hidden="false" customHeight="false" outlineLevel="0" collapsed="false">
      <c r="A48" s="53" t="s">
        <v>342</v>
      </c>
      <c r="B48" s="53" t="s">
        <v>448</v>
      </c>
      <c r="C48" s="53" t="s">
        <v>54</v>
      </c>
      <c r="D48" s="53" t="s">
        <v>97</v>
      </c>
      <c r="E48" s="55" t="n">
        <f aca="false">SUMIFS(Detail!$K$2:$K$703,Detail!$C$2:$C$703,$A48)</f>
        <v>0</v>
      </c>
      <c r="F48" s="55" t="n">
        <f aca="false">SUMIFS(Detail!$F$2:$F$703,Detail!$C$2:$C$703,$A48)</f>
        <v>1</v>
      </c>
      <c r="G48" s="56" t="n">
        <f aca="false">SUMIFS(Detail!$M$2:$M$703,Detail!$C$2:$C$703,$A48)</f>
        <v>0</v>
      </c>
      <c r="H48" s="56" t="n">
        <f aca="false">SUMIFS(Detail!$E$2:$E$703,Detail!$C$2:$C$703,$A48)</f>
        <v>69.95</v>
      </c>
      <c r="I48" s="56" t="n">
        <f aca="false">SUMIFS(Detail!$H$2:$H$703,Detail!$C$2:$C$703,$A48)</f>
        <v>699.5</v>
      </c>
      <c r="J48" s="55" t="n">
        <f aca="false">SUMIFS(Detail!$L$2:$L$703,Detail!$C$2:$C$703,$A48)</f>
        <v>0</v>
      </c>
      <c r="K48" s="56" t="n">
        <f aca="false">SUMIFS(Detail!$N$2:$N$703,Detail!$C$2:$C$703,$A48)</f>
        <v>0</v>
      </c>
      <c r="L48" s="31" t="n">
        <f aca="false">IF(E48&gt;0,J48/E48,0)</f>
        <v>0</v>
      </c>
      <c r="M48" s="31" t="n">
        <f aca="false">IF(G48&gt;0,K48/G48,0)</f>
        <v>0</v>
      </c>
      <c r="N48" s="57" t="n">
        <f aca="false">H48/Settings!$B$17</f>
        <v>4.22784226490709E-005</v>
      </c>
      <c r="O48" s="58" t="n">
        <f aca="false">H48/Settings!$B$15</f>
        <v>5.4303715519915E-006</v>
      </c>
      <c r="P48" s="59" t="n">
        <f aca="false">E48*Settings!$B$3</f>
        <v>0</v>
      </c>
      <c r="Q48" s="59" t="n">
        <f aca="false">IF(E48&gt;0,(J48-P48)/SQRT(E48*Settings!$B$3*(1-Settings!$B$3)),0)</f>
        <v>0</v>
      </c>
      <c r="R48" s="31" t="n">
        <f aca="false">IF(E48&gt;=Settings!$B$4,(J48+Settings!$B$7*Settings!$B$3)/(E48+Settings!$B$7),Settings!$B$3)</f>
        <v>0.0664935064935065</v>
      </c>
      <c r="S48" s="60" t="n">
        <f aca="false">PERCENTRANK($H$2:$H$95,H48,6)</f>
        <v>0.505376</v>
      </c>
      <c r="T48" s="60" t="n">
        <f aca="false">PERCENTRANK($R$2:$R$95,R48,6)</f>
        <v>0.129032</v>
      </c>
      <c r="U48" s="60" t="n">
        <f aca="false">PERCENTRANK($F$2:$F$95,F48,6)</f>
        <v>0.483871</v>
      </c>
      <c r="V48" s="61" t="n">
        <f aca="false">IF(F48&gt;0,ROUND((Settings!$B$8*U48+Settings!$B$9*S48+Settings!$B$10*T48)/SUM(Settings!$B$8:$B$10),10),0)</f>
        <v>0.3727596667</v>
      </c>
      <c r="W48" s="53" t="n">
        <f aca="false">IF(V48&gt;0,RANK(V48,$V$2:$V$95)+COUNTIF($V$2:V48,V48)-1,"")</f>
        <v>47</v>
      </c>
      <c r="X48" s="53" t="str">
        <f aca="false">IF(W48="","",IF(W48&lt;=Settings!$B$11,"1 - Fix first",IF(W48&lt;=Settings!$B$12,"2 - Review","3 - Monitor")))</f>
        <v>3 - Monitor</v>
      </c>
      <c r="Y48" s="53" t="str">
        <f aca="false">IF(AND(E48&gt;=Settings!$B$4,J48&gt;=Settings!$B$5,Q48&gt;=Settings!$B$6),"HIGH RATE","")</f>
        <v/>
      </c>
      <c r="Z48" s="53" t="n">
        <f aca="false">IF(F48&gt;0,RANK(F48,$F$2:$F$95)+COUNTIF($F$2:F48,F48)-1,"")</f>
        <v>47</v>
      </c>
      <c r="AA48" s="53" t="n">
        <f aca="false">IF(H48&gt;0,RANK(H48,$H$2:$H$95)+COUNTIF($H$2:H48,H48)-1,"")</f>
        <v>47</v>
      </c>
      <c r="AB48" s="53" t="str">
        <f aca="false">IF(AD48="","",RANK(AD48,$AD$2:$AD$95)+COUNTIF($AD$2:AD48,AD48)-1)</f>
        <v/>
      </c>
      <c r="AC48" s="53" t="str">
        <f aca="false">IF(AE48="","",RANK(AE48,$AE$2:$AE$95)+COUNTIF($AE$2:AE48,AE48)-1)</f>
        <v/>
      </c>
      <c r="AD48" s="53" t="str">
        <f aca="false">IF(AND(J48&gt;0,E48&gt;=Settings!$B$4),ROUND(L48,10),"")</f>
        <v/>
      </c>
      <c r="AE48" s="53" t="str">
        <f aca="false">IF(AND(J48&gt;=Settings!$B$5,E48&gt;=Settings!$B$4),ROUND(Q48,10),"")</f>
        <v/>
      </c>
      <c r="AF48" s="62" t="n">
        <f aca="false">L48/Settings!$B$14</f>
        <v>0</v>
      </c>
    </row>
    <row r="49" customFormat="false" ht="15" hidden="false" customHeight="false" outlineLevel="0" collapsed="false">
      <c r="A49" s="53" t="s">
        <v>393</v>
      </c>
      <c r="B49" s="53" t="s">
        <v>449</v>
      </c>
      <c r="C49" s="53" t="s">
        <v>54</v>
      </c>
      <c r="D49" s="53" t="s">
        <v>100</v>
      </c>
      <c r="E49" s="55" t="n">
        <f aca="false">SUMIFS(Detail!$K$2:$K$703,Detail!$C$2:$C$703,$A49)</f>
        <v>11</v>
      </c>
      <c r="F49" s="55" t="n">
        <f aca="false">SUMIFS(Detail!$F$2:$F$703,Detail!$C$2:$C$703,$A49)</f>
        <v>1</v>
      </c>
      <c r="G49" s="56" t="n">
        <f aca="false">SUMIFS(Detail!$M$2:$M$703,Detail!$C$2:$C$703,$A49)</f>
        <v>749.44</v>
      </c>
      <c r="H49" s="56" t="n">
        <f aca="false">SUMIFS(Detail!$E$2:$E$703,Detail!$C$2:$C$703,$A49)</f>
        <v>54.51</v>
      </c>
      <c r="I49" s="56" t="n">
        <f aca="false">SUMIFS(Detail!$H$2:$H$703,Detail!$C$2:$C$703,$A49)</f>
        <v>817.58</v>
      </c>
      <c r="J49" s="55" t="n">
        <f aca="false">SUMIFS(Detail!$L$2:$L$703,Detail!$C$2:$C$703,$A49)</f>
        <v>1</v>
      </c>
      <c r="K49" s="56" t="n">
        <f aca="false">SUMIFS(Detail!$N$2:$N$703,Detail!$C$2:$C$703,$A49)</f>
        <v>54.51</v>
      </c>
      <c r="L49" s="31" t="n">
        <f aca="false">IF(E49&gt;0,J49/E49,0)</f>
        <v>0.0909090909090909</v>
      </c>
      <c r="M49" s="31" t="n">
        <f aca="false">IF(G49&gt;0,K49/G49,0)</f>
        <v>0.0727343082835184</v>
      </c>
      <c r="N49" s="57" t="n">
        <f aca="false">H49/Settings!$B$17</f>
        <v>3.29463447977249E-005</v>
      </c>
      <c r="O49" s="58" t="n">
        <f aca="false">H49/Settings!$B$15</f>
        <v>4.23173056896436E-006</v>
      </c>
      <c r="P49" s="59" t="n">
        <f aca="false">E49*Settings!$B$3</f>
        <v>0.731428571428571</v>
      </c>
      <c r="Q49" s="59" t="n">
        <f aca="false">IF(E49&gt;0,(J49-P49)/SQRT(E49*Settings!$B$3*(1-Settings!$B$3)),0)</f>
        <v>0.325023810180417</v>
      </c>
      <c r="R49" s="31" t="n">
        <f aca="false">IF(E49&gt;=Settings!$B$4,(J49+Settings!$B$7*Settings!$B$3)/(E49+Settings!$B$7),Settings!$B$3)</f>
        <v>0.0664935064935065</v>
      </c>
      <c r="S49" s="60" t="n">
        <f aca="false">PERCENTRANK($H$2:$H$95,H49,6)</f>
        <v>0.494624</v>
      </c>
      <c r="T49" s="60" t="n">
        <f aca="false">PERCENTRANK($R$2:$R$95,R49,6)</f>
        <v>0.129032</v>
      </c>
      <c r="U49" s="60" t="n">
        <f aca="false">PERCENTRANK($F$2:$F$95,F49,6)</f>
        <v>0.483871</v>
      </c>
      <c r="V49" s="61" t="n">
        <f aca="false">IF(F49&gt;0,ROUND((Settings!$B$8*U49+Settings!$B$9*S49+Settings!$B$10*T49)/SUM(Settings!$B$8:$B$10),10),0)</f>
        <v>0.3691756667</v>
      </c>
      <c r="W49" s="53" t="n">
        <f aca="false">IF(V49&gt;0,RANK(V49,$V$2:$V$95)+COUNTIF($V$2:V49,V49)-1,"")</f>
        <v>48</v>
      </c>
      <c r="X49" s="53" t="str">
        <f aca="false">IF(W49="","",IF(W49&lt;=Settings!$B$11,"1 - Fix first",IF(W49&lt;=Settings!$B$12,"2 - Review","3 - Monitor")))</f>
        <v>3 - Monitor</v>
      </c>
      <c r="Y49" s="53" t="str">
        <f aca="false">IF(AND(E49&gt;=Settings!$B$4,J49&gt;=Settings!$B$5,Q49&gt;=Settings!$B$6),"HIGH RATE","")</f>
        <v/>
      </c>
      <c r="Z49" s="53" t="n">
        <f aca="false">IF(F49&gt;0,RANK(F49,$F$2:$F$95)+COUNTIF($F$2:F49,F49)-1,"")</f>
        <v>48</v>
      </c>
      <c r="AA49" s="53" t="n">
        <f aca="false">IF(H49&gt;0,RANK(H49,$H$2:$H$95)+COUNTIF($H$2:H49,H49)-1,"")</f>
        <v>48</v>
      </c>
      <c r="AB49" s="53" t="str">
        <f aca="false">IF(AD49="","",RANK(AD49,$AD$2:$AD$95)+COUNTIF($AD$2:AD49,AD49)-1)</f>
        <v/>
      </c>
      <c r="AC49" s="53" t="str">
        <f aca="false">IF(AE49="","",RANK(AE49,$AE$2:$AE$95)+COUNTIF($AE$2:AE49,AE49)-1)</f>
        <v/>
      </c>
      <c r="AD49" s="53" t="str">
        <f aca="false">IF(AND(J49&gt;0,E49&gt;=Settings!$B$4),ROUND(L49,10),"")</f>
        <v/>
      </c>
      <c r="AE49" s="53" t="str">
        <f aca="false">IF(AND(J49&gt;=Settings!$B$5,E49&gt;=Settings!$B$4),ROUND(Q49,10),"")</f>
        <v/>
      </c>
      <c r="AF49" s="62" t="n">
        <f aca="false">L49/Settings!$B$14</f>
        <v>1.21350150058884</v>
      </c>
    </row>
    <row r="50" customFormat="false" ht="15" hidden="false" customHeight="false" outlineLevel="0" collapsed="false">
      <c r="A50" s="53" t="s">
        <v>385</v>
      </c>
      <c r="B50" s="53" t="s">
        <v>430</v>
      </c>
      <c r="C50" s="53" t="s">
        <v>54</v>
      </c>
      <c r="D50" s="53" t="s">
        <v>97</v>
      </c>
      <c r="E50" s="55" t="n">
        <f aca="false">SUMIFS(Detail!$K$2:$K$703,Detail!$C$2:$C$703,$A50)</f>
        <v>20</v>
      </c>
      <c r="F50" s="55" t="n">
        <f aca="false">SUMIFS(Detail!$F$2:$F$703,Detail!$C$2:$C$703,$A50)</f>
        <v>1</v>
      </c>
      <c r="G50" s="56" t="n">
        <f aca="false">SUMIFS(Detail!$M$2:$M$703,Detail!$C$2:$C$703,$A50)</f>
        <v>1406.32</v>
      </c>
      <c r="H50" s="56" t="n">
        <f aca="false">SUMIFS(Detail!$E$2:$E$703,Detail!$C$2:$C$703,$A50)</f>
        <v>53.64</v>
      </c>
      <c r="I50" s="56" t="n">
        <f aca="false">SUMIFS(Detail!$H$2:$H$703,Detail!$C$2:$C$703,$A50)</f>
        <v>3410.5</v>
      </c>
      <c r="J50" s="55" t="n">
        <f aca="false">SUMIFS(Detail!$L$2:$L$703,Detail!$C$2:$C$703,$A50)</f>
        <v>1</v>
      </c>
      <c r="K50" s="56" t="n">
        <f aca="false">SUMIFS(Detail!$N$2:$N$703,Detail!$C$2:$C$703,$A50)</f>
        <v>53.64</v>
      </c>
      <c r="L50" s="31" t="n">
        <f aca="false">IF(E50&gt;0,J50/E50,0)</f>
        <v>0.05</v>
      </c>
      <c r="M50" s="31" t="n">
        <f aca="false">IF(G50&gt;0,K50/G50,0)</f>
        <v>0.038142101370954</v>
      </c>
      <c r="N50" s="57" t="n">
        <f aca="false">H50/Settings!$B$17</f>
        <v>3.24205088048058E-005</v>
      </c>
      <c r="O50" s="58" t="n">
        <f aca="false">H50/Settings!$B$15</f>
        <v>4.16419056538705E-006</v>
      </c>
      <c r="P50" s="59" t="n">
        <f aca="false">E50*Settings!$B$3</f>
        <v>1.32987012987013</v>
      </c>
      <c r="Q50" s="59" t="n">
        <f aca="false">IF(E50&gt;0,(J50-P50)/SQRT(E50*Settings!$B$3*(1-Settings!$B$3)),0)</f>
        <v>-0.296059979056983</v>
      </c>
      <c r="R50" s="31" t="n">
        <f aca="false">IF(E50&gt;=Settings!$B$4,(J50+Settings!$B$7*Settings!$B$3)/(E50+Settings!$B$7),Settings!$B$3)</f>
        <v>0.0664935064935065</v>
      </c>
      <c r="S50" s="60" t="n">
        <f aca="false">PERCENTRANK($H$2:$H$95,H50,6)</f>
        <v>0.483871</v>
      </c>
      <c r="T50" s="60" t="n">
        <f aca="false">PERCENTRANK($R$2:$R$95,R50,6)</f>
        <v>0.129032</v>
      </c>
      <c r="U50" s="60" t="n">
        <f aca="false">PERCENTRANK($F$2:$F$95,F50,6)</f>
        <v>0.483871</v>
      </c>
      <c r="V50" s="61" t="n">
        <f aca="false">IF(F50&gt;0,ROUND((Settings!$B$8*U50+Settings!$B$9*S50+Settings!$B$10*T50)/SUM(Settings!$B$8:$B$10),10),0)</f>
        <v>0.3655913333</v>
      </c>
      <c r="W50" s="53" t="n">
        <f aca="false">IF(V50&gt;0,RANK(V50,$V$2:$V$95)+COUNTIF($V$2:V50,V50)-1,"")</f>
        <v>49</v>
      </c>
      <c r="X50" s="53" t="str">
        <f aca="false">IF(W50="","",IF(W50&lt;=Settings!$B$11,"1 - Fix first",IF(W50&lt;=Settings!$B$12,"2 - Review","3 - Monitor")))</f>
        <v>3 - Monitor</v>
      </c>
      <c r="Y50" s="53" t="str">
        <f aca="false">IF(AND(E50&gt;=Settings!$B$4,J50&gt;=Settings!$B$5,Q50&gt;=Settings!$B$6),"HIGH RATE","")</f>
        <v/>
      </c>
      <c r="Z50" s="53" t="n">
        <f aca="false">IF(F50&gt;0,RANK(F50,$F$2:$F$95)+COUNTIF($F$2:F50,F50)-1,"")</f>
        <v>49</v>
      </c>
      <c r="AA50" s="53" t="n">
        <f aca="false">IF(H50&gt;0,RANK(H50,$H$2:$H$95)+COUNTIF($H$2:H50,H50)-1,"")</f>
        <v>49</v>
      </c>
      <c r="AB50" s="53" t="str">
        <f aca="false">IF(AD50="","",RANK(AD50,$AD$2:$AD$95)+COUNTIF($AD$2:AD50,AD50)-1)</f>
        <v/>
      </c>
      <c r="AC50" s="53" t="str">
        <f aca="false">IF(AE50="","",RANK(AE50,$AE$2:$AE$95)+COUNTIF($AE$2:AE50,AE50)-1)</f>
        <v/>
      </c>
      <c r="AD50" s="53" t="str">
        <f aca="false">IF(AND(J50&gt;0,E50&gt;=Settings!$B$4),ROUND(L50,10),"")</f>
        <v/>
      </c>
      <c r="AE50" s="53" t="str">
        <f aca="false">IF(AND(J50&gt;=Settings!$B$5,E50&gt;=Settings!$B$4),ROUND(Q50,10),"")</f>
        <v/>
      </c>
      <c r="AF50" s="62" t="n">
        <f aca="false">L50/Settings!$B$14</f>
        <v>0.667425825323861</v>
      </c>
    </row>
    <row r="51" customFormat="false" ht="15" hidden="false" customHeight="false" outlineLevel="0" collapsed="false">
      <c r="A51" s="53" t="s">
        <v>348</v>
      </c>
      <c r="B51" s="53" t="s">
        <v>434</v>
      </c>
      <c r="C51" s="53" t="s">
        <v>62</v>
      </c>
      <c r="D51" s="53" t="s">
        <v>97</v>
      </c>
      <c r="E51" s="55" t="n">
        <f aca="false">SUMIFS(Detail!$K$2:$K$703,Detail!$C$2:$C$703,$A51)</f>
        <v>0</v>
      </c>
      <c r="F51" s="55" t="n">
        <f aca="false">SUMIFS(Detail!$F$2:$F$703,Detail!$C$2:$C$703,$A51)</f>
        <v>0</v>
      </c>
      <c r="G51" s="56" t="n">
        <f aca="false">SUMIFS(Detail!$M$2:$M$703,Detail!$C$2:$C$703,$A51)</f>
        <v>0</v>
      </c>
      <c r="H51" s="56" t="n">
        <f aca="false">SUMIFS(Detail!$E$2:$E$703,Detail!$C$2:$C$703,$A51)</f>
        <v>0</v>
      </c>
      <c r="I51" s="56" t="n">
        <f aca="false">SUMIFS(Detail!$H$2:$H$703,Detail!$C$2:$C$703,$A51)</f>
        <v>268.2</v>
      </c>
      <c r="J51" s="55" t="n">
        <f aca="false">SUMIFS(Detail!$L$2:$L$703,Detail!$C$2:$C$703,$A51)</f>
        <v>0</v>
      </c>
      <c r="K51" s="56" t="n">
        <f aca="false">SUMIFS(Detail!$N$2:$N$703,Detail!$C$2:$C$703,$A51)</f>
        <v>0</v>
      </c>
      <c r="L51" s="31" t="n">
        <f aca="false">IF(E51&gt;0,J51/E51,0)</f>
        <v>0</v>
      </c>
      <c r="M51" s="31" t="n">
        <f aca="false">IF(G51&gt;0,K51/G51,0)</f>
        <v>0</v>
      </c>
      <c r="N51" s="57" t="n">
        <f aca="false">H51/Settings!$B$17</f>
        <v>0</v>
      </c>
      <c r="O51" s="58" t="n">
        <f aca="false">H51/Settings!$B$15</f>
        <v>0</v>
      </c>
      <c r="P51" s="59" t="n">
        <f aca="false">E51*Settings!$B$3</f>
        <v>0</v>
      </c>
      <c r="Q51" s="59" t="n">
        <f aca="false">IF(E51&gt;0,(J51-P51)/SQRT(E51*Settings!$B$3*(1-Settings!$B$3)),0)</f>
        <v>0</v>
      </c>
      <c r="R51" s="31" t="n">
        <f aca="false">IF(E51&gt;=Settings!$B$4,(J51+Settings!$B$7*Settings!$B$3)/(E51+Settings!$B$7),Settings!$B$3)</f>
        <v>0.0664935064935065</v>
      </c>
      <c r="S51" s="60" t="n">
        <f aca="false">PERCENTRANK($H$2:$H$95,H51,6)</f>
        <v>0</v>
      </c>
      <c r="T51" s="60" t="n">
        <f aca="false">PERCENTRANK($R$2:$R$95,R51,6)</f>
        <v>0.129032</v>
      </c>
      <c r="U51" s="60" t="n">
        <f aca="false">PERCENTRANK($F$2:$F$95,F51,6)</f>
        <v>0</v>
      </c>
      <c r="V51" s="61" t="n">
        <f aca="false">IF(F51&gt;0,ROUND((Settings!$B$8*U51+Settings!$B$9*S51+Settings!$B$10*T51)/SUM(Settings!$B$8:$B$10),10),0)</f>
        <v>0</v>
      </c>
      <c r="W51" s="53" t="str">
        <f aca="false">IF(V51&gt;0,RANK(V51,$V$2:$V$95)+COUNTIF($V$2:V51,V51)-1,"")</f>
        <v/>
      </c>
      <c r="X51" s="53" t="str">
        <f aca="false">IF(W51="","",IF(W51&lt;=Settings!$B$11,"1 - Fix first",IF(W51&lt;=Settings!$B$12,"2 - Review","3 - Monitor")))</f>
        <v/>
      </c>
      <c r="Y51" s="53" t="str">
        <f aca="false">IF(AND(E51&gt;=Settings!$B$4,J51&gt;=Settings!$B$5,Q51&gt;=Settings!$B$6),"HIGH RATE","")</f>
        <v/>
      </c>
      <c r="Z51" s="53" t="str">
        <f aca="false">IF(F51&gt;0,RANK(F51,$F$2:$F$95)+COUNTIF($F$2:F51,F51)-1,"")</f>
        <v/>
      </c>
      <c r="AA51" s="53" t="str">
        <f aca="false">IF(H51&gt;0,RANK(H51,$H$2:$H$95)+COUNTIF($H$2:H51,H51)-1,"")</f>
        <v/>
      </c>
      <c r="AB51" s="53" t="str">
        <f aca="false">IF(AD51="","",RANK(AD51,$AD$2:$AD$95)+COUNTIF($AD$2:AD51,AD51)-1)</f>
        <v/>
      </c>
      <c r="AC51" s="53" t="str">
        <f aca="false">IF(AE51="","",RANK(AE51,$AE$2:$AE$95)+COUNTIF($AE$2:AE51,AE51)-1)</f>
        <v/>
      </c>
      <c r="AD51" s="53" t="str">
        <f aca="false">IF(AND(J51&gt;0,E51&gt;=Settings!$B$4),ROUND(L51,10),"")</f>
        <v/>
      </c>
      <c r="AE51" s="53" t="str">
        <f aca="false">IF(AND(J51&gt;=Settings!$B$5,E51&gt;=Settings!$B$4),ROUND(Q51,10),"")</f>
        <v/>
      </c>
      <c r="AF51" s="62" t="n">
        <f aca="false">L51/Settings!$B$14</f>
        <v>0</v>
      </c>
    </row>
    <row r="52" customFormat="false" ht="15" hidden="false" customHeight="false" outlineLevel="0" collapsed="false">
      <c r="A52" s="53" t="s">
        <v>351</v>
      </c>
      <c r="B52" s="53" t="s">
        <v>439</v>
      </c>
      <c r="C52" s="53" t="s">
        <v>58</v>
      </c>
      <c r="D52" s="53" t="s">
        <v>97</v>
      </c>
      <c r="E52" s="55" t="n">
        <f aca="false">SUMIFS(Detail!$K$2:$K$703,Detail!$C$2:$C$703,$A52)</f>
        <v>0</v>
      </c>
      <c r="F52" s="55" t="n">
        <f aca="false">SUMIFS(Detail!$F$2:$F$703,Detail!$C$2:$C$703,$A52)</f>
        <v>0</v>
      </c>
      <c r="G52" s="56" t="n">
        <f aca="false">SUMIFS(Detail!$M$2:$M$703,Detail!$C$2:$C$703,$A52)</f>
        <v>0</v>
      </c>
      <c r="H52" s="56" t="n">
        <f aca="false">SUMIFS(Detail!$E$2:$E$703,Detail!$C$2:$C$703,$A52)</f>
        <v>0</v>
      </c>
      <c r="I52" s="56" t="n">
        <f aca="false">SUMIFS(Detail!$H$2:$H$703,Detail!$C$2:$C$703,$A52)</f>
        <v>155.95</v>
      </c>
      <c r="J52" s="55" t="n">
        <f aca="false">SUMIFS(Detail!$L$2:$L$703,Detail!$C$2:$C$703,$A52)</f>
        <v>0</v>
      </c>
      <c r="K52" s="56" t="n">
        <f aca="false">SUMIFS(Detail!$N$2:$N$703,Detail!$C$2:$C$703,$A52)</f>
        <v>0</v>
      </c>
      <c r="L52" s="31" t="n">
        <f aca="false">IF(E52&gt;0,J52/E52,0)</f>
        <v>0</v>
      </c>
      <c r="M52" s="31" t="n">
        <f aca="false">IF(G52&gt;0,K52/G52,0)</f>
        <v>0</v>
      </c>
      <c r="N52" s="57" t="n">
        <f aca="false">H52/Settings!$B$17</f>
        <v>0</v>
      </c>
      <c r="O52" s="58" t="n">
        <f aca="false">H52/Settings!$B$15</f>
        <v>0</v>
      </c>
      <c r="P52" s="59" t="n">
        <f aca="false">E52*Settings!$B$3</f>
        <v>0</v>
      </c>
      <c r="Q52" s="59" t="n">
        <f aca="false">IF(E52&gt;0,(J52-P52)/SQRT(E52*Settings!$B$3*(1-Settings!$B$3)),0)</f>
        <v>0</v>
      </c>
      <c r="R52" s="31" t="n">
        <f aca="false">IF(E52&gt;=Settings!$B$4,(J52+Settings!$B$7*Settings!$B$3)/(E52+Settings!$B$7),Settings!$B$3)</f>
        <v>0.0664935064935065</v>
      </c>
      <c r="S52" s="60" t="n">
        <f aca="false">PERCENTRANK($H$2:$H$95,H52,6)</f>
        <v>0</v>
      </c>
      <c r="T52" s="60" t="n">
        <f aca="false">PERCENTRANK($R$2:$R$95,R52,6)</f>
        <v>0.129032</v>
      </c>
      <c r="U52" s="60" t="n">
        <f aca="false">PERCENTRANK($F$2:$F$95,F52,6)</f>
        <v>0</v>
      </c>
      <c r="V52" s="61" t="n">
        <f aca="false">IF(F52&gt;0,ROUND((Settings!$B$8*U52+Settings!$B$9*S52+Settings!$B$10*T52)/SUM(Settings!$B$8:$B$10),10),0)</f>
        <v>0</v>
      </c>
      <c r="W52" s="53" t="str">
        <f aca="false">IF(V52&gt;0,RANK(V52,$V$2:$V$95)+COUNTIF($V$2:V52,V52)-1,"")</f>
        <v/>
      </c>
      <c r="X52" s="53" t="str">
        <f aca="false">IF(W52="","",IF(W52&lt;=Settings!$B$11,"1 - Fix first",IF(W52&lt;=Settings!$B$12,"2 - Review","3 - Monitor")))</f>
        <v/>
      </c>
      <c r="Y52" s="53" t="str">
        <f aca="false">IF(AND(E52&gt;=Settings!$B$4,J52&gt;=Settings!$B$5,Q52&gt;=Settings!$B$6),"HIGH RATE","")</f>
        <v/>
      </c>
      <c r="Z52" s="53" t="str">
        <f aca="false">IF(F52&gt;0,RANK(F52,$F$2:$F$95)+COUNTIF($F$2:F52,F52)-1,"")</f>
        <v/>
      </c>
      <c r="AA52" s="53" t="str">
        <f aca="false">IF(H52&gt;0,RANK(H52,$H$2:$H$95)+COUNTIF($H$2:H52,H52)-1,"")</f>
        <v/>
      </c>
      <c r="AB52" s="53" t="str">
        <f aca="false">IF(AD52="","",RANK(AD52,$AD$2:$AD$95)+COUNTIF($AD$2:AD52,AD52)-1)</f>
        <v/>
      </c>
      <c r="AC52" s="53" t="str">
        <f aca="false">IF(AE52="","",RANK(AE52,$AE$2:$AE$95)+COUNTIF($AE$2:AE52,AE52)-1)</f>
        <v/>
      </c>
      <c r="AD52" s="53" t="str">
        <f aca="false">IF(AND(J52&gt;0,E52&gt;=Settings!$B$4),ROUND(L52,10),"")</f>
        <v/>
      </c>
      <c r="AE52" s="53" t="str">
        <f aca="false">IF(AND(J52&gt;=Settings!$B$5,E52&gt;=Settings!$B$4),ROUND(Q52,10),"")</f>
        <v/>
      </c>
      <c r="AF52" s="62" t="n">
        <f aca="false">L52/Settings!$B$14</f>
        <v>0</v>
      </c>
    </row>
    <row r="53" customFormat="false" ht="15" hidden="false" customHeight="false" outlineLevel="0" collapsed="false">
      <c r="A53" s="53" t="s">
        <v>337</v>
      </c>
      <c r="B53" s="53" t="s">
        <v>439</v>
      </c>
      <c r="C53" s="53" t="s">
        <v>58</v>
      </c>
      <c r="D53" s="53" t="s">
        <v>97</v>
      </c>
      <c r="E53" s="55" t="n">
        <f aca="false">SUMIFS(Detail!$K$2:$K$703,Detail!$C$2:$C$703,$A53)</f>
        <v>0</v>
      </c>
      <c r="F53" s="55" t="n">
        <f aca="false">SUMIFS(Detail!$F$2:$F$703,Detail!$C$2:$C$703,$A53)</f>
        <v>0</v>
      </c>
      <c r="G53" s="56" t="n">
        <f aca="false">SUMIFS(Detail!$M$2:$M$703,Detail!$C$2:$C$703,$A53)</f>
        <v>0</v>
      </c>
      <c r="H53" s="56" t="n">
        <f aca="false">SUMIFS(Detail!$E$2:$E$703,Detail!$C$2:$C$703,$A53)</f>
        <v>0</v>
      </c>
      <c r="I53" s="56" t="n">
        <f aca="false">SUMIFS(Detail!$H$2:$H$703,Detail!$C$2:$C$703,$A53)</f>
        <v>180.95</v>
      </c>
      <c r="J53" s="55" t="n">
        <f aca="false">SUMIFS(Detail!$L$2:$L$703,Detail!$C$2:$C$703,$A53)</f>
        <v>0</v>
      </c>
      <c r="K53" s="56" t="n">
        <f aca="false">SUMIFS(Detail!$N$2:$N$703,Detail!$C$2:$C$703,$A53)</f>
        <v>0</v>
      </c>
      <c r="L53" s="31" t="n">
        <f aca="false">IF(E53&gt;0,J53/E53,0)</f>
        <v>0</v>
      </c>
      <c r="M53" s="31" t="n">
        <f aca="false">IF(G53&gt;0,K53/G53,0)</f>
        <v>0</v>
      </c>
      <c r="N53" s="57" t="n">
        <f aca="false">H53/Settings!$B$17</f>
        <v>0</v>
      </c>
      <c r="O53" s="58" t="n">
        <f aca="false">H53/Settings!$B$15</f>
        <v>0</v>
      </c>
      <c r="P53" s="59" t="n">
        <f aca="false">E53*Settings!$B$3</f>
        <v>0</v>
      </c>
      <c r="Q53" s="59" t="n">
        <f aca="false">IF(E53&gt;0,(J53-P53)/SQRT(E53*Settings!$B$3*(1-Settings!$B$3)),0)</f>
        <v>0</v>
      </c>
      <c r="R53" s="31" t="n">
        <f aca="false">IF(E53&gt;=Settings!$B$4,(J53+Settings!$B$7*Settings!$B$3)/(E53+Settings!$B$7),Settings!$B$3)</f>
        <v>0.0664935064935065</v>
      </c>
      <c r="S53" s="60" t="n">
        <f aca="false">PERCENTRANK($H$2:$H$95,H53,6)</f>
        <v>0</v>
      </c>
      <c r="T53" s="60" t="n">
        <f aca="false">PERCENTRANK($R$2:$R$95,R53,6)</f>
        <v>0.129032</v>
      </c>
      <c r="U53" s="60" t="n">
        <f aca="false">PERCENTRANK($F$2:$F$95,F53,6)</f>
        <v>0</v>
      </c>
      <c r="V53" s="61" t="n">
        <f aca="false">IF(F53&gt;0,ROUND((Settings!$B$8*U53+Settings!$B$9*S53+Settings!$B$10*T53)/SUM(Settings!$B$8:$B$10),10),0)</f>
        <v>0</v>
      </c>
      <c r="W53" s="53" t="str">
        <f aca="false">IF(V53&gt;0,RANK(V53,$V$2:$V$95)+COUNTIF($V$2:V53,V53)-1,"")</f>
        <v/>
      </c>
      <c r="X53" s="53" t="str">
        <f aca="false">IF(W53="","",IF(W53&lt;=Settings!$B$11,"1 - Fix first",IF(W53&lt;=Settings!$B$12,"2 - Review","3 - Monitor")))</f>
        <v/>
      </c>
      <c r="Y53" s="53" t="str">
        <f aca="false">IF(AND(E53&gt;=Settings!$B$4,J53&gt;=Settings!$B$5,Q53&gt;=Settings!$B$6),"HIGH RATE","")</f>
        <v/>
      </c>
      <c r="Z53" s="53" t="str">
        <f aca="false">IF(F53&gt;0,RANK(F53,$F$2:$F$95)+COUNTIF($F$2:F53,F53)-1,"")</f>
        <v/>
      </c>
      <c r="AA53" s="53" t="str">
        <f aca="false">IF(H53&gt;0,RANK(H53,$H$2:$H$95)+COUNTIF($H$2:H53,H53)-1,"")</f>
        <v/>
      </c>
      <c r="AB53" s="53" t="str">
        <f aca="false">IF(AD53="","",RANK(AD53,$AD$2:$AD$95)+COUNTIF($AD$2:AD53,AD53)-1)</f>
        <v/>
      </c>
      <c r="AC53" s="53" t="str">
        <f aca="false">IF(AE53="","",RANK(AE53,$AE$2:$AE$95)+COUNTIF($AE$2:AE53,AE53)-1)</f>
        <v/>
      </c>
      <c r="AD53" s="53" t="str">
        <f aca="false">IF(AND(J53&gt;0,E53&gt;=Settings!$B$4),ROUND(L53,10),"")</f>
        <v/>
      </c>
      <c r="AE53" s="53" t="str">
        <f aca="false">IF(AND(J53&gt;=Settings!$B$5,E53&gt;=Settings!$B$4),ROUND(Q53,10),"")</f>
        <v/>
      </c>
      <c r="AF53" s="62" t="n">
        <f aca="false">L53/Settings!$B$14</f>
        <v>0</v>
      </c>
    </row>
    <row r="54" customFormat="false" ht="15" hidden="false" customHeight="false" outlineLevel="0" collapsed="false">
      <c r="A54" s="53" t="s">
        <v>379</v>
      </c>
      <c r="B54" s="53" t="s">
        <v>450</v>
      </c>
      <c r="C54" s="53" t="s">
        <v>62</v>
      </c>
      <c r="D54" s="53" t="s">
        <v>89</v>
      </c>
      <c r="E54" s="55" t="n">
        <f aca="false">SUMIFS(Detail!$K$2:$K$703,Detail!$C$2:$C$703,$A54)</f>
        <v>0</v>
      </c>
      <c r="F54" s="55" t="n">
        <f aca="false">SUMIFS(Detail!$F$2:$F$703,Detail!$C$2:$C$703,$A54)</f>
        <v>0</v>
      </c>
      <c r="G54" s="56" t="n">
        <f aca="false">SUMIFS(Detail!$M$2:$M$703,Detail!$C$2:$C$703,$A54)</f>
        <v>0</v>
      </c>
      <c r="H54" s="56" t="n">
        <f aca="false">SUMIFS(Detail!$E$2:$E$703,Detail!$C$2:$C$703,$A54)</f>
        <v>0</v>
      </c>
      <c r="I54" s="56" t="n">
        <f aca="false">SUMIFS(Detail!$H$2:$H$703,Detail!$C$2:$C$703,$A54)</f>
        <v>112.7</v>
      </c>
      <c r="J54" s="55" t="n">
        <f aca="false">SUMIFS(Detail!$L$2:$L$703,Detail!$C$2:$C$703,$A54)</f>
        <v>0</v>
      </c>
      <c r="K54" s="56" t="n">
        <f aca="false">SUMIFS(Detail!$N$2:$N$703,Detail!$C$2:$C$703,$A54)</f>
        <v>0</v>
      </c>
      <c r="L54" s="31" t="n">
        <f aca="false">IF(E54&gt;0,J54/E54,0)</f>
        <v>0</v>
      </c>
      <c r="M54" s="31" t="n">
        <f aca="false">IF(G54&gt;0,K54/G54,0)</f>
        <v>0</v>
      </c>
      <c r="N54" s="57" t="n">
        <f aca="false">H54/Settings!$B$17</f>
        <v>0</v>
      </c>
      <c r="O54" s="58" t="n">
        <f aca="false">H54/Settings!$B$15</f>
        <v>0</v>
      </c>
      <c r="P54" s="59" t="n">
        <f aca="false">E54*Settings!$B$3</f>
        <v>0</v>
      </c>
      <c r="Q54" s="59" t="n">
        <f aca="false">IF(E54&gt;0,(J54-P54)/SQRT(E54*Settings!$B$3*(1-Settings!$B$3)),0)</f>
        <v>0</v>
      </c>
      <c r="R54" s="31" t="n">
        <f aca="false">IF(E54&gt;=Settings!$B$4,(J54+Settings!$B$7*Settings!$B$3)/(E54+Settings!$B$7),Settings!$B$3)</f>
        <v>0.0664935064935065</v>
      </c>
      <c r="S54" s="60" t="n">
        <f aca="false">PERCENTRANK($H$2:$H$95,H54,6)</f>
        <v>0</v>
      </c>
      <c r="T54" s="60" t="n">
        <f aca="false">PERCENTRANK($R$2:$R$95,R54,6)</f>
        <v>0.129032</v>
      </c>
      <c r="U54" s="60" t="n">
        <f aca="false">PERCENTRANK($F$2:$F$95,F54,6)</f>
        <v>0</v>
      </c>
      <c r="V54" s="61" t="n">
        <f aca="false">IF(F54&gt;0,ROUND((Settings!$B$8*U54+Settings!$B$9*S54+Settings!$B$10*T54)/SUM(Settings!$B$8:$B$10),10),0)</f>
        <v>0</v>
      </c>
      <c r="W54" s="53" t="str">
        <f aca="false">IF(V54&gt;0,RANK(V54,$V$2:$V$95)+COUNTIF($V$2:V54,V54)-1,"")</f>
        <v/>
      </c>
      <c r="X54" s="53" t="str">
        <f aca="false">IF(W54="","",IF(W54&lt;=Settings!$B$11,"1 - Fix first",IF(W54&lt;=Settings!$B$12,"2 - Review","3 - Monitor")))</f>
        <v/>
      </c>
      <c r="Y54" s="53" t="str">
        <f aca="false">IF(AND(E54&gt;=Settings!$B$4,J54&gt;=Settings!$B$5,Q54&gt;=Settings!$B$6),"HIGH RATE","")</f>
        <v/>
      </c>
      <c r="Z54" s="53" t="str">
        <f aca="false">IF(F54&gt;0,RANK(F54,$F$2:$F$95)+COUNTIF($F$2:F54,F54)-1,"")</f>
        <v/>
      </c>
      <c r="AA54" s="53" t="str">
        <f aca="false">IF(H54&gt;0,RANK(H54,$H$2:$H$95)+COUNTIF($H$2:H54,H54)-1,"")</f>
        <v/>
      </c>
      <c r="AB54" s="53" t="str">
        <f aca="false">IF(AD54="","",RANK(AD54,$AD$2:$AD$95)+COUNTIF($AD$2:AD54,AD54)-1)</f>
        <v/>
      </c>
      <c r="AC54" s="53" t="str">
        <f aca="false">IF(AE54="","",RANK(AE54,$AE$2:$AE$95)+COUNTIF($AE$2:AE54,AE54)-1)</f>
        <v/>
      </c>
      <c r="AD54" s="53" t="str">
        <f aca="false">IF(AND(J54&gt;0,E54&gt;=Settings!$B$4),ROUND(L54,10),"")</f>
        <v/>
      </c>
      <c r="AE54" s="53" t="str">
        <f aca="false">IF(AND(J54&gt;=Settings!$B$5,E54&gt;=Settings!$B$4),ROUND(Q54,10),"")</f>
        <v/>
      </c>
      <c r="AF54" s="62" t="n">
        <f aca="false">L54/Settings!$B$14</f>
        <v>0</v>
      </c>
    </row>
    <row r="55" customFormat="false" ht="15" hidden="false" customHeight="false" outlineLevel="0" collapsed="false">
      <c r="A55" s="53" t="s">
        <v>376</v>
      </c>
      <c r="B55" s="53" t="s">
        <v>451</v>
      </c>
      <c r="C55" s="53" t="s">
        <v>62</v>
      </c>
      <c r="D55" s="53" t="s">
        <v>89</v>
      </c>
      <c r="E55" s="55" t="n">
        <f aca="false">SUMIFS(Detail!$K$2:$K$703,Detail!$C$2:$C$703,$A55)</f>
        <v>0</v>
      </c>
      <c r="F55" s="55" t="n">
        <f aca="false">SUMIFS(Detail!$F$2:$F$703,Detail!$C$2:$C$703,$A55)</f>
        <v>0</v>
      </c>
      <c r="G55" s="56" t="n">
        <f aca="false">SUMIFS(Detail!$M$2:$M$703,Detail!$C$2:$C$703,$A55)</f>
        <v>0</v>
      </c>
      <c r="H55" s="56" t="n">
        <f aca="false">SUMIFS(Detail!$E$2:$E$703,Detail!$C$2:$C$703,$A55)</f>
        <v>0</v>
      </c>
      <c r="I55" s="56" t="n">
        <f aca="false">SUMIFS(Detail!$H$2:$H$703,Detail!$C$2:$C$703,$A55)</f>
        <v>119.95</v>
      </c>
      <c r="J55" s="55" t="n">
        <f aca="false">SUMIFS(Detail!$L$2:$L$703,Detail!$C$2:$C$703,$A55)</f>
        <v>0</v>
      </c>
      <c r="K55" s="56" t="n">
        <f aca="false">SUMIFS(Detail!$N$2:$N$703,Detail!$C$2:$C$703,$A55)</f>
        <v>0</v>
      </c>
      <c r="L55" s="31" t="n">
        <f aca="false">IF(E55&gt;0,J55/E55,0)</f>
        <v>0</v>
      </c>
      <c r="M55" s="31" t="n">
        <f aca="false">IF(G55&gt;0,K55/G55,0)</f>
        <v>0</v>
      </c>
      <c r="N55" s="57" t="n">
        <f aca="false">H55/Settings!$B$17</f>
        <v>0</v>
      </c>
      <c r="O55" s="58" t="n">
        <f aca="false">H55/Settings!$B$15</f>
        <v>0</v>
      </c>
      <c r="P55" s="59" t="n">
        <f aca="false">E55*Settings!$B$3</f>
        <v>0</v>
      </c>
      <c r="Q55" s="59" t="n">
        <f aca="false">IF(E55&gt;0,(J55-P55)/SQRT(E55*Settings!$B$3*(1-Settings!$B$3)),0)</f>
        <v>0</v>
      </c>
      <c r="R55" s="31" t="n">
        <f aca="false">IF(E55&gt;=Settings!$B$4,(J55+Settings!$B$7*Settings!$B$3)/(E55+Settings!$B$7),Settings!$B$3)</f>
        <v>0.0664935064935065</v>
      </c>
      <c r="S55" s="60" t="n">
        <f aca="false">PERCENTRANK($H$2:$H$95,H55,6)</f>
        <v>0</v>
      </c>
      <c r="T55" s="60" t="n">
        <f aca="false">PERCENTRANK($R$2:$R$95,R55,6)</f>
        <v>0.129032</v>
      </c>
      <c r="U55" s="60" t="n">
        <f aca="false">PERCENTRANK($F$2:$F$95,F55,6)</f>
        <v>0</v>
      </c>
      <c r="V55" s="61" t="n">
        <f aca="false">IF(F55&gt;0,ROUND((Settings!$B$8*U55+Settings!$B$9*S55+Settings!$B$10*T55)/SUM(Settings!$B$8:$B$10),10),0)</f>
        <v>0</v>
      </c>
      <c r="W55" s="53" t="str">
        <f aca="false">IF(V55&gt;0,RANK(V55,$V$2:$V$95)+COUNTIF($V$2:V55,V55)-1,"")</f>
        <v/>
      </c>
      <c r="X55" s="53" t="str">
        <f aca="false">IF(W55="","",IF(W55&lt;=Settings!$B$11,"1 - Fix first",IF(W55&lt;=Settings!$B$12,"2 - Review","3 - Monitor")))</f>
        <v/>
      </c>
      <c r="Y55" s="53" t="str">
        <f aca="false">IF(AND(E55&gt;=Settings!$B$4,J55&gt;=Settings!$B$5,Q55&gt;=Settings!$B$6),"HIGH RATE","")</f>
        <v/>
      </c>
      <c r="Z55" s="53" t="str">
        <f aca="false">IF(F55&gt;0,RANK(F55,$F$2:$F$95)+COUNTIF($F$2:F55,F55)-1,"")</f>
        <v/>
      </c>
      <c r="AA55" s="53" t="str">
        <f aca="false">IF(H55&gt;0,RANK(H55,$H$2:$H$95)+COUNTIF($H$2:H55,H55)-1,"")</f>
        <v/>
      </c>
      <c r="AB55" s="53" t="str">
        <f aca="false">IF(AD55="","",RANK(AD55,$AD$2:$AD$95)+COUNTIF($AD$2:AD55,AD55)-1)</f>
        <v/>
      </c>
      <c r="AC55" s="53" t="str">
        <f aca="false">IF(AE55="","",RANK(AE55,$AE$2:$AE$95)+COUNTIF($AE$2:AE55,AE55)-1)</f>
        <v/>
      </c>
      <c r="AD55" s="53" t="str">
        <f aca="false">IF(AND(J55&gt;0,E55&gt;=Settings!$B$4),ROUND(L55,10),"")</f>
        <v/>
      </c>
      <c r="AE55" s="53" t="str">
        <f aca="false">IF(AND(J55&gt;=Settings!$B$5,E55&gt;=Settings!$B$4),ROUND(Q55,10),"")</f>
        <v/>
      </c>
      <c r="AF55" s="62" t="n">
        <f aca="false">L55/Settings!$B$14</f>
        <v>0</v>
      </c>
    </row>
    <row r="56" customFormat="false" ht="15" hidden="false" customHeight="false" outlineLevel="0" collapsed="false">
      <c r="A56" s="53" t="s">
        <v>378</v>
      </c>
      <c r="B56" s="53" t="s">
        <v>452</v>
      </c>
      <c r="C56" s="53" t="s">
        <v>62</v>
      </c>
      <c r="D56" s="53" t="s">
        <v>89</v>
      </c>
      <c r="E56" s="55" t="n">
        <f aca="false">SUMIFS(Detail!$K$2:$K$703,Detail!$C$2:$C$703,$A56)</f>
        <v>0</v>
      </c>
      <c r="F56" s="55" t="n">
        <f aca="false">SUMIFS(Detail!$F$2:$F$703,Detail!$C$2:$C$703,$A56)</f>
        <v>0</v>
      </c>
      <c r="G56" s="56" t="n">
        <f aca="false">SUMIFS(Detail!$M$2:$M$703,Detail!$C$2:$C$703,$A56)</f>
        <v>0</v>
      </c>
      <c r="H56" s="56" t="n">
        <f aca="false">SUMIFS(Detail!$E$2:$E$703,Detail!$C$2:$C$703,$A56)</f>
        <v>0</v>
      </c>
      <c r="I56" s="56" t="n">
        <f aca="false">SUMIFS(Detail!$H$2:$H$703,Detail!$C$2:$C$703,$A56)</f>
        <v>93.45</v>
      </c>
      <c r="J56" s="55" t="n">
        <f aca="false">SUMIFS(Detail!$L$2:$L$703,Detail!$C$2:$C$703,$A56)</f>
        <v>0</v>
      </c>
      <c r="K56" s="56" t="n">
        <f aca="false">SUMIFS(Detail!$N$2:$N$703,Detail!$C$2:$C$703,$A56)</f>
        <v>0</v>
      </c>
      <c r="L56" s="31" t="n">
        <f aca="false">IF(E56&gt;0,J56/E56,0)</f>
        <v>0</v>
      </c>
      <c r="M56" s="31" t="n">
        <f aca="false">IF(G56&gt;0,K56/G56,0)</f>
        <v>0</v>
      </c>
      <c r="N56" s="57" t="n">
        <f aca="false">H56/Settings!$B$17</f>
        <v>0</v>
      </c>
      <c r="O56" s="58" t="n">
        <f aca="false">H56/Settings!$B$15</f>
        <v>0</v>
      </c>
      <c r="P56" s="59" t="n">
        <f aca="false">E56*Settings!$B$3</f>
        <v>0</v>
      </c>
      <c r="Q56" s="59" t="n">
        <f aca="false">IF(E56&gt;0,(J56-P56)/SQRT(E56*Settings!$B$3*(1-Settings!$B$3)),0)</f>
        <v>0</v>
      </c>
      <c r="R56" s="31" t="n">
        <f aca="false">IF(E56&gt;=Settings!$B$4,(J56+Settings!$B$7*Settings!$B$3)/(E56+Settings!$B$7),Settings!$B$3)</f>
        <v>0.0664935064935065</v>
      </c>
      <c r="S56" s="60" t="n">
        <f aca="false">PERCENTRANK($H$2:$H$95,H56,6)</f>
        <v>0</v>
      </c>
      <c r="T56" s="60" t="n">
        <f aca="false">PERCENTRANK($R$2:$R$95,R56,6)</f>
        <v>0.129032</v>
      </c>
      <c r="U56" s="60" t="n">
        <f aca="false">PERCENTRANK($F$2:$F$95,F56,6)</f>
        <v>0</v>
      </c>
      <c r="V56" s="61" t="n">
        <f aca="false">IF(F56&gt;0,ROUND((Settings!$B$8*U56+Settings!$B$9*S56+Settings!$B$10*T56)/SUM(Settings!$B$8:$B$10),10),0)</f>
        <v>0</v>
      </c>
      <c r="W56" s="53" t="str">
        <f aca="false">IF(V56&gt;0,RANK(V56,$V$2:$V$95)+COUNTIF($V$2:V56,V56)-1,"")</f>
        <v/>
      </c>
      <c r="X56" s="53" t="str">
        <f aca="false">IF(W56="","",IF(W56&lt;=Settings!$B$11,"1 - Fix first",IF(W56&lt;=Settings!$B$12,"2 - Review","3 - Monitor")))</f>
        <v/>
      </c>
      <c r="Y56" s="53" t="str">
        <f aca="false">IF(AND(E56&gt;=Settings!$B$4,J56&gt;=Settings!$B$5,Q56&gt;=Settings!$B$6),"HIGH RATE","")</f>
        <v/>
      </c>
      <c r="Z56" s="53" t="str">
        <f aca="false">IF(F56&gt;0,RANK(F56,$F$2:$F$95)+COUNTIF($F$2:F56,F56)-1,"")</f>
        <v/>
      </c>
      <c r="AA56" s="53" t="str">
        <f aca="false">IF(H56&gt;0,RANK(H56,$H$2:$H$95)+COUNTIF($H$2:H56,H56)-1,"")</f>
        <v/>
      </c>
      <c r="AB56" s="53" t="str">
        <f aca="false">IF(AD56="","",RANK(AD56,$AD$2:$AD$95)+COUNTIF($AD$2:AD56,AD56)-1)</f>
        <v/>
      </c>
      <c r="AC56" s="53" t="str">
        <f aca="false">IF(AE56="","",RANK(AE56,$AE$2:$AE$95)+COUNTIF($AE$2:AE56,AE56)-1)</f>
        <v/>
      </c>
      <c r="AD56" s="53" t="str">
        <f aca="false">IF(AND(J56&gt;0,E56&gt;=Settings!$B$4),ROUND(L56,10),"")</f>
        <v/>
      </c>
      <c r="AE56" s="53" t="str">
        <f aca="false">IF(AND(J56&gt;=Settings!$B$5,E56&gt;=Settings!$B$4),ROUND(Q56,10),"")</f>
        <v/>
      </c>
      <c r="AF56" s="62" t="n">
        <f aca="false">L56/Settings!$B$14</f>
        <v>0</v>
      </c>
    </row>
    <row r="57" customFormat="false" ht="15" hidden="false" customHeight="false" outlineLevel="0" collapsed="false">
      <c r="A57" s="53" t="s">
        <v>388</v>
      </c>
      <c r="B57" s="53" t="s">
        <v>433</v>
      </c>
      <c r="C57" s="53" t="s">
        <v>62</v>
      </c>
      <c r="D57" s="53" t="s">
        <v>89</v>
      </c>
      <c r="E57" s="55" t="n">
        <f aca="false">SUMIFS(Detail!$K$2:$K$703,Detail!$C$2:$C$703,$A57)</f>
        <v>0</v>
      </c>
      <c r="F57" s="55" t="n">
        <f aca="false">SUMIFS(Detail!$F$2:$F$703,Detail!$C$2:$C$703,$A57)</f>
        <v>0</v>
      </c>
      <c r="G57" s="56" t="n">
        <f aca="false">SUMIFS(Detail!$M$2:$M$703,Detail!$C$2:$C$703,$A57)</f>
        <v>0</v>
      </c>
      <c r="H57" s="56" t="n">
        <f aca="false">SUMIFS(Detail!$E$2:$E$703,Detail!$C$2:$C$703,$A57)</f>
        <v>0</v>
      </c>
      <c r="I57" s="56" t="n">
        <f aca="false">SUMIFS(Detail!$H$2:$H$703,Detail!$C$2:$C$703,$A57)</f>
        <v>179.95</v>
      </c>
      <c r="J57" s="55" t="n">
        <f aca="false">SUMIFS(Detail!$L$2:$L$703,Detail!$C$2:$C$703,$A57)</f>
        <v>0</v>
      </c>
      <c r="K57" s="56" t="n">
        <f aca="false">SUMIFS(Detail!$N$2:$N$703,Detail!$C$2:$C$703,$A57)</f>
        <v>0</v>
      </c>
      <c r="L57" s="31" t="n">
        <f aca="false">IF(E57&gt;0,J57/E57,0)</f>
        <v>0</v>
      </c>
      <c r="M57" s="31" t="n">
        <f aca="false">IF(G57&gt;0,K57/G57,0)</f>
        <v>0</v>
      </c>
      <c r="N57" s="57" t="n">
        <f aca="false">H57/Settings!$B$17</f>
        <v>0</v>
      </c>
      <c r="O57" s="58" t="n">
        <f aca="false">H57/Settings!$B$15</f>
        <v>0</v>
      </c>
      <c r="P57" s="59" t="n">
        <f aca="false">E57*Settings!$B$3</f>
        <v>0</v>
      </c>
      <c r="Q57" s="59" t="n">
        <f aca="false">IF(E57&gt;0,(J57-P57)/SQRT(E57*Settings!$B$3*(1-Settings!$B$3)),0)</f>
        <v>0</v>
      </c>
      <c r="R57" s="31" t="n">
        <f aca="false">IF(E57&gt;=Settings!$B$4,(J57+Settings!$B$7*Settings!$B$3)/(E57+Settings!$B$7),Settings!$B$3)</f>
        <v>0.0664935064935065</v>
      </c>
      <c r="S57" s="60" t="n">
        <f aca="false">PERCENTRANK($H$2:$H$95,H57,6)</f>
        <v>0</v>
      </c>
      <c r="T57" s="60" t="n">
        <f aca="false">PERCENTRANK($R$2:$R$95,R57,6)</f>
        <v>0.129032</v>
      </c>
      <c r="U57" s="60" t="n">
        <f aca="false">PERCENTRANK($F$2:$F$95,F57,6)</f>
        <v>0</v>
      </c>
      <c r="V57" s="61" t="n">
        <f aca="false">IF(F57&gt;0,ROUND((Settings!$B$8*U57+Settings!$B$9*S57+Settings!$B$10*T57)/SUM(Settings!$B$8:$B$10),10),0)</f>
        <v>0</v>
      </c>
      <c r="W57" s="53" t="str">
        <f aca="false">IF(V57&gt;0,RANK(V57,$V$2:$V$95)+COUNTIF($V$2:V57,V57)-1,"")</f>
        <v/>
      </c>
      <c r="X57" s="53" t="str">
        <f aca="false">IF(W57="","",IF(W57&lt;=Settings!$B$11,"1 - Fix first",IF(W57&lt;=Settings!$B$12,"2 - Review","3 - Monitor")))</f>
        <v/>
      </c>
      <c r="Y57" s="53" t="str">
        <f aca="false">IF(AND(E57&gt;=Settings!$B$4,J57&gt;=Settings!$B$5,Q57&gt;=Settings!$B$6),"HIGH RATE","")</f>
        <v/>
      </c>
      <c r="Z57" s="53" t="str">
        <f aca="false">IF(F57&gt;0,RANK(F57,$F$2:$F$95)+COUNTIF($F$2:F57,F57)-1,"")</f>
        <v/>
      </c>
      <c r="AA57" s="53" t="str">
        <f aca="false">IF(H57&gt;0,RANK(H57,$H$2:$H$95)+COUNTIF($H$2:H57,H57)-1,"")</f>
        <v/>
      </c>
      <c r="AB57" s="53" t="str">
        <f aca="false">IF(AD57="","",RANK(AD57,$AD$2:$AD$95)+COUNTIF($AD$2:AD57,AD57)-1)</f>
        <v/>
      </c>
      <c r="AC57" s="53" t="str">
        <f aca="false">IF(AE57="","",RANK(AE57,$AE$2:$AE$95)+COUNTIF($AE$2:AE57,AE57)-1)</f>
        <v/>
      </c>
      <c r="AD57" s="53" t="str">
        <f aca="false">IF(AND(J57&gt;0,E57&gt;=Settings!$B$4),ROUND(L57,10),"")</f>
        <v/>
      </c>
      <c r="AE57" s="53" t="str">
        <f aca="false">IF(AND(J57&gt;=Settings!$B$5,E57&gt;=Settings!$B$4),ROUND(Q57,10),"")</f>
        <v/>
      </c>
      <c r="AF57" s="62" t="n">
        <f aca="false">L57/Settings!$B$14</f>
        <v>0</v>
      </c>
    </row>
    <row r="58" customFormat="false" ht="15" hidden="false" customHeight="false" outlineLevel="0" collapsed="false">
      <c r="A58" s="53" t="s">
        <v>368</v>
      </c>
      <c r="B58" s="53" t="s">
        <v>420</v>
      </c>
      <c r="C58" s="53" t="s">
        <v>50</v>
      </c>
      <c r="D58" s="53" t="s">
        <v>97</v>
      </c>
      <c r="E58" s="55" t="n">
        <f aca="false">SUMIFS(Detail!$K$2:$K$703,Detail!$C$2:$C$703,$A58)</f>
        <v>0</v>
      </c>
      <c r="F58" s="55" t="n">
        <f aca="false">SUMIFS(Detail!$F$2:$F$703,Detail!$C$2:$C$703,$A58)</f>
        <v>0</v>
      </c>
      <c r="G58" s="56" t="n">
        <f aca="false">SUMIFS(Detail!$M$2:$M$703,Detail!$C$2:$C$703,$A58)</f>
        <v>0</v>
      </c>
      <c r="H58" s="56" t="n">
        <f aca="false">SUMIFS(Detail!$E$2:$E$703,Detail!$C$2:$C$703,$A58)</f>
        <v>0</v>
      </c>
      <c r="I58" s="56" t="n">
        <f aca="false">SUMIFS(Detail!$H$2:$H$703,Detail!$C$2:$C$703,$A58)</f>
        <v>164.95</v>
      </c>
      <c r="J58" s="55" t="n">
        <f aca="false">SUMIFS(Detail!$L$2:$L$703,Detail!$C$2:$C$703,$A58)</f>
        <v>0</v>
      </c>
      <c r="K58" s="56" t="n">
        <f aca="false">SUMIFS(Detail!$N$2:$N$703,Detail!$C$2:$C$703,$A58)</f>
        <v>0</v>
      </c>
      <c r="L58" s="31" t="n">
        <f aca="false">IF(E58&gt;0,J58/E58,0)</f>
        <v>0</v>
      </c>
      <c r="M58" s="31" t="n">
        <f aca="false">IF(G58&gt;0,K58/G58,0)</f>
        <v>0</v>
      </c>
      <c r="N58" s="57" t="n">
        <f aca="false">H58/Settings!$B$17</f>
        <v>0</v>
      </c>
      <c r="O58" s="58" t="n">
        <f aca="false">H58/Settings!$B$15</f>
        <v>0</v>
      </c>
      <c r="P58" s="59" t="n">
        <f aca="false">E58*Settings!$B$3</f>
        <v>0</v>
      </c>
      <c r="Q58" s="59" t="n">
        <f aca="false">IF(E58&gt;0,(J58-P58)/SQRT(E58*Settings!$B$3*(1-Settings!$B$3)),0)</f>
        <v>0</v>
      </c>
      <c r="R58" s="31" t="n">
        <f aca="false">IF(E58&gt;=Settings!$B$4,(J58+Settings!$B$7*Settings!$B$3)/(E58+Settings!$B$7),Settings!$B$3)</f>
        <v>0.0664935064935065</v>
      </c>
      <c r="S58" s="60" t="n">
        <f aca="false">PERCENTRANK($H$2:$H$95,H58,6)</f>
        <v>0</v>
      </c>
      <c r="T58" s="60" t="n">
        <f aca="false">PERCENTRANK($R$2:$R$95,R58,6)</f>
        <v>0.129032</v>
      </c>
      <c r="U58" s="60" t="n">
        <f aca="false">PERCENTRANK($F$2:$F$95,F58,6)</f>
        <v>0</v>
      </c>
      <c r="V58" s="61" t="n">
        <f aca="false">IF(F58&gt;0,ROUND((Settings!$B$8*U58+Settings!$B$9*S58+Settings!$B$10*T58)/SUM(Settings!$B$8:$B$10),10),0)</f>
        <v>0</v>
      </c>
      <c r="W58" s="53" t="str">
        <f aca="false">IF(V58&gt;0,RANK(V58,$V$2:$V$95)+COUNTIF($V$2:V58,V58)-1,"")</f>
        <v/>
      </c>
      <c r="X58" s="53" t="str">
        <f aca="false">IF(W58="","",IF(W58&lt;=Settings!$B$11,"1 - Fix first",IF(W58&lt;=Settings!$B$12,"2 - Review","3 - Monitor")))</f>
        <v/>
      </c>
      <c r="Y58" s="53" t="str">
        <f aca="false">IF(AND(E58&gt;=Settings!$B$4,J58&gt;=Settings!$B$5,Q58&gt;=Settings!$B$6),"HIGH RATE","")</f>
        <v/>
      </c>
      <c r="Z58" s="53" t="str">
        <f aca="false">IF(F58&gt;0,RANK(F58,$F$2:$F$95)+COUNTIF($F$2:F58,F58)-1,"")</f>
        <v/>
      </c>
      <c r="AA58" s="53" t="str">
        <f aca="false">IF(H58&gt;0,RANK(H58,$H$2:$H$95)+COUNTIF($H$2:H58,H58)-1,"")</f>
        <v/>
      </c>
      <c r="AB58" s="53" t="str">
        <f aca="false">IF(AD58="","",RANK(AD58,$AD$2:$AD$95)+COUNTIF($AD$2:AD58,AD58)-1)</f>
        <v/>
      </c>
      <c r="AC58" s="53" t="str">
        <f aca="false">IF(AE58="","",RANK(AE58,$AE$2:$AE$95)+COUNTIF($AE$2:AE58,AE58)-1)</f>
        <v/>
      </c>
      <c r="AD58" s="53" t="str">
        <f aca="false">IF(AND(J58&gt;0,E58&gt;=Settings!$B$4),ROUND(L58,10),"")</f>
        <v/>
      </c>
      <c r="AE58" s="53" t="str">
        <f aca="false">IF(AND(J58&gt;=Settings!$B$5,E58&gt;=Settings!$B$4),ROUND(Q58,10),"")</f>
        <v/>
      </c>
      <c r="AF58" s="62" t="n">
        <f aca="false">L58/Settings!$B$14</f>
        <v>0</v>
      </c>
    </row>
    <row r="59" customFormat="false" ht="15" hidden="false" customHeight="false" outlineLevel="0" collapsed="false">
      <c r="A59" s="53" t="s">
        <v>366</v>
      </c>
      <c r="B59" s="53" t="s">
        <v>420</v>
      </c>
      <c r="C59" s="53" t="s">
        <v>50</v>
      </c>
      <c r="D59" s="53" t="s">
        <v>97</v>
      </c>
      <c r="E59" s="55" t="n">
        <f aca="false">SUMIFS(Detail!$K$2:$K$703,Detail!$C$2:$C$703,$A59)</f>
        <v>0</v>
      </c>
      <c r="F59" s="55" t="n">
        <f aca="false">SUMIFS(Detail!$F$2:$F$703,Detail!$C$2:$C$703,$A59)</f>
        <v>0</v>
      </c>
      <c r="G59" s="56" t="n">
        <f aca="false">SUMIFS(Detail!$M$2:$M$703,Detail!$C$2:$C$703,$A59)</f>
        <v>0</v>
      </c>
      <c r="H59" s="56" t="n">
        <f aca="false">SUMIFS(Detail!$E$2:$E$703,Detail!$C$2:$C$703,$A59)</f>
        <v>0</v>
      </c>
      <c r="I59" s="56" t="n">
        <f aca="false">SUMIFS(Detail!$H$2:$H$703,Detail!$C$2:$C$703,$A59)</f>
        <v>119.95</v>
      </c>
      <c r="J59" s="55" t="n">
        <f aca="false">SUMIFS(Detail!$L$2:$L$703,Detail!$C$2:$C$703,$A59)</f>
        <v>0</v>
      </c>
      <c r="K59" s="56" t="n">
        <f aca="false">SUMIFS(Detail!$N$2:$N$703,Detail!$C$2:$C$703,$A59)</f>
        <v>0</v>
      </c>
      <c r="L59" s="31" t="n">
        <f aca="false">IF(E59&gt;0,J59/E59,0)</f>
        <v>0</v>
      </c>
      <c r="M59" s="31" t="n">
        <f aca="false">IF(G59&gt;0,K59/G59,0)</f>
        <v>0</v>
      </c>
      <c r="N59" s="57" t="n">
        <f aca="false">H59/Settings!$B$17</f>
        <v>0</v>
      </c>
      <c r="O59" s="58" t="n">
        <f aca="false">H59/Settings!$B$15</f>
        <v>0</v>
      </c>
      <c r="P59" s="59" t="n">
        <f aca="false">E59*Settings!$B$3</f>
        <v>0</v>
      </c>
      <c r="Q59" s="59" t="n">
        <f aca="false">IF(E59&gt;0,(J59-P59)/SQRT(E59*Settings!$B$3*(1-Settings!$B$3)),0)</f>
        <v>0</v>
      </c>
      <c r="R59" s="31" t="n">
        <f aca="false">IF(E59&gt;=Settings!$B$4,(J59+Settings!$B$7*Settings!$B$3)/(E59+Settings!$B$7),Settings!$B$3)</f>
        <v>0.0664935064935065</v>
      </c>
      <c r="S59" s="60" t="n">
        <f aca="false">PERCENTRANK($H$2:$H$95,H59,6)</f>
        <v>0</v>
      </c>
      <c r="T59" s="60" t="n">
        <f aca="false">PERCENTRANK($R$2:$R$95,R59,6)</f>
        <v>0.129032</v>
      </c>
      <c r="U59" s="60" t="n">
        <f aca="false">PERCENTRANK($F$2:$F$95,F59,6)</f>
        <v>0</v>
      </c>
      <c r="V59" s="61" t="n">
        <f aca="false">IF(F59&gt;0,ROUND((Settings!$B$8*U59+Settings!$B$9*S59+Settings!$B$10*T59)/SUM(Settings!$B$8:$B$10),10),0)</f>
        <v>0</v>
      </c>
      <c r="W59" s="53" t="str">
        <f aca="false">IF(V59&gt;0,RANK(V59,$V$2:$V$95)+COUNTIF($V$2:V59,V59)-1,"")</f>
        <v/>
      </c>
      <c r="X59" s="53" t="str">
        <f aca="false">IF(W59="","",IF(W59&lt;=Settings!$B$11,"1 - Fix first",IF(W59&lt;=Settings!$B$12,"2 - Review","3 - Monitor")))</f>
        <v/>
      </c>
      <c r="Y59" s="53" t="str">
        <f aca="false">IF(AND(E59&gt;=Settings!$B$4,J59&gt;=Settings!$B$5,Q59&gt;=Settings!$B$6),"HIGH RATE","")</f>
        <v/>
      </c>
      <c r="Z59" s="53" t="str">
        <f aca="false">IF(F59&gt;0,RANK(F59,$F$2:$F$95)+COUNTIF($F$2:F59,F59)-1,"")</f>
        <v/>
      </c>
      <c r="AA59" s="53" t="str">
        <f aca="false">IF(H59&gt;0,RANK(H59,$H$2:$H$95)+COUNTIF($H$2:H59,H59)-1,"")</f>
        <v/>
      </c>
      <c r="AB59" s="53" t="str">
        <f aca="false">IF(AD59="","",RANK(AD59,$AD$2:$AD$95)+COUNTIF($AD$2:AD59,AD59)-1)</f>
        <v/>
      </c>
      <c r="AC59" s="53" t="str">
        <f aca="false">IF(AE59="","",RANK(AE59,$AE$2:$AE$95)+COUNTIF($AE$2:AE59,AE59)-1)</f>
        <v/>
      </c>
      <c r="AD59" s="53" t="str">
        <f aca="false">IF(AND(J59&gt;0,E59&gt;=Settings!$B$4),ROUND(L59,10),"")</f>
        <v/>
      </c>
      <c r="AE59" s="53" t="str">
        <f aca="false">IF(AND(J59&gt;=Settings!$B$5,E59&gt;=Settings!$B$4),ROUND(Q59,10),"")</f>
        <v/>
      </c>
      <c r="AF59" s="62" t="n">
        <f aca="false">L59/Settings!$B$14</f>
        <v>0</v>
      </c>
    </row>
    <row r="60" customFormat="false" ht="15" hidden="false" customHeight="false" outlineLevel="0" collapsed="false">
      <c r="A60" s="53" t="s">
        <v>391</v>
      </c>
      <c r="B60" s="53" t="s">
        <v>436</v>
      </c>
      <c r="C60" s="53" t="s">
        <v>50</v>
      </c>
      <c r="D60" s="53" t="s">
        <v>93</v>
      </c>
      <c r="E60" s="55" t="n">
        <f aca="false">SUMIFS(Detail!$K$2:$K$703,Detail!$C$2:$C$703,$A60)</f>
        <v>3</v>
      </c>
      <c r="F60" s="55" t="n">
        <f aca="false">SUMIFS(Detail!$F$2:$F$703,Detail!$C$2:$C$703,$A60)</f>
        <v>0</v>
      </c>
      <c r="G60" s="56" t="n">
        <f aca="false">SUMIFS(Detail!$M$2:$M$703,Detail!$C$2:$C$703,$A60)</f>
        <v>477.15</v>
      </c>
      <c r="H60" s="56" t="n">
        <f aca="false">SUMIFS(Detail!$E$2:$E$703,Detail!$C$2:$C$703,$A60)</f>
        <v>0</v>
      </c>
      <c r="I60" s="56" t="n">
        <f aca="false">SUMIFS(Detail!$H$2:$H$703,Detail!$C$2:$C$703,$A60)</f>
        <v>636.19</v>
      </c>
      <c r="J60" s="55" t="n">
        <f aca="false">SUMIFS(Detail!$L$2:$L$703,Detail!$C$2:$C$703,$A60)</f>
        <v>0</v>
      </c>
      <c r="K60" s="56" t="n">
        <f aca="false">SUMIFS(Detail!$N$2:$N$703,Detail!$C$2:$C$703,$A60)</f>
        <v>0</v>
      </c>
      <c r="L60" s="31" t="n">
        <f aca="false">IF(E60&gt;0,J60/E60,0)</f>
        <v>0</v>
      </c>
      <c r="M60" s="31" t="n">
        <f aca="false">IF(G60&gt;0,K60/G60,0)</f>
        <v>0</v>
      </c>
      <c r="N60" s="57" t="n">
        <f aca="false">H60/Settings!$B$17</f>
        <v>0</v>
      </c>
      <c r="O60" s="58" t="n">
        <f aca="false">H60/Settings!$B$15</f>
        <v>0</v>
      </c>
      <c r="P60" s="59" t="n">
        <f aca="false">E60*Settings!$B$3</f>
        <v>0.199480519480519</v>
      </c>
      <c r="Q60" s="59" t="n">
        <f aca="false">IF(E60&gt;0,(J60-P60)/SQRT(E60*Settings!$B$3*(1-Settings!$B$3)),0)</f>
        <v>-0.46226559732559</v>
      </c>
      <c r="R60" s="31" t="n">
        <f aca="false">IF(E60&gt;=Settings!$B$4,(J60+Settings!$B$7*Settings!$B$3)/(E60+Settings!$B$7),Settings!$B$3)</f>
        <v>0.0664935064935065</v>
      </c>
      <c r="S60" s="60" t="n">
        <f aca="false">PERCENTRANK($H$2:$H$95,H60,6)</f>
        <v>0</v>
      </c>
      <c r="T60" s="60" t="n">
        <f aca="false">PERCENTRANK($R$2:$R$95,R60,6)</f>
        <v>0.129032</v>
      </c>
      <c r="U60" s="60" t="n">
        <f aca="false">PERCENTRANK($F$2:$F$95,F60,6)</f>
        <v>0</v>
      </c>
      <c r="V60" s="61" t="n">
        <f aca="false">IF(F60&gt;0,ROUND((Settings!$B$8*U60+Settings!$B$9*S60+Settings!$B$10*T60)/SUM(Settings!$B$8:$B$10),10),0)</f>
        <v>0</v>
      </c>
      <c r="W60" s="53" t="str">
        <f aca="false">IF(V60&gt;0,RANK(V60,$V$2:$V$95)+COUNTIF($V$2:V60,V60)-1,"")</f>
        <v/>
      </c>
      <c r="X60" s="53" t="str">
        <f aca="false">IF(W60="","",IF(W60&lt;=Settings!$B$11,"1 - Fix first",IF(W60&lt;=Settings!$B$12,"2 - Review","3 - Monitor")))</f>
        <v/>
      </c>
      <c r="Y60" s="53" t="str">
        <f aca="false">IF(AND(E60&gt;=Settings!$B$4,J60&gt;=Settings!$B$5,Q60&gt;=Settings!$B$6),"HIGH RATE","")</f>
        <v/>
      </c>
      <c r="Z60" s="53" t="str">
        <f aca="false">IF(F60&gt;0,RANK(F60,$F$2:$F$95)+COUNTIF($F$2:F60,F60)-1,"")</f>
        <v/>
      </c>
      <c r="AA60" s="53" t="str">
        <f aca="false">IF(H60&gt;0,RANK(H60,$H$2:$H$95)+COUNTIF($H$2:H60,H60)-1,"")</f>
        <v/>
      </c>
      <c r="AB60" s="53" t="str">
        <f aca="false">IF(AD60="","",RANK(AD60,$AD$2:$AD$95)+COUNTIF($AD$2:AD60,AD60)-1)</f>
        <v/>
      </c>
      <c r="AC60" s="53" t="str">
        <f aca="false">IF(AE60="","",RANK(AE60,$AE$2:$AE$95)+COUNTIF($AE$2:AE60,AE60)-1)</f>
        <v/>
      </c>
      <c r="AD60" s="53" t="str">
        <f aca="false">IF(AND(J60&gt;0,E60&gt;=Settings!$B$4),ROUND(L60,10),"")</f>
        <v/>
      </c>
      <c r="AE60" s="53" t="str">
        <f aca="false">IF(AND(J60&gt;=Settings!$B$5,E60&gt;=Settings!$B$4),ROUND(Q60,10),"")</f>
        <v/>
      </c>
      <c r="AF60" s="62" t="n">
        <f aca="false">L60/Settings!$B$14</f>
        <v>0</v>
      </c>
    </row>
    <row r="61" customFormat="false" ht="15" hidden="false" customHeight="false" outlineLevel="0" collapsed="false">
      <c r="A61" s="53" t="s">
        <v>382</v>
      </c>
      <c r="B61" s="53" t="s">
        <v>453</v>
      </c>
      <c r="C61" s="53" t="s">
        <v>70</v>
      </c>
      <c r="D61" s="53" t="s">
        <v>89</v>
      </c>
      <c r="E61" s="55" t="n">
        <f aca="false">SUMIFS(Detail!$K$2:$K$703,Detail!$C$2:$C$703,$A61)</f>
        <v>0</v>
      </c>
      <c r="F61" s="55" t="n">
        <f aca="false">SUMIFS(Detail!$F$2:$F$703,Detail!$C$2:$C$703,$A61)</f>
        <v>0</v>
      </c>
      <c r="G61" s="56" t="n">
        <f aca="false">SUMIFS(Detail!$M$2:$M$703,Detail!$C$2:$C$703,$A61)</f>
        <v>0</v>
      </c>
      <c r="H61" s="56" t="n">
        <f aca="false">SUMIFS(Detail!$E$2:$E$703,Detail!$C$2:$C$703,$A61)</f>
        <v>0</v>
      </c>
      <c r="I61" s="56" t="n">
        <f aca="false">SUMIFS(Detail!$H$2:$H$703,Detail!$C$2:$C$703,$A61)</f>
        <v>73.95</v>
      </c>
      <c r="J61" s="55" t="n">
        <f aca="false">SUMIFS(Detail!$L$2:$L$703,Detail!$C$2:$C$703,$A61)</f>
        <v>0</v>
      </c>
      <c r="K61" s="56" t="n">
        <f aca="false">SUMIFS(Detail!$N$2:$N$703,Detail!$C$2:$C$703,$A61)</f>
        <v>0</v>
      </c>
      <c r="L61" s="31" t="n">
        <f aca="false">IF(E61&gt;0,J61/E61,0)</f>
        <v>0</v>
      </c>
      <c r="M61" s="31" t="n">
        <f aca="false">IF(G61&gt;0,K61/G61,0)</f>
        <v>0</v>
      </c>
      <c r="N61" s="57" t="n">
        <f aca="false">H61/Settings!$B$17</f>
        <v>0</v>
      </c>
      <c r="O61" s="58" t="n">
        <f aca="false">H61/Settings!$B$15</f>
        <v>0</v>
      </c>
      <c r="P61" s="59" t="n">
        <f aca="false">E61*Settings!$B$3</f>
        <v>0</v>
      </c>
      <c r="Q61" s="59" t="n">
        <f aca="false">IF(E61&gt;0,(J61-P61)/SQRT(E61*Settings!$B$3*(1-Settings!$B$3)),0)</f>
        <v>0</v>
      </c>
      <c r="R61" s="31" t="n">
        <f aca="false">IF(E61&gt;=Settings!$B$4,(J61+Settings!$B$7*Settings!$B$3)/(E61+Settings!$B$7),Settings!$B$3)</f>
        <v>0.0664935064935065</v>
      </c>
      <c r="S61" s="60" t="n">
        <f aca="false">PERCENTRANK($H$2:$H$95,H61,6)</f>
        <v>0</v>
      </c>
      <c r="T61" s="60" t="n">
        <f aca="false">PERCENTRANK($R$2:$R$95,R61,6)</f>
        <v>0.129032</v>
      </c>
      <c r="U61" s="60" t="n">
        <f aca="false">PERCENTRANK($F$2:$F$95,F61,6)</f>
        <v>0</v>
      </c>
      <c r="V61" s="61" t="n">
        <f aca="false">IF(F61&gt;0,ROUND((Settings!$B$8*U61+Settings!$B$9*S61+Settings!$B$10*T61)/SUM(Settings!$B$8:$B$10),10),0)</f>
        <v>0</v>
      </c>
      <c r="W61" s="53" t="str">
        <f aca="false">IF(V61&gt;0,RANK(V61,$V$2:$V$95)+COUNTIF($V$2:V61,V61)-1,"")</f>
        <v/>
      </c>
      <c r="X61" s="53" t="str">
        <f aca="false">IF(W61="","",IF(W61&lt;=Settings!$B$11,"1 - Fix first",IF(W61&lt;=Settings!$B$12,"2 - Review","3 - Monitor")))</f>
        <v/>
      </c>
      <c r="Y61" s="53" t="str">
        <f aca="false">IF(AND(E61&gt;=Settings!$B$4,J61&gt;=Settings!$B$5,Q61&gt;=Settings!$B$6),"HIGH RATE","")</f>
        <v/>
      </c>
      <c r="Z61" s="53" t="str">
        <f aca="false">IF(F61&gt;0,RANK(F61,$F$2:$F$95)+COUNTIF($F$2:F61,F61)-1,"")</f>
        <v/>
      </c>
      <c r="AA61" s="53" t="str">
        <f aca="false">IF(H61&gt;0,RANK(H61,$H$2:$H$95)+COUNTIF($H$2:H61,H61)-1,"")</f>
        <v/>
      </c>
      <c r="AB61" s="53" t="str">
        <f aca="false">IF(AD61="","",RANK(AD61,$AD$2:$AD$95)+COUNTIF($AD$2:AD61,AD61)-1)</f>
        <v/>
      </c>
      <c r="AC61" s="53" t="str">
        <f aca="false">IF(AE61="","",RANK(AE61,$AE$2:$AE$95)+COUNTIF($AE$2:AE61,AE61)-1)</f>
        <v/>
      </c>
      <c r="AD61" s="53" t="str">
        <f aca="false">IF(AND(J61&gt;0,E61&gt;=Settings!$B$4),ROUND(L61,10),"")</f>
        <v/>
      </c>
      <c r="AE61" s="53" t="str">
        <f aca="false">IF(AND(J61&gt;=Settings!$B$5,E61&gt;=Settings!$B$4),ROUND(Q61,10),"")</f>
        <v/>
      </c>
      <c r="AF61" s="62" t="n">
        <f aca="false">L61/Settings!$B$14</f>
        <v>0</v>
      </c>
    </row>
    <row r="62" customFormat="false" ht="15" hidden="false" customHeight="false" outlineLevel="0" collapsed="false">
      <c r="A62" s="53" t="s">
        <v>353</v>
      </c>
      <c r="B62" s="53" t="s">
        <v>454</v>
      </c>
      <c r="C62" s="53" t="s">
        <v>58</v>
      </c>
      <c r="D62" s="53" t="s">
        <v>97</v>
      </c>
      <c r="E62" s="55" t="n">
        <f aca="false">SUMIFS(Detail!$K$2:$K$703,Detail!$C$2:$C$703,$A62)</f>
        <v>0</v>
      </c>
      <c r="F62" s="55" t="n">
        <f aca="false">SUMIFS(Detail!$F$2:$F$703,Detail!$C$2:$C$703,$A62)</f>
        <v>0</v>
      </c>
      <c r="G62" s="56" t="n">
        <f aca="false">SUMIFS(Detail!$M$2:$M$703,Detail!$C$2:$C$703,$A62)</f>
        <v>0</v>
      </c>
      <c r="H62" s="56" t="n">
        <f aca="false">SUMIFS(Detail!$E$2:$E$703,Detail!$C$2:$C$703,$A62)</f>
        <v>0</v>
      </c>
      <c r="I62" s="56" t="n">
        <f aca="false">SUMIFS(Detail!$H$2:$H$703,Detail!$C$2:$C$703,$A62)</f>
        <v>299.85</v>
      </c>
      <c r="J62" s="55" t="n">
        <f aca="false">SUMIFS(Detail!$L$2:$L$703,Detail!$C$2:$C$703,$A62)</f>
        <v>0</v>
      </c>
      <c r="K62" s="56" t="n">
        <f aca="false">SUMIFS(Detail!$N$2:$N$703,Detail!$C$2:$C$703,$A62)</f>
        <v>0</v>
      </c>
      <c r="L62" s="31" t="n">
        <f aca="false">IF(E62&gt;0,J62/E62,0)</f>
        <v>0</v>
      </c>
      <c r="M62" s="31" t="n">
        <f aca="false">IF(G62&gt;0,K62/G62,0)</f>
        <v>0</v>
      </c>
      <c r="N62" s="57" t="n">
        <f aca="false">H62/Settings!$B$17</f>
        <v>0</v>
      </c>
      <c r="O62" s="58" t="n">
        <f aca="false">H62/Settings!$B$15</f>
        <v>0</v>
      </c>
      <c r="P62" s="59" t="n">
        <f aca="false">E62*Settings!$B$3</f>
        <v>0</v>
      </c>
      <c r="Q62" s="59" t="n">
        <f aca="false">IF(E62&gt;0,(J62-P62)/SQRT(E62*Settings!$B$3*(1-Settings!$B$3)),0)</f>
        <v>0</v>
      </c>
      <c r="R62" s="31" t="n">
        <f aca="false">IF(E62&gt;=Settings!$B$4,(J62+Settings!$B$7*Settings!$B$3)/(E62+Settings!$B$7),Settings!$B$3)</f>
        <v>0.0664935064935065</v>
      </c>
      <c r="S62" s="60" t="n">
        <f aca="false">PERCENTRANK($H$2:$H$95,H62,6)</f>
        <v>0</v>
      </c>
      <c r="T62" s="60" t="n">
        <f aca="false">PERCENTRANK($R$2:$R$95,R62,6)</f>
        <v>0.129032</v>
      </c>
      <c r="U62" s="60" t="n">
        <f aca="false">PERCENTRANK($F$2:$F$95,F62,6)</f>
        <v>0</v>
      </c>
      <c r="V62" s="61" t="n">
        <f aca="false">IF(F62&gt;0,ROUND((Settings!$B$8*U62+Settings!$B$9*S62+Settings!$B$10*T62)/SUM(Settings!$B$8:$B$10),10),0)</f>
        <v>0</v>
      </c>
      <c r="W62" s="53" t="str">
        <f aca="false">IF(V62&gt;0,RANK(V62,$V$2:$V$95)+COUNTIF($V$2:V62,V62)-1,"")</f>
        <v/>
      </c>
      <c r="X62" s="53" t="str">
        <f aca="false">IF(W62="","",IF(W62&lt;=Settings!$B$11,"1 - Fix first",IF(W62&lt;=Settings!$B$12,"2 - Review","3 - Monitor")))</f>
        <v/>
      </c>
      <c r="Y62" s="53" t="str">
        <f aca="false">IF(AND(E62&gt;=Settings!$B$4,J62&gt;=Settings!$B$5,Q62&gt;=Settings!$B$6),"HIGH RATE","")</f>
        <v/>
      </c>
      <c r="Z62" s="53" t="str">
        <f aca="false">IF(F62&gt;0,RANK(F62,$F$2:$F$95)+COUNTIF($F$2:F62,F62)-1,"")</f>
        <v/>
      </c>
      <c r="AA62" s="53" t="str">
        <f aca="false">IF(H62&gt;0,RANK(H62,$H$2:$H$95)+COUNTIF($H$2:H62,H62)-1,"")</f>
        <v/>
      </c>
      <c r="AB62" s="53" t="str">
        <f aca="false">IF(AD62="","",RANK(AD62,$AD$2:$AD$95)+COUNTIF($AD$2:AD62,AD62)-1)</f>
        <v/>
      </c>
      <c r="AC62" s="53" t="str">
        <f aca="false">IF(AE62="","",RANK(AE62,$AE$2:$AE$95)+COUNTIF($AE$2:AE62,AE62)-1)</f>
        <v/>
      </c>
      <c r="AD62" s="53" t="str">
        <f aca="false">IF(AND(J62&gt;0,E62&gt;=Settings!$B$4),ROUND(L62,10),"")</f>
        <v/>
      </c>
      <c r="AE62" s="53" t="str">
        <f aca="false">IF(AND(J62&gt;=Settings!$B$5,E62&gt;=Settings!$B$4),ROUND(Q62,10),"")</f>
        <v/>
      </c>
      <c r="AF62" s="62" t="n">
        <f aca="false">L62/Settings!$B$14</f>
        <v>0</v>
      </c>
    </row>
    <row r="63" customFormat="false" ht="15" hidden="false" customHeight="false" outlineLevel="0" collapsed="false">
      <c r="A63" s="53" t="s">
        <v>319</v>
      </c>
      <c r="B63" s="53" t="s">
        <v>454</v>
      </c>
      <c r="C63" s="53" t="s">
        <v>58</v>
      </c>
      <c r="D63" s="53" t="s">
        <v>97</v>
      </c>
      <c r="E63" s="55" t="n">
        <f aca="false">SUMIFS(Detail!$K$2:$K$703,Detail!$C$2:$C$703,$A63)</f>
        <v>0</v>
      </c>
      <c r="F63" s="55" t="n">
        <f aca="false">SUMIFS(Detail!$F$2:$F$703,Detail!$C$2:$C$703,$A63)</f>
        <v>0</v>
      </c>
      <c r="G63" s="56" t="n">
        <f aca="false">SUMIFS(Detail!$M$2:$M$703,Detail!$C$2:$C$703,$A63)</f>
        <v>0</v>
      </c>
      <c r="H63" s="56" t="n">
        <f aca="false">SUMIFS(Detail!$E$2:$E$703,Detail!$C$2:$C$703,$A63)</f>
        <v>0</v>
      </c>
      <c r="I63" s="56" t="n">
        <f aca="false">SUMIFS(Detail!$H$2:$H$703,Detail!$C$2:$C$703,$A63)</f>
        <v>339.9</v>
      </c>
      <c r="J63" s="55" t="n">
        <f aca="false">SUMIFS(Detail!$L$2:$L$703,Detail!$C$2:$C$703,$A63)</f>
        <v>0</v>
      </c>
      <c r="K63" s="56" t="n">
        <f aca="false">SUMIFS(Detail!$N$2:$N$703,Detail!$C$2:$C$703,$A63)</f>
        <v>0</v>
      </c>
      <c r="L63" s="31" t="n">
        <f aca="false">IF(E63&gt;0,J63/E63,0)</f>
        <v>0</v>
      </c>
      <c r="M63" s="31" t="n">
        <f aca="false">IF(G63&gt;0,K63/G63,0)</f>
        <v>0</v>
      </c>
      <c r="N63" s="57" t="n">
        <f aca="false">H63/Settings!$B$17</f>
        <v>0</v>
      </c>
      <c r="O63" s="58" t="n">
        <f aca="false">H63/Settings!$B$15</f>
        <v>0</v>
      </c>
      <c r="P63" s="59" t="n">
        <f aca="false">E63*Settings!$B$3</f>
        <v>0</v>
      </c>
      <c r="Q63" s="59" t="n">
        <f aca="false">IF(E63&gt;0,(J63-P63)/SQRT(E63*Settings!$B$3*(1-Settings!$B$3)),0)</f>
        <v>0</v>
      </c>
      <c r="R63" s="31" t="n">
        <f aca="false">IF(E63&gt;=Settings!$B$4,(J63+Settings!$B$7*Settings!$B$3)/(E63+Settings!$B$7),Settings!$B$3)</f>
        <v>0.0664935064935065</v>
      </c>
      <c r="S63" s="60" t="n">
        <f aca="false">PERCENTRANK($H$2:$H$95,H63,6)</f>
        <v>0</v>
      </c>
      <c r="T63" s="60" t="n">
        <f aca="false">PERCENTRANK($R$2:$R$95,R63,6)</f>
        <v>0.129032</v>
      </c>
      <c r="U63" s="60" t="n">
        <f aca="false">PERCENTRANK($F$2:$F$95,F63,6)</f>
        <v>0</v>
      </c>
      <c r="V63" s="61" t="n">
        <f aca="false">IF(F63&gt;0,ROUND((Settings!$B$8*U63+Settings!$B$9*S63+Settings!$B$10*T63)/SUM(Settings!$B$8:$B$10),10),0)</f>
        <v>0</v>
      </c>
      <c r="W63" s="53" t="str">
        <f aca="false">IF(V63&gt;0,RANK(V63,$V$2:$V$95)+COUNTIF($V$2:V63,V63)-1,"")</f>
        <v/>
      </c>
      <c r="X63" s="53" t="str">
        <f aca="false">IF(W63="","",IF(W63&lt;=Settings!$B$11,"1 - Fix first",IF(W63&lt;=Settings!$B$12,"2 - Review","3 - Monitor")))</f>
        <v/>
      </c>
      <c r="Y63" s="53" t="str">
        <f aca="false">IF(AND(E63&gt;=Settings!$B$4,J63&gt;=Settings!$B$5,Q63&gt;=Settings!$B$6),"HIGH RATE","")</f>
        <v/>
      </c>
      <c r="Z63" s="53" t="str">
        <f aca="false">IF(F63&gt;0,RANK(F63,$F$2:$F$95)+COUNTIF($F$2:F63,F63)-1,"")</f>
        <v/>
      </c>
      <c r="AA63" s="53" t="str">
        <f aca="false">IF(H63&gt;0,RANK(H63,$H$2:$H$95)+COUNTIF($H$2:H63,H63)-1,"")</f>
        <v/>
      </c>
      <c r="AB63" s="53" t="str">
        <f aca="false">IF(AD63="","",RANK(AD63,$AD$2:$AD$95)+COUNTIF($AD$2:AD63,AD63)-1)</f>
        <v/>
      </c>
      <c r="AC63" s="53" t="str">
        <f aca="false">IF(AE63="","",RANK(AE63,$AE$2:$AE$95)+COUNTIF($AE$2:AE63,AE63)-1)</f>
        <v/>
      </c>
      <c r="AD63" s="53" t="str">
        <f aca="false">IF(AND(J63&gt;0,E63&gt;=Settings!$B$4),ROUND(L63,10),"")</f>
        <v/>
      </c>
      <c r="AE63" s="53" t="str">
        <f aca="false">IF(AND(J63&gt;=Settings!$B$5,E63&gt;=Settings!$B$4),ROUND(Q63,10),"")</f>
        <v/>
      </c>
      <c r="AF63" s="62" t="n">
        <f aca="false">L63/Settings!$B$14</f>
        <v>0</v>
      </c>
    </row>
    <row r="64" customFormat="false" ht="15" hidden="false" customHeight="false" outlineLevel="0" collapsed="false">
      <c r="A64" s="53" t="s">
        <v>354</v>
      </c>
      <c r="B64" s="53" t="s">
        <v>454</v>
      </c>
      <c r="C64" s="53" t="s">
        <v>58</v>
      </c>
      <c r="D64" s="53" t="s">
        <v>97</v>
      </c>
      <c r="E64" s="55" t="n">
        <f aca="false">SUMIFS(Detail!$K$2:$K$703,Detail!$C$2:$C$703,$A64)</f>
        <v>0</v>
      </c>
      <c r="F64" s="55" t="n">
        <f aca="false">SUMIFS(Detail!$F$2:$F$703,Detail!$C$2:$C$703,$A64)</f>
        <v>0</v>
      </c>
      <c r="G64" s="56" t="n">
        <f aca="false">SUMIFS(Detail!$M$2:$M$703,Detail!$C$2:$C$703,$A64)</f>
        <v>0</v>
      </c>
      <c r="H64" s="56" t="n">
        <f aca="false">SUMIFS(Detail!$E$2:$E$703,Detail!$C$2:$C$703,$A64)</f>
        <v>0</v>
      </c>
      <c r="I64" s="56" t="n">
        <f aca="false">SUMIFS(Detail!$H$2:$H$703,Detail!$C$2:$C$703,$A64)</f>
        <v>229.9</v>
      </c>
      <c r="J64" s="55" t="n">
        <f aca="false">SUMIFS(Detail!$L$2:$L$703,Detail!$C$2:$C$703,$A64)</f>
        <v>0</v>
      </c>
      <c r="K64" s="56" t="n">
        <f aca="false">SUMIFS(Detail!$N$2:$N$703,Detail!$C$2:$C$703,$A64)</f>
        <v>0</v>
      </c>
      <c r="L64" s="31" t="n">
        <f aca="false">IF(E64&gt;0,J64/E64,0)</f>
        <v>0</v>
      </c>
      <c r="M64" s="31" t="n">
        <f aca="false">IF(G64&gt;0,K64/G64,0)</f>
        <v>0</v>
      </c>
      <c r="N64" s="57" t="n">
        <f aca="false">H64/Settings!$B$17</f>
        <v>0</v>
      </c>
      <c r="O64" s="58" t="n">
        <f aca="false">H64/Settings!$B$15</f>
        <v>0</v>
      </c>
      <c r="P64" s="59" t="n">
        <f aca="false">E64*Settings!$B$3</f>
        <v>0</v>
      </c>
      <c r="Q64" s="59" t="n">
        <f aca="false">IF(E64&gt;0,(J64-P64)/SQRT(E64*Settings!$B$3*(1-Settings!$B$3)),0)</f>
        <v>0</v>
      </c>
      <c r="R64" s="31" t="n">
        <f aca="false">IF(E64&gt;=Settings!$B$4,(J64+Settings!$B$7*Settings!$B$3)/(E64+Settings!$B$7),Settings!$B$3)</f>
        <v>0.0664935064935065</v>
      </c>
      <c r="S64" s="60" t="n">
        <f aca="false">PERCENTRANK($H$2:$H$95,H64,6)</f>
        <v>0</v>
      </c>
      <c r="T64" s="60" t="n">
        <f aca="false">PERCENTRANK($R$2:$R$95,R64,6)</f>
        <v>0.129032</v>
      </c>
      <c r="U64" s="60" t="n">
        <f aca="false">PERCENTRANK($F$2:$F$95,F64,6)</f>
        <v>0</v>
      </c>
      <c r="V64" s="61" t="n">
        <f aca="false">IF(F64&gt;0,ROUND((Settings!$B$8*U64+Settings!$B$9*S64+Settings!$B$10*T64)/SUM(Settings!$B$8:$B$10),10),0)</f>
        <v>0</v>
      </c>
      <c r="W64" s="53" t="str">
        <f aca="false">IF(V64&gt;0,RANK(V64,$V$2:$V$95)+COUNTIF($V$2:V64,V64)-1,"")</f>
        <v/>
      </c>
      <c r="X64" s="53" t="str">
        <f aca="false">IF(W64="","",IF(W64&lt;=Settings!$B$11,"1 - Fix first",IF(W64&lt;=Settings!$B$12,"2 - Review","3 - Monitor")))</f>
        <v/>
      </c>
      <c r="Y64" s="53" t="str">
        <f aca="false">IF(AND(E64&gt;=Settings!$B$4,J64&gt;=Settings!$B$5,Q64&gt;=Settings!$B$6),"HIGH RATE","")</f>
        <v/>
      </c>
      <c r="Z64" s="53" t="str">
        <f aca="false">IF(F64&gt;0,RANK(F64,$F$2:$F$95)+COUNTIF($F$2:F64,F64)-1,"")</f>
        <v/>
      </c>
      <c r="AA64" s="53" t="str">
        <f aca="false">IF(H64&gt;0,RANK(H64,$H$2:$H$95)+COUNTIF($H$2:H64,H64)-1,"")</f>
        <v/>
      </c>
      <c r="AB64" s="53" t="str">
        <f aca="false">IF(AD64="","",RANK(AD64,$AD$2:$AD$95)+COUNTIF($AD$2:AD64,AD64)-1)</f>
        <v/>
      </c>
      <c r="AC64" s="53" t="str">
        <f aca="false">IF(AE64="","",RANK(AE64,$AE$2:$AE$95)+COUNTIF($AE$2:AE64,AE64)-1)</f>
        <v/>
      </c>
      <c r="AD64" s="53" t="str">
        <f aca="false">IF(AND(J64&gt;0,E64&gt;=Settings!$B$4),ROUND(L64,10),"")</f>
        <v/>
      </c>
      <c r="AE64" s="53" t="str">
        <f aca="false">IF(AND(J64&gt;=Settings!$B$5,E64&gt;=Settings!$B$4),ROUND(Q64,10),"")</f>
        <v/>
      </c>
      <c r="AF64" s="62" t="n">
        <f aca="false">L64/Settings!$B$14</f>
        <v>0</v>
      </c>
    </row>
    <row r="65" customFormat="false" ht="15" hidden="false" customHeight="false" outlineLevel="0" collapsed="false">
      <c r="A65" s="53" t="s">
        <v>325</v>
      </c>
      <c r="B65" s="53" t="s">
        <v>454</v>
      </c>
      <c r="C65" s="53" t="s">
        <v>58</v>
      </c>
      <c r="D65" s="53" t="s">
        <v>97</v>
      </c>
      <c r="E65" s="55" t="n">
        <f aca="false">SUMIFS(Detail!$K$2:$K$703,Detail!$C$2:$C$703,$A65)</f>
        <v>0</v>
      </c>
      <c r="F65" s="55" t="n">
        <f aca="false">SUMIFS(Detail!$F$2:$F$703,Detail!$C$2:$C$703,$A65)</f>
        <v>0</v>
      </c>
      <c r="G65" s="56" t="n">
        <f aca="false">SUMIFS(Detail!$M$2:$M$703,Detail!$C$2:$C$703,$A65)</f>
        <v>0</v>
      </c>
      <c r="H65" s="56" t="n">
        <f aca="false">SUMIFS(Detail!$E$2:$E$703,Detail!$C$2:$C$703,$A65)</f>
        <v>0</v>
      </c>
      <c r="I65" s="56" t="n">
        <f aca="false">SUMIFS(Detail!$H$2:$H$703,Detail!$C$2:$C$703,$A65)</f>
        <v>249.9</v>
      </c>
      <c r="J65" s="55" t="n">
        <f aca="false">SUMIFS(Detail!$L$2:$L$703,Detail!$C$2:$C$703,$A65)</f>
        <v>0</v>
      </c>
      <c r="K65" s="56" t="n">
        <f aca="false">SUMIFS(Detail!$N$2:$N$703,Detail!$C$2:$C$703,$A65)</f>
        <v>0</v>
      </c>
      <c r="L65" s="31" t="n">
        <f aca="false">IF(E65&gt;0,J65/E65,0)</f>
        <v>0</v>
      </c>
      <c r="M65" s="31" t="n">
        <f aca="false">IF(G65&gt;0,K65/G65,0)</f>
        <v>0</v>
      </c>
      <c r="N65" s="57" t="n">
        <f aca="false">H65/Settings!$B$17</f>
        <v>0</v>
      </c>
      <c r="O65" s="58" t="n">
        <f aca="false">H65/Settings!$B$15</f>
        <v>0</v>
      </c>
      <c r="P65" s="59" t="n">
        <f aca="false">E65*Settings!$B$3</f>
        <v>0</v>
      </c>
      <c r="Q65" s="59" t="n">
        <f aca="false">IF(E65&gt;0,(J65-P65)/SQRT(E65*Settings!$B$3*(1-Settings!$B$3)),0)</f>
        <v>0</v>
      </c>
      <c r="R65" s="31" t="n">
        <f aca="false">IF(E65&gt;=Settings!$B$4,(J65+Settings!$B$7*Settings!$B$3)/(E65+Settings!$B$7),Settings!$B$3)</f>
        <v>0.0664935064935065</v>
      </c>
      <c r="S65" s="60" t="n">
        <f aca="false">PERCENTRANK($H$2:$H$95,H65,6)</f>
        <v>0</v>
      </c>
      <c r="T65" s="60" t="n">
        <f aca="false">PERCENTRANK($R$2:$R$95,R65,6)</f>
        <v>0.129032</v>
      </c>
      <c r="U65" s="60" t="n">
        <f aca="false">PERCENTRANK($F$2:$F$95,F65,6)</f>
        <v>0</v>
      </c>
      <c r="V65" s="61" t="n">
        <f aca="false">IF(F65&gt;0,ROUND((Settings!$B$8*U65+Settings!$B$9*S65+Settings!$B$10*T65)/SUM(Settings!$B$8:$B$10),10),0)</f>
        <v>0</v>
      </c>
      <c r="W65" s="53" t="str">
        <f aca="false">IF(V65&gt;0,RANK(V65,$V$2:$V$95)+COUNTIF($V$2:V65,V65)-1,"")</f>
        <v/>
      </c>
      <c r="X65" s="53" t="str">
        <f aca="false">IF(W65="","",IF(W65&lt;=Settings!$B$11,"1 - Fix first",IF(W65&lt;=Settings!$B$12,"2 - Review","3 - Monitor")))</f>
        <v/>
      </c>
      <c r="Y65" s="53" t="str">
        <f aca="false">IF(AND(E65&gt;=Settings!$B$4,J65&gt;=Settings!$B$5,Q65&gt;=Settings!$B$6),"HIGH RATE","")</f>
        <v/>
      </c>
      <c r="Z65" s="53" t="str">
        <f aca="false">IF(F65&gt;0,RANK(F65,$F$2:$F$95)+COUNTIF($F$2:F65,F65)-1,"")</f>
        <v/>
      </c>
      <c r="AA65" s="53" t="str">
        <f aca="false">IF(H65&gt;0,RANK(H65,$H$2:$H$95)+COUNTIF($H$2:H65,H65)-1,"")</f>
        <v/>
      </c>
      <c r="AB65" s="53" t="str">
        <f aca="false">IF(AD65="","",RANK(AD65,$AD$2:$AD$95)+COUNTIF($AD$2:AD65,AD65)-1)</f>
        <v/>
      </c>
      <c r="AC65" s="53" t="str">
        <f aca="false">IF(AE65="","",RANK(AE65,$AE$2:$AE$95)+COUNTIF($AE$2:AE65,AE65)-1)</f>
        <v/>
      </c>
      <c r="AD65" s="53" t="str">
        <f aca="false">IF(AND(J65&gt;0,E65&gt;=Settings!$B$4),ROUND(L65,10),"")</f>
        <v/>
      </c>
      <c r="AE65" s="53" t="str">
        <f aca="false">IF(AND(J65&gt;=Settings!$B$5,E65&gt;=Settings!$B$4),ROUND(Q65,10),"")</f>
        <v/>
      </c>
      <c r="AF65" s="62" t="n">
        <f aca="false">L65/Settings!$B$14</f>
        <v>0</v>
      </c>
    </row>
    <row r="66" customFormat="false" ht="15" hidden="false" customHeight="false" outlineLevel="0" collapsed="false">
      <c r="A66" s="53" t="s">
        <v>355</v>
      </c>
      <c r="B66" s="53" t="s">
        <v>454</v>
      </c>
      <c r="C66" s="53" t="s">
        <v>58</v>
      </c>
      <c r="D66" s="53" t="s">
        <v>97</v>
      </c>
      <c r="E66" s="55" t="n">
        <f aca="false">SUMIFS(Detail!$K$2:$K$703,Detail!$C$2:$C$703,$A66)</f>
        <v>0</v>
      </c>
      <c r="F66" s="55" t="n">
        <f aca="false">SUMIFS(Detail!$F$2:$F$703,Detail!$C$2:$C$703,$A66)</f>
        <v>0</v>
      </c>
      <c r="G66" s="56" t="n">
        <f aca="false">SUMIFS(Detail!$M$2:$M$703,Detail!$C$2:$C$703,$A66)</f>
        <v>0</v>
      </c>
      <c r="H66" s="56" t="n">
        <f aca="false">SUMIFS(Detail!$E$2:$E$703,Detail!$C$2:$C$703,$A66)</f>
        <v>0</v>
      </c>
      <c r="I66" s="56" t="n">
        <f aca="false">SUMIFS(Detail!$H$2:$H$703,Detail!$C$2:$C$703,$A66)</f>
        <v>194.95</v>
      </c>
      <c r="J66" s="55" t="n">
        <f aca="false">SUMIFS(Detail!$L$2:$L$703,Detail!$C$2:$C$703,$A66)</f>
        <v>0</v>
      </c>
      <c r="K66" s="56" t="n">
        <f aca="false">SUMIFS(Detail!$N$2:$N$703,Detail!$C$2:$C$703,$A66)</f>
        <v>0</v>
      </c>
      <c r="L66" s="31" t="n">
        <f aca="false">IF(E66&gt;0,J66/E66,0)</f>
        <v>0</v>
      </c>
      <c r="M66" s="31" t="n">
        <f aca="false">IF(G66&gt;0,K66/G66,0)</f>
        <v>0</v>
      </c>
      <c r="N66" s="57" t="n">
        <f aca="false">H66/Settings!$B$17</f>
        <v>0</v>
      </c>
      <c r="O66" s="58" t="n">
        <f aca="false">H66/Settings!$B$15</f>
        <v>0</v>
      </c>
      <c r="P66" s="59" t="n">
        <f aca="false">E66*Settings!$B$3</f>
        <v>0</v>
      </c>
      <c r="Q66" s="59" t="n">
        <f aca="false">IF(E66&gt;0,(J66-P66)/SQRT(E66*Settings!$B$3*(1-Settings!$B$3)),0)</f>
        <v>0</v>
      </c>
      <c r="R66" s="31" t="n">
        <f aca="false">IF(E66&gt;=Settings!$B$4,(J66+Settings!$B$7*Settings!$B$3)/(E66+Settings!$B$7),Settings!$B$3)</f>
        <v>0.0664935064935065</v>
      </c>
      <c r="S66" s="60" t="n">
        <f aca="false">PERCENTRANK($H$2:$H$95,H66,6)</f>
        <v>0</v>
      </c>
      <c r="T66" s="60" t="n">
        <f aca="false">PERCENTRANK($R$2:$R$95,R66,6)</f>
        <v>0.129032</v>
      </c>
      <c r="U66" s="60" t="n">
        <f aca="false">PERCENTRANK($F$2:$F$95,F66,6)</f>
        <v>0</v>
      </c>
      <c r="V66" s="61" t="n">
        <f aca="false">IF(F66&gt;0,ROUND((Settings!$B$8*U66+Settings!$B$9*S66+Settings!$B$10*T66)/SUM(Settings!$B$8:$B$10),10),0)</f>
        <v>0</v>
      </c>
      <c r="W66" s="53" t="str">
        <f aca="false">IF(V66&gt;0,RANK(V66,$V$2:$V$95)+COUNTIF($V$2:V66,V66)-1,"")</f>
        <v/>
      </c>
      <c r="X66" s="53" t="str">
        <f aca="false">IF(W66="","",IF(W66&lt;=Settings!$B$11,"1 - Fix first",IF(W66&lt;=Settings!$B$12,"2 - Review","3 - Monitor")))</f>
        <v/>
      </c>
      <c r="Y66" s="53" t="str">
        <f aca="false">IF(AND(E66&gt;=Settings!$B$4,J66&gt;=Settings!$B$5,Q66&gt;=Settings!$B$6),"HIGH RATE","")</f>
        <v/>
      </c>
      <c r="Z66" s="53" t="str">
        <f aca="false">IF(F66&gt;0,RANK(F66,$F$2:$F$95)+COUNTIF($F$2:F66,F66)-1,"")</f>
        <v/>
      </c>
      <c r="AA66" s="53" t="str">
        <f aca="false">IF(H66&gt;0,RANK(H66,$H$2:$H$95)+COUNTIF($H$2:H66,H66)-1,"")</f>
        <v/>
      </c>
      <c r="AB66" s="53" t="str">
        <f aca="false">IF(AD66="","",RANK(AD66,$AD$2:$AD$95)+COUNTIF($AD$2:AD66,AD66)-1)</f>
        <v/>
      </c>
      <c r="AC66" s="53" t="str">
        <f aca="false">IF(AE66="","",RANK(AE66,$AE$2:$AE$95)+COUNTIF($AE$2:AE66,AE66)-1)</f>
        <v/>
      </c>
      <c r="AD66" s="53" t="str">
        <f aca="false">IF(AND(J66&gt;0,E66&gt;=Settings!$B$4),ROUND(L66,10),"")</f>
        <v/>
      </c>
      <c r="AE66" s="53" t="str">
        <f aca="false">IF(AND(J66&gt;=Settings!$B$5,E66&gt;=Settings!$B$4),ROUND(Q66,10),"")</f>
        <v/>
      </c>
      <c r="AF66" s="62" t="n">
        <f aca="false">L66/Settings!$B$14</f>
        <v>0</v>
      </c>
    </row>
    <row r="67" customFormat="false" ht="15" hidden="false" customHeight="false" outlineLevel="0" collapsed="false">
      <c r="A67" s="53" t="s">
        <v>361</v>
      </c>
      <c r="B67" s="53" t="s">
        <v>455</v>
      </c>
      <c r="C67" s="53" t="s">
        <v>50</v>
      </c>
      <c r="D67" s="53" t="s">
        <v>97</v>
      </c>
      <c r="E67" s="55" t="n">
        <f aca="false">SUMIFS(Detail!$K$2:$K$703,Detail!$C$2:$C$703,$A67)</f>
        <v>0</v>
      </c>
      <c r="F67" s="55" t="n">
        <f aca="false">SUMIFS(Detail!$F$2:$F$703,Detail!$C$2:$C$703,$A67)</f>
        <v>0</v>
      </c>
      <c r="G67" s="56" t="n">
        <f aca="false">SUMIFS(Detail!$M$2:$M$703,Detail!$C$2:$C$703,$A67)</f>
        <v>0</v>
      </c>
      <c r="H67" s="56" t="n">
        <f aca="false">SUMIFS(Detail!$E$2:$E$703,Detail!$C$2:$C$703,$A67)</f>
        <v>0</v>
      </c>
      <c r="I67" s="56" t="n">
        <f aca="false">SUMIFS(Detail!$H$2:$H$703,Detail!$C$2:$C$703,$A67)</f>
        <v>509.7</v>
      </c>
      <c r="J67" s="55" t="n">
        <f aca="false">SUMIFS(Detail!$L$2:$L$703,Detail!$C$2:$C$703,$A67)</f>
        <v>0</v>
      </c>
      <c r="K67" s="56" t="n">
        <f aca="false">SUMIFS(Detail!$N$2:$N$703,Detail!$C$2:$C$703,$A67)</f>
        <v>0</v>
      </c>
      <c r="L67" s="31" t="n">
        <f aca="false">IF(E67&gt;0,J67/E67,0)</f>
        <v>0</v>
      </c>
      <c r="M67" s="31" t="n">
        <f aca="false">IF(G67&gt;0,K67/G67,0)</f>
        <v>0</v>
      </c>
      <c r="N67" s="57" t="n">
        <f aca="false">H67/Settings!$B$17</f>
        <v>0</v>
      </c>
      <c r="O67" s="58" t="n">
        <f aca="false">H67/Settings!$B$15</f>
        <v>0</v>
      </c>
      <c r="P67" s="59" t="n">
        <f aca="false">E67*Settings!$B$3</f>
        <v>0</v>
      </c>
      <c r="Q67" s="59" t="n">
        <f aca="false">IF(E67&gt;0,(J67-P67)/SQRT(E67*Settings!$B$3*(1-Settings!$B$3)),0)</f>
        <v>0</v>
      </c>
      <c r="R67" s="31" t="n">
        <f aca="false">IF(E67&gt;=Settings!$B$4,(J67+Settings!$B$7*Settings!$B$3)/(E67+Settings!$B$7),Settings!$B$3)</f>
        <v>0.0664935064935065</v>
      </c>
      <c r="S67" s="60" t="n">
        <f aca="false">PERCENTRANK($H$2:$H$95,H67,6)</f>
        <v>0</v>
      </c>
      <c r="T67" s="60" t="n">
        <f aca="false">PERCENTRANK($R$2:$R$95,R67,6)</f>
        <v>0.129032</v>
      </c>
      <c r="U67" s="60" t="n">
        <f aca="false">PERCENTRANK($F$2:$F$95,F67,6)</f>
        <v>0</v>
      </c>
      <c r="V67" s="61" t="n">
        <f aca="false">IF(F67&gt;0,ROUND((Settings!$B$8*U67+Settings!$B$9*S67+Settings!$B$10*T67)/SUM(Settings!$B$8:$B$10),10),0)</f>
        <v>0</v>
      </c>
      <c r="W67" s="53" t="str">
        <f aca="false">IF(V67&gt;0,RANK(V67,$V$2:$V$95)+COUNTIF($V$2:V67,V67)-1,"")</f>
        <v/>
      </c>
      <c r="X67" s="53" t="str">
        <f aca="false">IF(W67="","",IF(W67&lt;=Settings!$B$11,"1 - Fix first",IF(W67&lt;=Settings!$B$12,"2 - Review","3 - Monitor")))</f>
        <v/>
      </c>
      <c r="Y67" s="53" t="str">
        <f aca="false">IF(AND(E67&gt;=Settings!$B$4,J67&gt;=Settings!$B$5,Q67&gt;=Settings!$B$6),"HIGH RATE","")</f>
        <v/>
      </c>
      <c r="Z67" s="53" t="str">
        <f aca="false">IF(F67&gt;0,RANK(F67,$F$2:$F$95)+COUNTIF($F$2:F67,F67)-1,"")</f>
        <v/>
      </c>
      <c r="AA67" s="53" t="str">
        <f aca="false">IF(H67&gt;0,RANK(H67,$H$2:$H$95)+COUNTIF($H$2:H67,H67)-1,"")</f>
        <v/>
      </c>
      <c r="AB67" s="53" t="str">
        <f aca="false">IF(AD67="","",RANK(AD67,$AD$2:$AD$95)+COUNTIF($AD$2:AD67,AD67)-1)</f>
        <v/>
      </c>
      <c r="AC67" s="53" t="str">
        <f aca="false">IF(AE67="","",RANK(AE67,$AE$2:$AE$95)+COUNTIF($AE$2:AE67,AE67)-1)</f>
        <v/>
      </c>
      <c r="AD67" s="53" t="str">
        <f aca="false">IF(AND(J67&gt;0,E67&gt;=Settings!$B$4),ROUND(L67,10),"")</f>
        <v/>
      </c>
      <c r="AE67" s="53" t="str">
        <f aca="false">IF(AND(J67&gt;=Settings!$B$5,E67&gt;=Settings!$B$4),ROUND(Q67,10),"")</f>
        <v/>
      </c>
      <c r="AF67" s="62" t="n">
        <f aca="false">L67/Settings!$B$14</f>
        <v>0</v>
      </c>
    </row>
    <row r="68" customFormat="false" ht="15" hidden="false" customHeight="false" outlineLevel="0" collapsed="false">
      <c r="A68" s="53" t="s">
        <v>331</v>
      </c>
      <c r="B68" s="53" t="s">
        <v>455</v>
      </c>
      <c r="C68" s="53" t="s">
        <v>50</v>
      </c>
      <c r="D68" s="53" t="s">
        <v>97</v>
      </c>
      <c r="E68" s="55" t="n">
        <f aca="false">SUMIFS(Detail!$K$2:$K$703,Detail!$C$2:$C$703,$A68)</f>
        <v>0</v>
      </c>
      <c r="F68" s="55" t="n">
        <f aca="false">SUMIFS(Detail!$F$2:$F$703,Detail!$C$2:$C$703,$A68)</f>
        <v>0</v>
      </c>
      <c r="G68" s="56" t="n">
        <f aca="false">SUMIFS(Detail!$M$2:$M$703,Detail!$C$2:$C$703,$A68)</f>
        <v>0</v>
      </c>
      <c r="H68" s="56" t="n">
        <f aca="false">SUMIFS(Detail!$E$2:$E$703,Detail!$C$2:$C$703,$A68)</f>
        <v>0</v>
      </c>
      <c r="I68" s="56" t="n">
        <f aca="false">SUMIFS(Detail!$H$2:$H$703,Detail!$C$2:$C$703,$A68)</f>
        <v>139.95</v>
      </c>
      <c r="J68" s="55" t="n">
        <f aca="false">SUMIFS(Detail!$L$2:$L$703,Detail!$C$2:$C$703,$A68)</f>
        <v>0</v>
      </c>
      <c r="K68" s="56" t="n">
        <f aca="false">SUMIFS(Detail!$N$2:$N$703,Detail!$C$2:$C$703,$A68)</f>
        <v>0</v>
      </c>
      <c r="L68" s="31" t="n">
        <f aca="false">IF(E68&gt;0,J68/E68,0)</f>
        <v>0</v>
      </c>
      <c r="M68" s="31" t="n">
        <f aca="false">IF(G68&gt;0,K68/G68,0)</f>
        <v>0</v>
      </c>
      <c r="N68" s="57" t="n">
        <f aca="false">H68/Settings!$B$17</f>
        <v>0</v>
      </c>
      <c r="O68" s="58" t="n">
        <f aca="false">H68/Settings!$B$15</f>
        <v>0</v>
      </c>
      <c r="P68" s="59" t="n">
        <f aca="false">E68*Settings!$B$3</f>
        <v>0</v>
      </c>
      <c r="Q68" s="59" t="n">
        <f aca="false">IF(E68&gt;0,(J68-P68)/SQRT(E68*Settings!$B$3*(1-Settings!$B$3)),0)</f>
        <v>0</v>
      </c>
      <c r="R68" s="31" t="n">
        <f aca="false">IF(E68&gt;=Settings!$B$4,(J68+Settings!$B$7*Settings!$B$3)/(E68+Settings!$B$7),Settings!$B$3)</f>
        <v>0.0664935064935065</v>
      </c>
      <c r="S68" s="60" t="n">
        <f aca="false">PERCENTRANK($H$2:$H$95,H68,6)</f>
        <v>0</v>
      </c>
      <c r="T68" s="60" t="n">
        <f aca="false">PERCENTRANK($R$2:$R$95,R68,6)</f>
        <v>0.129032</v>
      </c>
      <c r="U68" s="60" t="n">
        <f aca="false">PERCENTRANK($F$2:$F$95,F68,6)</f>
        <v>0</v>
      </c>
      <c r="V68" s="61" t="n">
        <f aca="false">IF(F68&gt;0,ROUND((Settings!$B$8*U68+Settings!$B$9*S68+Settings!$B$10*T68)/SUM(Settings!$B$8:$B$10),10),0)</f>
        <v>0</v>
      </c>
      <c r="W68" s="53" t="str">
        <f aca="false">IF(V68&gt;0,RANK(V68,$V$2:$V$95)+COUNTIF($V$2:V68,V68)-1,"")</f>
        <v/>
      </c>
      <c r="X68" s="53" t="str">
        <f aca="false">IF(W68="","",IF(W68&lt;=Settings!$B$11,"1 - Fix first",IF(W68&lt;=Settings!$B$12,"2 - Review","3 - Monitor")))</f>
        <v/>
      </c>
      <c r="Y68" s="53" t="str">
        <f aca="false">IF(AND(E68&gt;=Settings!$B$4,J68&gt;=Settings!$B$5,Q68&gt;=Settings!$B$6),"HIGH RATE","")</f>
        <v/>
      </c>
      <c r="Z68" s="53" t="str">
        <f aca="false">IF(F68&gt;0,RANK(F68,$F$2:$F$95)+COUNTIF($F$2:F68,F68)-1,"")</f>
        <v/>
      </c>
      <c r="AA68" s="53" t="str">
        <f aca="false">IF(H68&gt;0,RANK(H68,$H$2:$H$95)+COUNTIF($H$2:H68,H68)-1,"")</f>
        <v/>
      </c>
      <c r="AB68" s="53" t="str">
        <f aca="false">IF(AD68="","",RANK(AD68,$AD$2:$AD$95)+COUNTIF($AD$2:AD68,AD68)-1)</f>
        <v/>
      </c>
      <c r="AC68" s="53" t="str">
        <f aca="false">IF(AE68="","",RANK(AE68,$AE$2:$AE$95)+COUNTIF($AE$2:AE68,AE68)-1)</f>
        <v/>
      </c>
      <c r="AD68" s="53" t="str">
        <f aca="false">IF(AND(J68&gt;0,E68&gt;=Settings!$B$4),ROUND(L68,10),"")</f>
        <v/>
      </c>
      <c r="AE68" s="53" t="str">
        <f aca="false">IF(AND(J68&gt;=Settings!$B$5,E68&gt;=Settings!$B$4),ROUND(Q68,10),"")</f>
        <v/>
      </c>
      <c r="AF68" s="62" t="n">
        <f aca="false">L68/Settings!$B$14</f>
        <v>0</v>
      </c>
    </row>
    <row r="69" customFormat="false" ht="15" hidden="false" customHeight="false" outlineLevel="0" collapsed="false">
      <c r="A69" s="53" t="s">
        <v>364</v>
      </c>
      <c r="B69" s="53" t="s">
        <v>455</v>
      </c>
      <c r="C69" s="53" t="s">
        <v>50</v>
      </c>
      <c r="D69" s="53" t="s">
        <v>97</v>
      </c>
      <c r="E69" s="55" t="n">
        <f aca="false">SUMIFS(Detail!$K$2:$K$703,Detail!$C$2:$C$703,$A69)</f>
        <v>0</v>
      </c>
      <c r="F69" s="55" t="n">
        <f aca="false">SUMIFS(Detail!$F$2:$F$703,Detail!$C$2:$C$703,$A69)</f>
        <v>0</v>
      </c>
      <c r="G69" s="56" t="n">
        <f aca="false">SUMIFS(Detail!$M$2:$M$703,Detail!$C$2:$C$703,$A69)</f>
        <v>0</v>
      </c>
      <c r="H69" s="56" t="n">
        <f aca="false">SUMIFS(Detail!$E$2:$E$703,Detail!$C$2:$C$703,$A69)</f>
        <v>0</v>
      </c>
      <c r="I69" s="56" t="n">
        <f aca="false">SUMIFS(Detail!$H$2:$H$703,Detail!$C$2:$C$703,$A69)</f>
        <v>154.95</v>
      </c>
      <c r="J69" s="55" t="n">
        <f aca="false">SUMIFS(Detail!$L$2:$L$703,Detail!$C$2:$C$703,$A69)</f>
        <v>0</v>
      </c>
      <c r="K69" s="56" t="n">
        <f aca="false">SUMIFS(Detail!$N$2:$N$703,Detail!$C$2:$C$703,$A69)</f>
        <v>0</v>
      </c>
      <c r="L69" s="31" t="n">
        <f aca="false">IF(E69&gt;0,J69/E69,0)</f>
        <v>0</v>
      </c>
      <c r="M69" s="31" t="n">
        <f aca="false">IF(G69&gt;0,K69/G69,0)</f>
        <v>0</v>
      </c>
      <c r="N69" s="57" t="n">
        <f aca="false">H69/Settings!$B$17</f>
        <v>0</v>
      </c>
      <c r="O69" s="58" t="n">
        <f aca="false">H69/Settings!$B$15</f>
        <v>0</v>
      </c>
      <c r="P69" s="59" t="n">
        <f aca="false">E69*Settings!$B$3</f>
        <v>0</v>
      </c>
      <c r="Q69" s="59" t="n">
        <f aca="false">IF(E69&gt;0,(J69-P69)/SQRT(E69*Settings!$B$3*(1-Settings!$B$3)),0)</f>
        <v>0</v>
      </c>
      <c r="R69" s="31" t="n">
        <f aca="false">IF(E69&gt;=Settings!$B$4,(J69+Settings!$B$7*Settings!$B$3)/(E69+Settings!$B$7),Settings!$B$3)</f>
        <v>0.0664935064935065</v>
      </c>
      <c r="S69" s="60" t="n">
        <f aca="false">PERCENTRANK($H$2:$H$95,H69,6)</f>
        <v>0</v>
      </c>
      <c r="T69" s="60" t="n">
        <f aca="false">PERCENTRANK($R$2:$R$95,R69,6)</f>
        <v>0.129032</v>
      </c>
      <c r="U69" s="60" t="n">
        <f aca="false">PERCENTRANK($F$2:$F$95,F69,6)</f>
        <v>0</v>
      </c>
      <c r="V69" s="61" t="n">
        <f aca="false">IF(F69&gt;0,ROUND((Settings!$B$8*U69+Settings!$B$9*S69+Settings!$B$10*T69)/SUM(Settings!$B$8:$B$10),10),0)</f>
        <v>0</v>
      </c>
      <c r="W69" s="53" t="str">
        <f aca="false">IF(V69&gt;0,RANK(V69,$V$2:$V$95)+COUNTIF($V$2:V69,V69)-1,"")</f>
        <v/>
      </c>
      <c r="X69" s="53" t="str">
        <f aca="false">IF(W69="","",IF(W69&lt;=Settings!$B$11,"1 - Fix first",IF(W69&lt;=Settings!$B$12,"2 - Review","3 - Monitor")))</f>
        <v/>
      </c>
      <c r="Y69" s="53" t="str">
        <f aca="false">IF(AND(E69&gt;=Settings!$B$4,J69&gt;=Settings!$B$5,Q69&gt;=Settings!$B$6),"HIGH RATE","")</f>
        <v/>
      </c>
      <c r="Z69" s="53" t="str">
        <f aca="false">IF(F69&gt;0,RANK(F69,$F$2:$F$95)+COUNTIF($F$2:F69,F69)-1,"")</f>
        <v/>
      </c>
      <c r="AA69" s="53" t="str">
        <f aca="false">IF(H69&gt;0,RANK(H69,$H$2:$H$95)+COUNTIF($H$2:H69,H69)-1,"")</f>
        <v/>
      </c>
      <c r="AB69" s="53" t="str">
        <f aca="false">IF(AD69="","",RANK(AD69,$AD$2:$AD$95)+COUNTIF($AD$2:AD69,AD69)-1)</f>
        <v/>
      </c>
      <c r="AC69" s="53" t="str">
        <f aca="false">IF(AE69="","",RANK(AE69,$AE$2:$AE$95)+COUNTIF($AE$2:AE69,AE69)-1)</f>
        <v/>
      </c>
      <c r="AD69" s="53" t="str">
        <f aca="false">IF(AND(J69&gt;0,E69&gt;=Settings!$B$4),ROUND(L69,10),"")</f>
        <v/>
      </c>
      <c r="AE69" s="53" t="str">
        <f aca="false">IF(AND(J69&gt;=Settings!$B$5,E69&gt;=Settings!$B$4),ROUND(Q69,10),"")</f>
        <v/>
      </c>
      <c r="AF69" s="62" t="n">
        <f aca="false">L69/Settings!$B$14</f>
        <v>0</v>
      </c>
    </row>
    <row r="70" customFormat="false" ht="15" hidden="false" customHeight="false" outlineLevel="0" collapsed="false">
      <c r="A70" s="53" t="s">
        <v>346</v>
      </c>
      <c r="B70" s="53" t="s">
        <v>455</v>
      </c>
      <c r="C70" s="53" t="s">
        <v>50</v>
      </c>
      <c r="D70" s="53" t="s">
        <v>97</v>
      </c>
      <c r="E70" s="55" t="n">
        <f aca="false">SUMIFS(Detail!$K$2:$K$703,Detail!$C$2:$C$703,$A70)</f>
        <v>0</v>
      </c>
      <c r="F70" s="55" t="n">
        <f aca="false">SUMIFS(Detail!$F$2:$F$703,Detail!$C$2:$C$703,$A70)</f>
        <v>0</v>
      </c>
      <c r="G70" s="56" t="n">
        <f aca="false">SUMIFS(Detail!$M$2:$M$703,Detail!$C$2:$C$703,$A70)</f>
        <v>0</v>
      </c>
      <c r="H70" s="56" t="n">
        <f aca="false">SUMIFS(Detail!$E$2:$E$703,Detail!$C$2:$C$703,$A70)</f>
        <v>0</v>
      </c>
      <c r="I70" s="56" t="n">
        <f aca="false">SUMIFS(Detail!$H$2:$H$703,Detail!$C$2:$C$703,$A70)</f>
        <v>84.95</v>
      </c>
      <c r="J70" s="55" t="n">
        <f aca="false">SUMIFS(Detail!$L$2:$L$703,Detail!$C$2:$C$703,$A70)</f>
        <v>0</v>
      </c>
      <c r="K70" s="56" t="n">
        <f aca="false">SUMIFS(Detail!$N$2:$N$703,Detail!$C$2:$C$703,$A70)</f>
        <v>0</v>
      </c>
      <c r="L70" s="31" t="n">
        <f aca="false">IF(E70&gt;0,J70/E70,0)</f>
        <v>0</v>
      </c>
      <c r="M70" s="31" t="n">
        <f aca="false">IF(G70&gt;0,K70/G70,0)</f>
        <v>0</v>
      </c>
      <c r="N70" s="57" t="n">
        <f aca="false">H70/Settings!$B$17</f>
        <v>0</v>
      </c>
      <c r="O70" s="58" t="n">
        <f aca="false">H70/Settings!$B$15</f>
        <v>0</v>
      </c>
      <c r="P70" s="59" t="n">
        <f aca="false">E70*Settings!$B$3</f>
        <v>0</v>
      </c>
      <c r="Q70" s="59" t="n">
        <f aca="false">IF(E70&gt;0,(J70-P70)/SQRT(E70*Settings!$B$3*(1-Settings!$B$3)),0)</f>
        <v>0</v>
      </c>
      <c r="R70" s="31" t="n">
        <f aca="false">IF(E70&gt;=Settings!$B$4,(J70+Settings!$B$7*Settings!$B$3)/(E70+Settings!$B$7),Settings!$B$3)</f>
        <v>0.0664935064935065</v>
      </c>
      <c r="S70" s="60" t="n">
        <f aca="false">PERCENTRANK($H$2:$H$95,H70,6)</f>
        <v>0</v>
      </c>
      <c r="T70" s="60" t="n">
        <f aca="false">PERCENTRANK($R$2:$R$95,R70,6)</f>
        <v>0.129032</v>
      </c>
      <c r="U70" s="60" t="n">
        <f aca="false">PERCENTRANK($F$2:$F$95,F70,6)</f>
        <v>0</v>
      </c>
      <c r="V70" s="61" t="n">
        <f aca="false">IF(F70&gt;0,ROUND((Settings!$B$8*U70+Settings!$B$9*S70+Settings!$B$10*T70)/SUM(Settings!$B$8:$B$10),10),0)</f>
        <v>0</v>
      </c>
      <c r="W70" s="53" t="str">
        <f aca="false">IF(V70&gt;0,RANK(V70,$V$2:$V$95)+COUNTIF($V$2:V70,V70)-1,"")</f>
        <v/>
      </c>
      <c r="X70" s="53" t="str">
        <f aca="false">IF(W70="","",IF(W70&lt;=Settings!$B$11,"1 - Fix first",IF(W70&lt;=Settings!$B$12,"2 - Review","3 - Monitor")))</f>
        <v/>
      </c>
      <c r="Y70" s="53" t="str">
        <f aca="false">IF(AND(E70&gt;=Settings!$B$4,J70&gt;=Settings!$B$5,Q70&gt;=Settings!$B$6),"HIGH RATE","")</f>
        <v/>
      </c>
      <c r="Z70" s="53" t="str">
        <f aca="false">IF(F70&gt;0,RANK(F70,$F$2:$F$95)+COUNTIF($F$2:F70,F70)-1,"")</f>
        <v/>
      </c>
      <c r="AA70" s="53" t="str">
        <f aca="false">IF(H70&gt;0,RANK(H70,$H$2:$H$95)+COUNTIF($H$2:H70,H70)-1,"")</f>
        <v/>
      </c>
      <c r="AB70" s="53" t="str">
        <f aca="false">IF(AD70="","",RANK(AD70,$AD$2:$AD$95)+COUNTIF($AD$2:AD70,AD70)-1)</f>
        <v/>
      </c>
      <c r="AC70" s="53" t="str">
        <f aca="false">IF(AE70="","",RANK(AE70,$AE$2:$AE$95)+COUNTIF($AE$2:AE70,AE70)-1)</f>
        <v/>
      </c>
      <c r="AD70" s="53" t="str">
        <f aca="false">IF(AND(J70&gt;0,E70&gt;=Settings!$B$4),ROUND(L70,10),"")</f>
        <v/>
      </c>
      <c r="AE70" s="53" t="str">
        <f aca="false">IF(AND(J70&gt;=Settings!$B$5,E70&gt;=Settings!$B$4),ROUND(Q70,10),"")</f>
        <v/>
      </c>
      <c r="AF70" s="62" t="n">
        <f aca="false">L70/Settings!$B$14</f>
        <v>0</v>
      </c>
    </row>
    <row r="71" customFormat="false" ht="15" hidden="false" customHeight="false" outlineLevel="0" collapsed="false">
      <c r="A71" s="53" t="s">
        <v>335</v>
      </c>
      <c r="B71" s="53" t="s">
        <v>455</v>
      </c>
      <c r="C71" s="53" t="s">
        <v>50</v>
      </c>
      <c r="D71" s="53" t="s">
        <v>97</v>
      </c>
      <c r="E71" s="55" t="n">
        <f aca="false">SUMIFS(Detail!$K$2:$K$703,Detail!$C$2:$C$703,$A71)</f>
        <v>0</v>
      </c>
      <c r="F71" s="55" t="n">
        <f aca="false">SUMIFS(Detail!$F$2:$F$703,Detail!$C$2:$C$703,$A71)</f>
        <v>0</v>
      </c>
      <c r="G71" s="56" t="n">
        <f aca="false">SUMIFS(Detail!$M$2:$M$703,Detail!$C$2:$C$703,$A71)</f>
        <v>0</v>
      </c>
      <c r="H71" s="56" t="n">
        <f aca="false">SUMIFS(Detail!$E$2:$E$703,Detail!$C$2:$C$703,$A71)</f>
        <v>0</v>
      </c>
      <c r="I71" s="56" t="n">
        <f aca="false">SUMIFS(Detail!$H$2:$H$703,Detail!$C$2:$C$703,$A71)</f>
        <v>109.95</v>
      </c>
      <c r="J71" s="55" t="n">
        <f aca="false">SUMIFS(Detail!$L$2:$L$703,Detail!$C$2:$C$703,$A71)</f>
        <v>0</v>
      </c>
      <c r="K71" s="56" t="n">
        <f aca="false">SUMIFS(Detail!$N$2:$N$703,Detail!$C$2:$C$703,$A71)</f>
        <v>0</v>
      </c>
      <c r="L71" s="31" t="n">
        <f aca="false">IF(E71&gt;0,J71/E71,0)</f>
        <v>0</v>
      </c>
      <c r="M71" s="31" t="n">
        <f aca="false">IF(G71&gt;0,K71/G71,0)</f>
        <v>0</v>
      </c>
      <c r="N71" s="57" t="n">
        <f aca="false">H71/Settings!$B$17</f>
        <v>0</v>
      </c>
      <c r="O71" s="58" t="n">
        <f aca="false">H71/Settings!$B$15</f>
        <v>0</v>
      </c>
      <c r="P71" s="59" t="n">
        <f aca="false">E71*Settings!$B$3</f>
        <v>0</v>
      </c>
      <c r="Q71" s="59" t="n">
        <f aca="false">IF(E71&gt;0,(J71-P71)/SQRT(E71*Settings!$B$3*(1-Settings!$B$3)),0)</f>
        <v>0</v>
      </c>
      <c r="R71" s="31" t="n">
        <f aca="false">IF(E71&gt;=Settings!$B$4,(J71+Settings!$B$7*Settings!$B$3)/(E71+Settings!$B$7),Settings!$B$3)</f>
        <v>0.0664935064935065</v>
      </c>
      <c r="S71" s="60" t="n">
        <f aca="false">PERCENTRANK($H$2:$H$95,H71,6)</f>
        <v>0</v>
      </c>
      <c r="T71" s="60" t="n">
        <f aca="false">PERCENTRANK($R$2:$R$95,R71,6)</f>
        <v>0.129032</v>
      </c>
      <c r="U71" s="60" t="n">
        <f aca="false">PERCENTRANK($F$2:$F$95,F71,6)</f>
        <v>0</v>
      </c>
      <c r="V71" s="61" t="n">
        <f aca="false">IF(F71&gt;0,ROUND((Settings!$B$8*U71+Settings!$B$9*S71+Settings!$B$10*T71)/SUM(Settings!$B$8:$B$10),10),0)</f>
        <v>0</v>
      </c>
      <c r="W71" s="53" t="str">
        <f aca="false">IF(V71&gt;0,RANK(V71,$V$2:$V$95)+COUNTIF($V$2:V71,V71)-1,"")</f>
        <v/>
      </c>
      <c r="X71" s="53" t="str">
        <f aca="false">IF(W71="","",IF(W71&lt;=Settings!$B$11,"1 - Fix first",IF(W71&lt;=Settings!$B$12,"2 - Review","3 - Monitor")))</f>
        <v/>
      </c>
      <c r="Y71" s="53" t="str">
        <f aca="false">IF(AND(E71&gt;=Settings!$B$4,J71&gt;=Settings!$B$5,Q71&gt;=Settings!$B$6),"HIGH RATE","")</f>
        <v/>
      </c>
      <c r="Z71" s="53" t="str">
        <f aca="false">IF(F71&gt;0,RANK(F71,$F$2:$F$95)+COUNTIF($F$2:F71,F71)-1,"")</f>
        <v/>
      </c>
      <c r="AA71" s="53" t="str">
        <f aca="false">IF(H71&gt;0,RANK(H71,$H$2:$H$95)+COUNTIF($H$2:H71,H71)-1,"")</f>
        <v/>
      </c>
      <c r="AB71" s="53" t="str">
        <f aca="false">IF(AD71="","",RANK(AD71,$AD$2:$AD$95)+COUNTIF($AD$2:AD71,AD71)-1)</f>
        <v/>
      </c>
      <c r="AC71" s="53" t="str">
        <f aca="false">IF(AE71="","",RANK(AE71,$AE$2:$AE$95)+COUNTIF($AE$2:AE71,AE71)-1)</f>
        <v/>
      </c>
      <c r="AD71" s="53" t="str">
        <f aca="false">IF(AND(J71&gt;0,E71&gt;=Settings!$B$4),ROUND(L71,10),"")</f>
        <v/>
      </c>
      <c r="AE71" s="53" t="str">
        <f aca="false">IF(AND(J71&gt;=Settings!$B$5,E71&gt;=Settings!$B$4),ROUND(Q71,10),"")</f>
        <v/>
      </c>
      <c r="AF71" s="62" t="n">
        <f aca="false">L71/Settings!$B$14</f>
        <v>0</v>
      </c>
    </row>
    <row r="72" customFormat="false" ht="15" hidden="false" customHeight="false" outlineLevel="0" collapsed="false">
      <c r="A72" s="53" t="s">
        <v>339</v>
      </c>
      <c r="B72" s="53" t="s">
        <v>455</v>
      </c>
      <c r="C72" s="53" t="s">
        <v>50</v>
      </c>
      <c r="D72" s="53" t="s">
        <v>97</v>
      </c>
      <c r="E72" s="55" t="n">
        <f aca="false">SUMIFS(Detail!$K$2:$K$703,Detail!$C$2:$C$703,$A72)</f>
        <v>0</v>
      </c>
      <c r="F72" s="55" t="n">
        <f aca="false">SUMIFS(Detail!$F$2:$F$703,Detail!$C$2:$C$703,$A72)</f>
        <v>0</v>
      </c>
      <c r="G72" s="56" t="n">
        <f aca="false">SUMIFS(Detail!$M$2:$M$703,Detail!$C$2:$C$703,$A72)</f>
        <v>0</v>
      </c>
      <c r="H72" s="56" t="n">
        <f aca="false">SUMIFS(Detail!$E$2:$E$703,Detail!$C$2:$C$703,$A72)</f>
        <v>0</v>
      </c>
      <c r="I72" s="56" t="n">
        <f aca="false">SUMIFS(Detail!$H$2:$H$703,Detail!$C$2:$C$703,$A72)</f>
        <v>154.95</v>
      </c>
      <c r="J72" s="55" t="n">
        <f aca="false">SUMIFS(Detail!$L$2:$L$703,Detail!$C$2:$C$703,$A72)</f>
        <v>0</v>
      </c>
      <c r="K72" s="56" t="n">
        <f aca="false">SUMIFS(Detail!$N$2:$N$703,Detail!$C$2:$C$703,$A72)</f>
        <v>0</v>
      </c>
      <c r="L72" s="31" t="n">
        <f aca="false">IF(E72&gt;0,J72/E72,0)</f>
        <v>0</v>
      </c>
      <c r="M72" s="31" t="n">
        <f aca="false">IF(G72&gt;0,K72/G72,0)</f>
        <v>0</v>
      </c>
      <c r="N72" s="57" t="n">
        <f aca="false">H72/Settings!$B$17</f>
        <v>0</v>
      </c>
      <c r="O72" s="58" t="n">
        <f aca="false">H72/Settings!$B$15</f>
        <v>0</v>
      </c>
      <c r="P72" s="59" t="n">
        <f aca="false">E72*Settings!$B$3</f>
        <v>0</v>
      </c>
      <c r="Q72" s="59" t="n">
        <f aca="false">IF(E72&gt;0,(J72-P72)/SQRT(E72*Settings!$B$3*(1-Settings!$B$3)),0)</f>
        <v>0</v>
      </c>
      <c r="R72" s="31" t="n">
        <f aca="false">IF(E72&gt;=Settings!$B$4,(J72+Settings!$B$7*Settings!$B$3)/(E72+Settings!$B$7),Settings!$B$3)</f>
        <v>0.0664935064935065</v>
      </c>
      <c r="S72" s="60" t="n">
        <f aca="false">PERCENTRANK($H$2:$H$95,H72,6)</f>
        <v>0</v>
      </c>
      <c r="T72" s="60" t="n">
        <f aca="false">PERCENTRANK($R$2:$R$95,R72,6)</f>
        <v>0.129032</v>
      </c>
      <c r="U72" s="60" t="n">
        <f aca="false">PERCENTRANK($F$2:$F$95,F72,6)</f>
        <v>0</v>
      </c>
      <c r="V72" s="61" t="n">
        <f aca="false">IF(F72&gt;0,ROUND((Settings!$B$8*U72+Settings!$B$9*S72+Settings!$B$10*T72)/SUM(Settings!$B$8:$B$10),10),0)</f>
        <v>0</v>
      </c>
      <c r="W72" s="53" t="str">
        <f aca="false">IF(V72&gt;0,RANK(V72,$V$2:$V$95)+COUNTIF($V$2:V72,V72)-1,"")</f>
        <v/>
      </c>
      <c r="X72" s="53" t="str">
        <f aca="false">IF(W72="","",IF(W72&lt;=Settings!$B$11,"1 - Fix first",IF(W72&lt;=Settings!$B$12,"2 - Review","3 - Monitor")))</f>
        <v/>
      </c>
      <c r="Y72" s="53" t="str">
        <f aca="false">IF(AND(E72&gt;=Settings!$B$4,J72&gt;=Settings!$B$5,Q72&gt;=Settings!$B$6),"HIGH RATE","")</f>
        <v/>
      </c>
      <c r="Z72" s="53" t="str">
        <f aca="false">IF(F72&gt;0,RANK(F72,$F$2:$F$95)+COUNTIF($F$2:F72,F72)-1,"")</f>
        <v/>
      </c>
      <c r="AA72" s="53" t="str">
        <f aca="false">IF(H72&gt;0,RANK(H72,$H$2:$H$95)+COUNTIF($H$2:H72,H72)-1,"")</f>
        <v/>
      </c>
      <c r="AB72" s="53" t="str">
        <f aca="false">IF(AD72="","",RANK(AD72,$AD$2:$AD$95)+COUNTIF($AD$2:AD72,AD72)-1)</f>
        <v/>
      </c>
      <c r="AC72" s="53" t="str">
        <f aca="false">IF(AE72="","",RANK(AE72,$AE$2:$AE$95)+COUNTIF($AE$2:AE72,AE72)-1)</f>
        <v/>
      </c>
      <c r="AD72" s="53" t="str">
        <f aca="false">IF(AND(J72&gt;0,E72&gt;=Settings!$B$4),ROUND(L72,10),"")</f>
        <v/>
      </c>
      <c r="AE72" s="53" t="str">
        <f aca="false">IF(AND(J72&gt;=Settings!$B$5,E72&gt;=Settings!$B$4),ROUND(Q72,10),"")</f>
        <v/>
      </c>
      <c r="AF72" s="62" t="n">
        <f aca="false">L72/Settings!$B$14</f>
        <v>0</v>
      </c>
    </row>
    <row r="73" customFormat="false" ht="15" hidden="false" customHeight="false" outlineLevel="0" collapsed="false">
      <c r="A73" s="53" t="s">
        <v>340</v>
      </c>
      <c r="B73" s="53" t="s">
        <v>455</v>
      </c>
      <c r="C73" s="53" t="s">
        <v>50</v>
      </c>
      <c r="D73" s="53" t="s">
        <v>97</v>
      </c>
      <c r="E73" s="55" t="n">
        <f aca="false">SUMIFS(Detail!$K$2:$K$703,Detail!$C$2:$C$703,$A73)</f>
        <v>0</v>
      </c>
      <c r="F73" s="55" t="n">
        <f aca="false">SUMIFS(Detail!$F$2:$F$703,Detail!$C$2:$C$703,$A73)</f>
        <v>0</v>
      </c>
      <c r="G73" s="56" t="n">
        <f aca="false">SUMIFS(Detail!$M$2:$M$703,Detail!$C$2:$C$703,$A73)</f>
        <v>0</v>
      </c>
      <c r="H73" s="56" t="n">
        <f aca="false">SUMIFS(Detail!$E$2:$E$703,Detail!$C$2:$C$703,$A73)</f>
        <v>0</v>
      </c>
      <c r="I73" s="56" t="n">
        <f aca="false">SUMIFS(Detail!$H$2:$H$703,Detail!$C$2:$C$703,$A73)</f>
        <v>254.85</v>
      </c>
      <c r="J73" s="55" t="n">
        <f aca="false">SUMIFS(Detail!$L$2:$L$703,Detail!$C$2:$C$703,$A73)</f>
        <v>0</v>
      </c>
      <c r="K73" s="56" t="n">
        <f aca="false">SUMIFS(Detail!$N$2:$N$703,Detail!$C$2:$C$703,$A73)</f>
        <v>0</v>
      </c>
      <c r="L73" s="31" t="n">
        <f aca="false">IF(E73&gt;0,J73/E73,0)</f>
        <v>0</v>
      </c>
      <c r="M73" s="31" t="n">
        <f aca="false">IF(G73&gt;0,K73/G73,0)</f>
        <v>0</v>
      </c>
      <c r="N73" s="57" t="n">
        <f aca="false">H73/Settings!$B$17</f>
        <v>0</v>
      </c>
      <c r="O73" s="58" t="n">
        <f aca="false">H73/Settings!$B$15</f>
        <v>0</v>
      </c>
      <c r="P73" s="59" t="n">
        <f aca="false">E73*Settings!$B$3</f>
        <v>0</v>
      </c>
      <c r="Q73" s="59" t="n">
        <f aca="false">IF(E73&gt;0,(J73-P73)/SQRT(E73*Settings!$B$3*(1-Settings!$B$3)),0)</f>
        <v>0</v>
      </c>
      <c r="R73" s="31" t="n">
        <f aca="false">IF(E73&gt;=Settings!$B$4,(J73+Settings!$B$7*Settings!$B$3)/(E73+Settings!$B$7),Settings!$B$3)</f>
        <v>0.0664935064935065</v>
      </c>
      <c r="S73" s="60" t="n">
        <f aca="false">PERCENTRANK($H$2:$H$95,H73,6)</f>
        <v>0</v>
      </c>
      <c r="T73" s="60" t="n">
        <f aca="false">PERCENTRANK($R$2:$R$95,R73,6)</f>
        <v>0.129032</v>
      </c>
      <c r="U73" s="60" t="n">
        <f aca="false">PERCENTRANK($F$2:$F$95,F73,6)</f>
        <v>0</v>
      </c>
      <c r="V73" s="61" t="n">
        <f aca="false">IF(F73&gt;0,ROUND((Settings!$B$8*U73+Settings!$B$9*S73+Settings!$B$10*T73)/SUM(Settings!$B$8:$B$10),10),0)</f>
        <v>0</v>
      </c>
      <c r="W73" s="53" t="str">
        <f aca="false">IF(V73&gt;0,RANK(V73,$V$2:$V$95)+COUNTIF($V$2:V73,V73)-1,"")</f>
        <v/>
      </c>
      <c r="X73" s="53" t="str">
        <f aca="false">IF(W73="","",IF(W73&lt;=Settings!$B$11,"1 - Fix first",IF(W73&lt;=Settings!$B$12,"2 - Review","3 - Monitor")))</f>
        <v/>
      </c>
      <c r="Y73" s="53" t="str">
        <f aca="false">IF(AND(E73&gt;=Settings!$B$4,J73&gt;=Settings!$B$5,Q73&gt;=Settings!$B$6),"HIGH RATE","")</f>
        <v/>
      </c>
      <c r="Z73" s="53" t="str">
        <f aca="false">IF(F73&gt;0,RANK(F73,$F$2:$F$95)+COUNTIF($F$2:F73,F73)-1,"")</f>
        <v/>
      </c>
      <c r="AA73" s="53" t="str">
        <f aca="false">IF(H73&gt;0,RANK(H73,$H$2:$H$95)+COUNTIF($H$2:H73,H73)-1,"")</f>
        <v/>
      </c>
      <c r="AB73" s="53" t="str">
        <f aca="false">IF(AD73="","",RANK(AD73,$AD$2:$AD$95)+COUNTIF($AD$2:AD73,AD73)-1)</f>
        <v/>
      </c>
      <c r="AC73" s="53" t="str">
        <f aca="false">IF(AE73="","",RANK(AE73,$AE$2:$AE$95)+COUNTIF($AE$2:AE73,AE73)-1)</f>
        <v/>
      </c>
      <c r="AD73" s="53" t="str">
        <f aca="false">IF(AND(J73&gt;0,E73&gt;=Settings!$B$4),ROUND(L73,10),"")</f>
        <v/>
      </c>
      <c r="AE73" s="53" t="str">
        <f aca="false">IF(AND(J73&gt;=Settings!$B$5,E73&gt;=Settings!$B$4),ROUND(Q73,10),"")</f>
        <v/>
      </c>
      <c r="AF73" s="62" t="n">
        <f aca="false">L73/Settings!$B$14</f>
        <v>0</v>
      </c>
    </row>
    <row r="74" customFormat="false" ht="15" hidden="false" customHeight="false" outlineLevel="0" collapsed="false">
      <c r="A74" s="53" t="s">
        <v>367</v>
      </c>
      <c r="B74" s="53" t="s">
        <v>455</v>
      </c>
      <c r="C74" s="53" t="s">
        <v>50</v>
      </c>
      <c r="D74" s="53" t="s">
        <v>97</v>
      </c>
      <c r="E74" s="55" t="n">
        <f aca="false">SUMIFS(Detail!$K$2:$K$703,Detail!$C$2:$C$703,$A74)</f>
        <v>0</v>
      </c>
      <c r="F74" s="55" t="n">
        <f aca="false">SUMIFS(Detail!$F$2:$F$703,Detail!$C$2:$C$703,$A74)</f>
        <v>0</v>
      </c>
      <c r="G74" s="56" t="n">
        <f aca="false">SUMIFS(Detail!$M$2:$M$703,Detail!$C$2:$C$703,$A74)</f>
        <v>0</v>
      </c>
      <c r="H74" s="56" t="n">
        <f aca="false">SUMIFS(Detail!$E$2:$E$703,Detail!$C$2:$C$703,$A74)</f>
        <v>0</v>
      </c>
      <c r="I74" s="56" t="n">
        <f aca="false">SUMIFS(Detail!$H$2:$H$703,Detail!$C$2:$C$703,$A74)</f>
        <v>139.95</v>
      </c>
      <c r="J74" s="55" t="n">
        <f aca="false">SUMIFS(Detail!$L$2:$L$703,Detail!$C$2:$C$703,$A74)</f>
        <v>0</v>
      </c>
      <c r="K74" s="56" t="n">
        <f aca="false">SUMIFS(Detail!$N$2:$N$703,Detail!$C$2:$C$703,$A74)</f>
        <v>0</v>
      </c>
      <c r="L74" s="31" t="n">
        <f aca="false">IF(E74&gt;0,J74/E74,0)</f>
        <v>0</v>
      </c>
      <c r="M74" s="31" t="n">
        <f aca="false">IF(G74&gt;0,K74/G74,0)</f>
        <v>0</v>
      </c>
      <c r="N74" s="57" t="n">
        <f aca="false">H74/Settings!$B$17</f>
        <v>0</v>
      </c>
      <c r="O74" s="58" t="n">
        <f aca="false">H74/Settings!$B$15</f>
        <v>0</v>
      </c>
      <c r="P74" s="59" t="n">
        <f aca="false">E74*Settings!$B$3</f>
        <v>0</v>
      </c>
      <c r="Q74" s="59" t="n">
        <f aca="false">IF(E74&gt;0,(J74-P74)/SQRT(E74*Settings!$B$3*(1-Settings!$B$3)),0)</f>
        <v>0</v>
      </c>
      <c r="R74" s="31" t="n">
        <f aca="false">IF(E74&gt;=Settings!$B$4,(J74+Settings!$B$7*Settings!$B$3)/(E74+Settings!$B$7),Settings!$B$3)</f>
        <v>0.0664935064935065</v>
      </c>
      <c r="S74" s="60" t="n">
        <f aca="false">PERCENTRANK($H$2:$H$95,H74,6)</f>
        <v>0</v>
      </c>
      <c r="T74" s="60" t="n">
        <f aca="false">PERCENTRANK($R$2:$R$95,R74,6)</f>
        <v>0.129032</v>
      </c>
      <c r="U74" s="60" t="n">
        <f aca="false">PERCENTRANK($F$2:$F$95,F74,6)</f>
        <v>0</v>
      </c>
      <c r="V74" s="61" t="n">
        <f aca="false">IF(F74&gt;0,ROUND((Settings!$B$8*U74+Settings!$B$9*S74+Settings!$B$10*T74)/SUM(Settings!$B$8:$B$10),10),0)</f>
        <v>0</v>
      </c>
      <c r="W74" s="53" t="str">
        <f aca="false">IF(V74&gt;0,RANK(V74,$V$2:$V$95)+COUNTIF($V$2:V74,V74)-1,"")</f>
        <v/>
      </c>
      <c r="X74" s="53" t="str">
        <f aca="false">IF(W74="","",IF(W74&lt;=Settings!$B$11,"1 - Fix first",IF(W74&lt;=Settings!$B$12,"2 - Review","3 - Monitor")))</f>
        <v/>
      </c>
      <c r="Y74" s="53" t="str">
        <f aca="false">IF(AND(E74&gt;=Settings!$B$4,J74&gt;=Settings!$B$5,Q74&gt;=Settings!$B$6),"HIGH RATE","")</f>
        <v/>
      </c>
      <c r="Z74" s="53" t="str">
        <f aca="false">IF(F74&gt;0,RANK(F74,$F$2:$F$95)+COUNTIF($F$2:F74,F74)-1,"")</f>
        <v/>
      </c>
      <c r="AA74" s="53" t="str">
        <f aca="false">IF(H74&gt;0,RANK(H74,$H$2:$H$95)+COUNTIF($H$2:H74,H74)-1,"")</f>
        <v/>
      </c>
      <c r="AB74" s="53" t="str">
        <f aca="false">IF(AD74="","",RANK(AD74,$AD$2:$AD$95)+COUNTIF($AD$2:AD74,AD74)-1)</f>
        <v/>
      </c>
      <c r="AC74" s="53" t="str">
        <f aca="false">IF(AE74="","",RANK(AE74,$AE$2:$AE$95)+COUNTIF($AE$2:AE74,AE74)-1)</f>
        <v/>
      </c>
      <c r="AD74" s="53" t="str">
        <f aca="false">IF(AND(J74&gt;0,E74&gt;=Settings!$B$4),ROUND(L74,10),"")</f>
        <v/>
      </c>
      <c r="AE74" s="53" t="str">
        <f aca="false">IF(AND(J74&gt;=Settings!$B$5,E74&gt;=Settings!$B$4),ROUND(Q74,10),"")</f>
        <v/>
      </c>
      <c r="AF74" s="62" t="n">
        <f aca="false">L74/Settings!$B$14</f>
        <v>0</v>
      </c>
    </row>
    <row r="75" customFormat="false" ht="15" hidden="false" customHeight="false" outlineLevel="0" collapsed="false">
      <c r="A75" s="53" t="s">
        <v>358</v>
      </c>
      <c r="B75" s="53" t="s">
        <v>448</v>
      </c>
      <c r="C75" s="53" t="s">
        <v>54</v>
      </c>
      <c r="D75" s="53" t="s">
        <v>97</v>
      </c>
      <c r="E75" s="55" t="n">
        <f aca="false">SUMIFS(Detail!$K$2:$K$703,Detail!$C$2:$C$703,$A75)</f>
        <v>0</v>
      </c>
      <c r="F75" s="55" t="n">
        <f aca="false">SUMIFS(Detail!$F$2:$F$703,Detail!$C$2:$C$703,$A75)</f>
        <v>0</v>
      </c>
      <c r="G75" s="56" t="n">
        <f aca="false">SUMIFS(Detail!$M$2:$M$703,Detail!$C$2:$C$703,$A75)</f>
        <v>0</v>
      </c>
      <c r="H75" s="56" t="n">
        <f aca="false">SUMIFS(Detail!$E$2:$E$703,Detail!$C$2:$C$703,$A75)</f>
        <v>0</v>
      </c>
      <c r="I75" s="56" t="n">
        <f aca="false">SUMIFS(Detail!$H$2:$H$703,Detail!$C$2:$C$703,$A75)</f>
        <v>639.92</v>
      </c>
      <c r="J75" s="55" t="n">
        <f aca="false">SUMIFS(Detail!$L$2:$L$703,Detail!$C$2:$C$703,$A75)</f>
        <v>0</v>
      </c>
      <c r="K75" s="56" t="n">
        <f aca="false">SUMIFS(Detail!$N$2:$N$703,Detail!$C$2:$C$703,$A75)</f>
        <v>0</v>
      </c>
      <c r="L75" s="31" t="n">
        <f aca="false">IF(E75&gt;0,J75/E75,0)</f>
        <v>0</v>
      </c>
      <c r="M75" s="31" t="n">
        <f aca="false">IF(G75&gt;0,K75/G75,0)</f>
        <v>0</v>
      </c>
      <c r="N75" s="57" t="n">
        <f aca="false">H75/Settings!$B$17</f>
        <v>0</v>
      </c>
      <c r="O75" s="58" t="n">
        <f aca="false">H75/Settings!$B$15</f>
        <v>0</v>
      </c>
      <c r="P75" s="59" t="n">
        <f aca="false">E75*Settings!$B$3</f>
        <v>0</v>
      </c>
      <c r="Q75" s="59" t="n">
        <f aca="false">IF(E75&gt;0,(J75-P75)/SQRT(E75*Settings!$B$3*(1-Settings!$B$3)),0)</f>
        <v>0</v>
      </c>
      <c r="R75" s="31" t="n">
        <f aca="false">IF(E75&gt;=Settings!$B$4,(J75+Settings!$B$7*Settings!$B$3)/(E75+Settings!$B$7),Settings!$B$3)</f>
        <v>0.0664935064935065</v>
      </c>
      <c r="S75" s="60" t="n">
        <f aca="false">PERCENTRANK($H$2:$H$95,H75,6)</f>
        <v>0</v>
      </c>
      <c r="T75" s="60" t="n">
        <f aca="false">PERCENTRANK($R$2:$R$95,R75,6)</f>
        <v>0.129032</v>
      </c>
      <c r="U75" s="60" t="n">
        <f aca="false">PERCENTRANK($F$2:$F$95,F75,6)</f>
        <v>0</v>
      </c>
      <c r="V75" s="61" t="n">
        <f aca="false">IF(F75&gt;0,ROUND((Settings!$B$8*U75+Settings!$B$9*S75+Settings!$B$10*T75)/SUM(Settings!$B$8:$B$10),10),0)</f>
        <v>0</v>
      </c>
      <c r="W75" s="53" t="str">
        <f aca="false">IF(V75&gt;0,RANK(V75,$V$2:$V$95)+COUNTIF($V$2:V75,V75)-1,"")</f>
        <v/>
      </c>
      <c r="X75" s="53" t="str">
        <f aca="false">IF(W75="","",IF(W75&lt;=Settings!$B$11,"1 - Fix first",IF(W75&lt;=Settings!$B$12,"2 - Review","3 - Monitor")))</f>
        <v/>
      </c>
      <c r="Y75" s="53" t="str">
        <f aca="false">IF(AND(E75&gt;=Settings!$B$4,J75&gt;=Settings!$B$5,Q75&gt;=Settings!$B$6),"HIGH RATE","")</f>
        <v/>
      </c>
      <c r="Z75" s="53" t="str">
        <f aca="false">IF(F75&gt;0,RANK(F75,$F$2:$F$95)+COUNTIF($F$2:F75,F75)-1,"")</f>
        <v/>
      </c>
      <c r="AA75" s="53" t="str">
        <f aca="false">IF(H75&gt;0,RANK(H75,$H$2:$H$95)+COUNTIF($H$2:H75,H75)-1,"")</f>
        <v/>
      </c>
      <c r="AB75" s="53" t="str">
        <f aca="false">IF(AD75="","",RANK(AD75,$AD$2:$AD$95)+COUNTIF($AD$2:AD75,AD75)-1)</f>
        <v/>
      </c>
      <c r="AC75" s="53" t="str">
        <f aca="false">IF(AE75="","",RANK(AE75,$AE$2:$AE$95)+COUNTIF($AE$2:AE75,AE75)-1)</f>
        <v/>
      </c>
      <c r="AD75" s="53" t="str">
        <f aca="false">IF(AND(J75&gt;0,E75&gt;=Settings!$B$4),ROUND(L75,10),"")</f>
        <v/>
      </c>
      <c r="AE75" s="53" t="str">
        <f aca="false">IF(AND(J75&gt;=Settings!$B$5,E75&gt;=Settings!$B$4),ROUND(Q75,10),"")</f>
        <v/>
      </c>
      <c r="AF75" s="62" t="n">
        <f aca="false">L75/Settings!$B$14</f>
        <v>0</v>
      </c>
    </row>
    <row r="76" customFormat="false" ht="15" hidden="false" customHeight="false" outlineLevel="0" collapsed="false">
      <c r="A76" s="53" t="s">
        <v>343</v>
      </c>
      <c r="B76" s="53" t="s">
        <v>448</v>
      </c>
      <c r="C76" s="53" t="s">
        <v>54</v>
      </c>
      <c r="D76" s="53" t="s">
        <v>97</v>
      </c>
      <c r="E76" s="55" t="n">
        <f aca="false">SUMIFS(Detail!$K$2:$K$703,Detail!$C$2:$C$703,$A76)</f>
        <v>0</v>
      </c>
      <c r="F76" s="55" t="n">
        <f aca="false">SUMIFS(Detail!$F$2:$F$703,Detail!$C$2:$C$703,$A76)</f>
        <v>0</v>
      </c>
      <c r="G76" s="56" t="n">
        <f aca="false">SUMIFS(Detail!$M$2:$M$703,Detail!$C$2:$C$703,$A76)</f>
        <v>0</v>
      </c>
      <c r="H76" s="56" t="n">
        <f aca="false">SUMIFS(Detail!$E$2:$E$703,Detail!$C$2:$C$703,$A76)</f>
        <v>0</v>
      </c>
      <c r="I76" s="56" t="n">
        <f aca="false">SUMIFS(Detail!$H$2:$H$703,Detail!$C$2:$C$703,$A76)</f>
        <v>989.45</v>
      </c>
      <c r="J76" s="55" t="n">
        <f aca="false">SUMIFS(Detail!$L$2:$L$703,Detail!$C$2:$C$703,$A76)</f>
        <v>0</v>
      </c>
      <c r="K76" s="56" t="n">
        <f aca="false">SUMIFS(Detail!$N$2:$N$703,Detail!$C$2:$C$703,$A76)</f>
        <v>0</v>
      </c>
      <c r="L76" s="31" t="n">
        <f aca="false">IF(E76&gt;0,J76/E76,0)</f>
        <v>0</v>
      </c>
      <c r="M76" s="31" t="n">
        <f aca="false">IF(G76&gt;0,K76/G76,0)</f>
        <v>0</v>
      </c>
      <c r="N76" s="57" t="n">
        <f aca="false">H76/Settings!$B$17</f>
        <v>0</v>
      </c>
      <c r="O76" s="58" t="n">
        <f aca="false">H76/Settings!$B$15</f>
        <v>0</v>
      </c>
      <c r="P76" s="59" t="n">
        <f aca="false">E76*Settings!$B$3</f>
        <v>0</v>
      </c>
      <c r="Q76" s="59" t="n">
        <f aca="false">IF(E76&gt;0,(J76-P76)/SQRT(E76*Settings!$B$3*(1-Settings!$B$3)),0)</f>
        <v>0</v>
      </c>
      <c r="R76" s="31" t="n">
        <f aca="false">IF(E76&gt;=Settings!$B$4,(J76+Settings!$B$7*Settings!$B$3)/(E76+Settings!$B$7),Settings!$B$3)</f>
        <v>0.0664935064935065</v>
      </c>
      <c r="S76" s="60" t="n">
        <f aca="false">PERCENTRANK($H$2:$H$95,H76,6)</f>
        <v>0</v>
      </c>
      <c r="T76" s="60" t="n">
        <f aca="false">PERCENTRANK($R$2:$R$95,R76,6)</f>
        <v>0.129032</v>
      </c>
      <c r="U76" s="60" t="n">
        <f aca="false">PERCENTRANK($F$2:$F$95,F76,6)</f>
        <v>0</v>
      </c>
      <c r="V76" s="61" t="n">
        <f aca="false">IF(F76&gt;0,ROUND((Settings!$B$8*U76+Settings!$B$9*S76+Settings!$B$10*T76)/SUM(Settings!$B$8:$B$10),10),0)</f>
        <v>0</v>
      </c>
      <c r="W76" s="53" t="str">
        <f aca="false">IF(V76&gt;0,RANK(V76,$V$2:$V$95)+COUNTIF($V$2:V76,V76)-1,"")</f>
        <v/>
      </c>
      <c r="X76" s="53" t="str">
        <f aca="false">IF(W76="","",IF(W76&lt;=Settings!$B$11,"1 - Fix first",IF(W76&lt;=Settings!$B$12,"2 - Review","3 - Monitor")))</f>
        <v/>
      </c>
      <c r="Y76" s="53" t="str">
        <f aca="false">IF(AND(E76&gt;=Settings!$B$4,J76&gt;=Settings!$B$5,Q76&gt;=Settings!$B$6),"HIGH RATE","")</f>
        <v/>
      </c>
      <c r="Z76" s="53" t="str">
        <f aca="false">IF(F76&gt;0,RANK(F76,$F$2:$F$95)+COUNTIF($F$2:F76,F76)-1,"")</f>
        <v/>
      </c>
      <c r="AA76" s="53" t="str">
        <f aca="false">IF(H76&gt;0,RANK(H76,$H$2:$H$95)+COUNTIF($H$2:H76,H76)-1,"")</f>
        <v/>
      </c>
      <c r="AB76" s="53" t="str">
        <f aca="false">IF(AD76="","",RANK(AD76,$AD$2:$AD$95)+COUNTIF($AD$2:AD76,AD76)-1)</f>
        <v/>
      </c>
      <c r="AC76" s="53" t="str">
        <f aca="false">IF(AE76="","",RANK(AE76,$AE$2:$AE$95)+COUNTIF($AE$2:AE76,AE76)-1)</f>
        <v/>
      </c>
      <c r="AD76" s="53" t="str">
        <f aca="false">IF(AND(J76&gt;0,E76&gt;=Settings!$B$4),ROUND(L76,10),"")</f>
        <v/>
      </c>
      <c r="AE76" s="53" t="str">
        <f aca="false">IF(AND(J76&gt;=Settings!$B$5,E76&gt;=Settings!$B$4),ROUND(Q76,10),"")</f>
        <v/>
      </c>
      <c r="AF76" s="62" t="n">
        <f aca="false">L76/Settings!$B$14</f>
        <v>0</v>
      </c>
    </row>
    <row r="77" customFormat="false" ht="15" hidden="false" customHeight="false" outlineLevel="0" collapsed="false">
      <c r="A77" s="53" t="s">
        <v>320</v>
      </c>
      <c r="B77" s="53" t="s">
        <v>448</v>
      </c>
      <c r="C77" s="53" t="s">
        <v>54</v>
      </c>
      <c r="D77" s="53" t="s">
        <v>97</v>
      </c>
      <c r="E77" s="55" t="n">
        <f aca="false">SUMIFS(Detail!$K$2:$K$703,Detail!$C$2:$C$703,$A77)</f>
        <v>0</v>
      </c>
      <c r="F77" s="55" t="n">
        <f aca="false">SUMIFS(Detail!$F$2:$F$703,Detail!$C$2:$C$703,$A77)</f>
        <v>0</v>
      </c>
      <c r="G77" s="56" t="n">
        <f aca="false">SUMIFS(Detail!$M$2:$M$703,Detail!$C$2:$C$703,$A77)</f>
        <v>0</v>
      </c>
      <c r="H77" s="56" t="n">
        <f aca="false">SUMIFS(Detail!$E$2:$E$703,Detail!$C$2:$C$703,$A77)</f>
        <v>0</v>
      </c>
      <c r="I77" s="56" t="n">
        <f aca="false">SUMIFS(Detail!$H$2:$H$703,Detail!$C$2:$C$703,$A77)</f>
        <v>399.8</v>
      </c>
      <c r="J77" s="55" t="n">
        <f aca="false">SUMIFS(Detail!$L$2:$L$703,Detail!$C$2:$C$703,$A77)</f>
        <v>0</v>
      </c>
      <c r="K77" s="56" t="n">
        <f aca="false">SUMIFS(Detail!$N$2:$N$703,Detail!$C$2:$C$703,$A77)</f>
        <v>0</v>
      </c>
      <c r="L77" s="31" t="n">
        <f aca="false">IF(E77&gt;0,J77/E77,0)</f>
        <v>0</v>
      </c>
      <c r="M77" s="31" t="n">
        <f aca="false">IF(G77&gt;0,K77/G77,0)</f>
        <v>0</v>
      </c>
      <c r="N77" s="57" t="n">
        <f aca="false">H77/Settings!$B$17</f>
        <v>0</v>
      </c>
      <c r="O77" s="58" t="n">
        <f aca="false">H77/Settings!$B$15</f>
        <v>0</v>
      </c>
      <c r="P77" s="59" t="n">
        <f aca="false">E77*Settings!$B$3</f>
        <v>0</v>
      </c>
      <c r="Q77" s="59" t="n">
        <f aca="false">IF(E77&gt;0,(J77-P77)/SQRT(E77*Settings!$B$3*(1-Settings!$B$3)),0)</f>
        <v>0</v>
      </c>
      <c r="R77" s="31" t="n">
        <f aca="false">IF(E77&gt;=Settings!$B$4,(J77+Settings!$B$7*Settings!$B$3)/(E77+Settings!$B$7),Settings!$B$3)</f>
        <v>0.0664935064935065</v>
      </c>
      <c r="S77" s="60" t="n">
        <f aca="false">PERCENTRANK($H$2:$H$95,H77,6)</f>
        <v>0</v>
      </c>
      <c r="T77" s="60" t="n">
        <f aca="false">PERCENTRANK($R$2:$R$95,R77,6)</f>
        <v>0.129032</v>
      </c>
      <c r="U77" s="60" t="n">
        <f aca="false">PERCENTRANK($F$2:$F$95,F77,6)</f>
        <v>0</v>
      </c>
      <c r="V77" s="61" t="n">
        <f aca="false">IF(F77&gt;0,ROUND((Settings!$B$8*U77+Settings!$B$9*S77+Settings!$B$10*T77)/SUM(Settings!$B$8:$B$10),10),0)</f>
        <v>0</v>
      </c>
      <c r="W77" s="53" t="str">
        <f aca="false">IF(V77&gt;0,RANK(V77,$V$2:$V$95)+COUNTIF($V$2:V77,V77)-1,"")</f>
        <v/>
      </c>
      <c r="X77" s="53" t="str">
        <f aca="false">IF(W77="","",IF(W77&lt;=Settings!$B$11,"1 - Fix first",IF(W77&lt;=Settings!$B$12,"2 - Review","3 - Monitor")))</f>
        <v/>
      </c>
      <c r="Y77" s="53" t="str">
        <f aca="false">IF(AND(E77&gt;=Settings!$B$4,J77&gt;=Settings!$B$5,Q77&gt;=Settings!$B$6),"HIGH RATE","")</f>
        <v/>
      </c>
      <c r="Z77" s="53" t="str">
        <f aca="false">IF(F77&gt;0,RANK(F77,$F$2:$F$95)+COUNTIF($F$2:F77,F77)-1,"")</f>
        <v/>
      </c>
      <c r="AA77" s="53" t="str">
        <f aca="false">IF(H77&gt;0,RANK(H77,$H$2:$H$95)+COUNTIF($H$2:H77,H77)-1,"")</f>
        <v/>
      </c>
      <c r="AB77" s="53" t="str">
        <f aca="false">IF(AD77="","",RANK(AD77,$AD$2:$AD$95)+COUNTIF($AD$2:AD77,AD77)-1)</f>
        <v/>
      </c>
      <c r="AC77" s="53" t="str">
        <f aca="false">IF(AE77="","",RANK(AE77,$AE$2:$AE$95)+COUNTIF($AE$2:AE77,AE77)-1)</f>
        <v/>
      </c>
      <c r="AD77" s="53" t="str">
        <f aca="false">IF(AND(J77&gt;0,E77&gt;=Settings!$B$4),ROUND(L77,10),"")</f>
        <v/>
      </c>
      <c r="AE77" s="53" t="str">
        <f aca="false">IF(AND(J77&gt;=Settings!$B$5,E77&gt;=Settings!$B$4),ROUND(Q77,10),"")</f>
        <v/>
      </c>
      <c r="AF77" s="62" t="n">
        <f aca="false">L77/Settings!$B$14</f>
        <v>0</v>
      </c>
    </row>
    <row r="78" customFormat="false" ht="15" hidden="false" customHeight="false" outlineLevel="0" collapsed="false">
      <c r="A78" s="53" t="s">
        <v>362</v>
      </c>
      <c r="B78" s="53" t="s">
        <v>448</v>
      </c>
      <c r="C78" s="53" t="s">
        <v>54</v>
      </c>
      <c r="D78" s="53" t="s">
        <v>97</v>
      </c>
      <c r="E78" s="55" t="n">
        <f aca="false">SUMIFS(Detail!$K$2:$K$703,Detail!$C$2:$C$703,$A78)</f>
        <v>0</v>
      </c>
      <c r="F78" s="55" t="n">
        <f aca="false">SUMIFS(Detail!$F$2:$F$703,Detail!$C$2:$C$703,$A78)</f>
        <v>0</v>
      </c>
      <c r="G78" s="56" t="n">
        <f aca="false">SUMIFS(Detail!$M$2:$M$703,Detail!$C$2:$C$703,$A78)</f>
        <v>0</v>
      </c>
      <c r="H78" s="56" t="n">
        <f aca="false">SUMIFS(Detail!$E$2:$E$703,Detail!$C$2:$C$703,$A78)</f>
        <v>0</v>
      </c>
      <c r="I78" s="56" t="n">
        <f aca="false">SUMIFS(Detail!$H$2:$H$703,Detail!$C$2:$C$703,$A78)</f>
        <v>254.85</v>
      </c>
      <c r="J78" s="55" t="n">
        <f aca="false">SUMIFS(Detail!$L$2:$L$703,Detail!$C$2:$C$703,$A78)</f>
        <v>0</v>
      </c>
      <c r="K78" s="56" t="n">
        <f aca="false">SUMIFS(Detail!$N$2:$N$703,Detail!$C$2:$C$703,$A78)</f>
        <v>0</v>
      </c>
      <c r="L78" s="31" t="n">
        <f aca="false">IF(E78&gt;0,J78/E78,0)</f>
        <v>0</v>
      </c>
      <c r="M78" s="31" t="n">
        <f aca="false">IF(G78&gt;0,K78/G78,0)</f>
        <v>0</v>
      </c>
      <c r="N78" s="57" t="n">
        <f aca="false">H78/Settings!$B$17</f>
        <v>0</v>
      </c>
      <c r="O78" s="58" t="n">
        <f aca="false">H78/Settings!$B$15</f>
        <v>0</v>
      </c>
      <c r="P78" s="59" t="n">
        <f aca="false">E78*Settings!$B$3</f>
        <v>0</v>
      </c>
      <c r="Q78" s="59" t="n">
        <f aca="false">IF(E78&gt;0,(J78-P78)/SQRT(E78*Settings!$B$3*(1-Settings!$B$3)),0)</f>
        <v>0</v>
      </c>
      <c r="R78" s="31" t="n">
        <f aca="false">IF(E78&gt;=Settings!$B$4,(J78+Settings!$B$7*Settings!$B$3)/(E78+Settings!$B$7),Settings!$B$3)</f>
        <v>0.0664935064935065</v>
      </c>
      <c r="S78" s="60" t="n">
        <f aca="false">PERCENTRANK($H$2:$H$95,H78,6)</f>
        <v>0</v>
      </c>
      <c r="T78" s="60" t="n">
        <f aca="false">PERCENTRANK($R$2:$R$95,R78,6)</f>
        <v>0.129032</v>
      </c>
      <c r="U78" s="60" t="n">
        <f aca="false">PERCENTRANK($F$2:$F$95,F78,6)</f>
        <v>0</v>
      </c>
      <c r="V78" s="61" t="n">
        <f aca="false">IF(F78&gt;0,ROUND((Settings!$B$8*U78+Settings!$B$9*S78+Settings!$B$10*T78)/SUM(Settings!$B$8:$B$10),10),0)</f>
        <v>0</v>
      </c>
      <c r="W78" s="53" t="str">
        <f aca="false">IF(V78&gt;0,RANK(V78,$V$2:$V$95)+COUNTIF($V$2:V78,V78)-1,"")</f>
        <v/>
      </c>
      <c r="X78" s="53" t="str">
        <f aca="false">IF(W78="","",IF(W78&lt;=Settings!$B$11,"1 - Fix first",IF(W78&lt;=Settings!$B$12,"2 - Review","3 - Monitor")))</f>
        <v/>
      </c>
      <c r="Y78" s="53" t="str">
        <f aca="false">IF(AND(E78&gt;=Settings!$B$4,J78&gt;=Settings!$B$5,Q78&gt;=Settings!$B$6),"HIGH RATE","")</f>
        <v/>
      </c>
      <c r="Z78" s="53" t="str">
        <f aca="false">IF(F78&gt;0,RANK(F78,$F$2:$F$95)+COUNTIF($F$2:F78,F78)-1,"")</f>
        <v/>
      </c>
      <c r="AA78" s="53" t="str">
        <f aca="false">IF(H78&gt;0,RANK(H78,$H$2:$H$95)+COUNTIF($H$2:H78,H78)-1,"")</f>
        <v/>
      </c>
      <c r="AB78" s="53" t="str">
        <f aca="false">IF(AD78="","",RANK(AD78,$AD$2:$AD$95)+COUNTIF($AD$2:AD78,AD78)-1)</f>
        <v/>
      </c>
      <c r="AC78" s="53" t="str">
        <f aca="false">IF(AE78="","",RANK(AE78,$AE$2:$AE$95)+COUNTIF($AE$2:AE78,AE78)-1)</f>
        <v/>
      </c>
      <c r="AD78" s="53" t="str">
        <f aca="false">IF(AND(J78&gt;0,E78&gt;=Settings!$B$4),ROUND(L78,10),"")</f>
        <v/>
      </c>
      <c r="AE78" s="53" t="str">
        <f aca="false">IF(AND(J78&gt;=Settings!$B$5,E78&gt;=Settings!$B$4),ROUND(Q78,10),"")</f>
        <v/>
      </c>
      <c r="AF78" s="62" t="n">
        <f aca="false">L78/Settings!$B$14</f>
        <v>0</v>
      </c>
    </row>
    <row r="79" customFormat="false" ht="15" hidden="false" customHeight="false" outlineLevel="0" collapsed="false">
      <c r="A79" s="53" t="s">
        <v>341</v>
      </c>
      <c r="B79" s="53" t="s">
        <v>448</v>
      </c>
      <c r="C79" s="53" t="s">
        <v>54</v>
      </c>
      <c r="D79" s="53" t="s">
        <v>97</v>
      </c>
      <c r="E79" s="55" t="n">
        <f aca="false">SUMIFS(Detail!$K$2:$K$703,Detail!$C$2:$C$703,$A79)</f>
        <v>0</v>
      </c>
      <c r="F79" s="55" t="n">
        <f aca="false">SUMIFS(Detail!$F$2:$F$703,Detail!$C$2:$C$703,$A79)</f>
        <v>0</v>
      </c>
      <c r="G79" s="56" t="n">
        <f aca="false">SUMIFS(Detail!$M$2:$M$703,Detail!$C$2:$C$703,$A79)</f>
        <v>0</v>
      </c>
      <c r="H79" s="56" t="n">
        <f aca="false">SUMIFS(Detail!$E$2:$E$703,Detail!$C$2:$C$703,$A79)</f>
        <v>0</v>
      </c>
      <c r="I79" s="56" t="n">
        <f aca="false">SUMIFS(Detail!$H$2:$H$703,Detail!$C$2:$C$703,$A79)</f>
        <v>209.9</v>
      </c>
      <c r="J79" s="55" t="n">
        <f aca="false">SUMIFS(Detail!$L$2:$L$703,Detail!$C$2:$C$703,$A79)</f>
        <v>0</v>
      </c>
      <c r="K79" s="56" t="n">
        <f aca="false">SUMIFS(Detail!$N$2:$N$703,Detail!$C$2:$C$703,$A79)</f>
        <v>0</v>
      </c>
      <c r="L79" s="31" t="n">
        <f aca="false">IF(E79&gt;0,J79/E79,0)</f>
        <v>0</v>
      </c>
      <c r="M79" s="31" t="n">
        <f aca="false">IF(G79&gt;0,K79/G79,0)</f>
        <v>0</v>
      </c>
      <c r="N79" s="57" t="n">
        <f aca="false">H79/Settings!$B$17</f>
        <v>0</v>
      </c>
      <c r="O79" s="58" t="n">
        <f aca="false">H79/Settings!$B$15</f>
        <v>0</v>
      </c>
      <c r="P79" s="59" t="n">
        <f aca="false">E79*Settings!$B$3</f>
        <v>0</v>
      </c>
      <c r="Q79" s="59" t="n">
        <f aca="false">IF(E79&gt;0,(J79-P79)/SQRT(E79*Settings!$B$3*(1-Settings!$B$3)),0)</f>
        <v>0</v>
      </c>
      <c r="R79" s="31" t="n">
        <f aca="false">IF(E79&gt;=Settings!$B$4,(J79+Settings!$B$7*Settings!$B$3)/(E79+Settings!$B$7),Settings!$B$3)</f>
        <v>0.0664935064935065</v>
      </c>
      <c r="S79" s="60" t="n">
        <f aca="false">PERCENTRANK($H$2:$H$95,H79,6)</f>
        <v>0</v>
      </c>
      <c r="T79" s="60" t="n">
        <f aca="false">PERCENTRANK($R$2:$R$95,R79,6)</f>
        <v>0.129032</v>
      </c>
      <c r="U79" s="60" t="n">
        <f aca="false">PERCENTRANK($F$2:$F$95,F79,6)</f>
        <v>0</v>
      </c>
      <c r="V79" s="61" t="n">
        <f aca="false">IF(F79&gt;0,ROUND((Settings!$B$8*U79+Settings!$B$9*S79+Settings!$B$10*T79)/SUM(Settings!$B$8:$B$10),10),0)</f>
        <v>0</v>
      </c>
      <c r="W79" s="53" t="str">
        <f aca="false">IF(V79&gt;0,RANK(V79,$V$2:$V$95)+COUNTIF($V$2:V79,V79)-1,"")</f>
        <v/>
      </c>
      <c r="X79" s="53" t="str">
        <f aca="false">IF(W79="","",IF(W79&lt;=Settings!$B$11,"1 - Fix first",IF(W79&lt;=Settings!$B$12,"2 - Review","3 - Monitor")))</f>
        <v/>
      </c>
      <c r="Y79" s="53" t="str">
        <f aca="false">IF(AND(E79&gt;=Settings!$B$4,J79&gt;=Settings!$B$5,Q79&gt;=Settings!$B$6),"HIGH RATE","")</f>
        <v/>
      </c>
      <c r="Z79" s="53" t="str">
        <f aca="false">IF(F79&gt;0,RANK(F79,$F$2:$F$95)+COUNTIF($F$2:F79,F79)-1,"")</f>
        <v/>
      </c>
      <c r="AA79" s="53" t="str">
        <f aca="false">IF(H79&gt;0,RANK(H79,$H$2:$H$95)+COUNTIF($H$2:H79,H79)-1,"")</f>
        <v/>
      </c>
      <c r="AB79" s="53" t="str">
        <f aca="false">IF(AD79="","",RANK(AD79,$AD$2:$AD$95)+COUNTIF($AD$2:AD79,AD79)-1)</f>
        <v/>
      </c>
      <c r="AC79" s="53" t="str">
        <f aca="false">IF(AE79="","",RANK(AE79,$AE$2:$AE$95)+COUNTIF($AE$2:AE79,AE79)-1)</f>
        <v/>
      </c>
      <c r="AD79" s="53" t="str">
        <f aca="false">IF(AND(J79&gt;0,E79&gt;=Settings!$B$4),ROUND(L79,10),"")</f>
        <v/>
      </c>
      <c r="AE79" s="53" t="str">
        <f aca="false">IF(AND(J79&gt;=Settings!$B$5,E79&gt;=Settings!$B$4),ROUND(Q79,10),"")</f>
        <v/>
      </c>
      <c r="AF79" s="62" t="n">
        <f aca="false">L79/Settings!$B$14</f>
        <v>0</v>
      </c>
    </row>
    <row r="80" customFormat="false" ht="15" hidden="false" customHeight="false" outlineLevel="0" collapsed="false">
      <c r="A80" s="53" t="s">
        <v>363</v>
      </c>
      <c r="B80" s="53" t="s">
        <v>448</v>
      </c>
      <c r="C80" s="53" t="s">
        <v>54</v>
      </c>
      <c r="D80" s="53" t="s">
        <v>97</v>
      </c>
      <c r="E80" s="55" t="n">
        <f aca="false">SUMIFS(Detail!$K$2:$K$703,Detail!$C$2:$C$703,$A80)</f>
        <v>0</v>
      </c>
      <c r="F80" s="55" t="n">
        <f aca="false">SUMIFS(Detail!$F$2:$F$703,Detail!$C$2:$C$703,$A80)</f>
        <v>0</v>
      </c>
      <c r="G80" s="56" t="n">
        <f aca="false">SUMIFS(Detail!$M$2:$M$703,Detail!$C$2:$C$703,$A80)</f>
        <v>0</v>
      </c>
      <c r="H80" s="56" t="n">
        <f aca="false">SUMIFS(Detail!$E$2:$E$703,Detail!$C$2:$C$703,$A80)</f>
        <v>0</v>
      </c>
      <c r="I80" s="56" t="n">
        <f aca="false">SUMIFS(Detail!$H$2:$H$703,Detail!$C$2:$C$703,$A80)</f>
        <v>229.9</v>
      </c>
      <c r="J80" s="55" t="n">
        <f aca="false">SUMIFS(Detail!$L$2:$L$703,Detail!$C$2:$C$703,$A80)</f>
        <v>0</v>
      </c>
      <c r="K80" s="56" t="n">
        <f aca="false">SUMIFS(Detail!$N$2:$N$703,Detail!$C$2:$C$703,$A80)</f>
        <v>0</v>
      </c>
      <c r="L80" s="31" t="n">
        <f aca="false">IF(E80&gt;0,J80/E80,0)</f>
        <v>0</v>
      </c>
      <c r="M80" s="31" t="n">
        <f aca="false">IF(G80&gt;0,K80/G80,0)</f>
        <v>0</v>
      </c>
      <c r="N80" s="57" t="n">
        <f aca="false">H80/Settings!$B$17</f>
        <v>0</v>
      </c>
      <c r="O80" s="58" t="n">
        <f aca="false">H80/Settings!$B$15</f>
        <v>0</v>
      </c>
      <c r="P80" s="59" t="n">
        <f aca="false">E80*Settings!$B$3</f>
        <v>0</v>
      </c>
      <c r="Q80" s="59" t="n">
        <f aca="false">IF(E80&gt;0,(J80-P80)/SQRT(E80*Settings!$B$3*(1-Settings!$B$3)),0)</f>
        <v>0</v>
      </c>
      <c r="R80" s="31" t="n">
        <f aca="false">IF(E80&gt;=Settings!$B$4,(J80+Settings!$B$7*Settings!$B$3)/(E80+Settings!$B$7),Settings!$B$3)</f>
        <v>0.0664935064935065</v>
      </c>
      <c r="S80" s="60" t="n">
        <f aca="false">PERCENTRANK($H$2:$H$95,H80,6)</f>
        <v>0</v>
      </c>
      <c r="T80" s="60" t="n">
        <f aca="false">PERCENTRANK($R$2:$R$95,R80,6)</f>
        <v>0.129032</v>
      </c>
      <c r="U80" s="60" t="n">
        <f aca="false">PERCENTRANK($F$2:$F$95,F80,6)</f>
        <v>0</v>
      </c>
      <c r="V80" s="61" t="n">
        <f aca="false">IF(F80&gt;0,ROUND((Settings!$B$8*U80+Settings!$B$9*S80+Settings!$B$10*T80)/SUM(Settings!$B$8:$B$10),10),0)</f>
        <v>0</v>
      </c>
      <c r="W80" s="53" t="str">
        <f aca="false">IF(V80&gt;0,RANK(V80,$V$2:$V$95)+COUNTIF($V$2:V80,V80)-1,"")</f>
        <v/>
      </c>
      <c r="X80" s="53" t="str">
        <f aca="false">IF(W80="","",IF(W80&lt;=Settings!$B$11,"1 - Fix first",IF(W80&lt;=Settings!$B$12,"2 - Review","3 - Monitor")))</f>
        <v/>
      </c>
      <c r="Y80" s="53" t="str">
        <f aca="false">IF(AND(E80&gt;=Settings!$B$4,J80&gt;=Settings!$B$5,Q80&gt;=Settings!$B$6),"HIGH RATE","")</f>
        <v/>
      </c>
      <c r="Z80" s="53" t="str">
        <f aca="false">IF(F80&gt;0,RANK(F80,$F$2:$F$95)+COUNTIF($F$2:F80,F80)-1,"")</f>
        <v/>
      </c>
      <c r="AA80" s="53" t="str">
        <f aca="false">IF(H80&gt;0,RANK(H80,$H$2:$H$95)+COUNTIF($H$2:H80,H80)-1,"")</f>
        <v/>
      </c>
      <c r="AB80" s="53" t="str">
        <f aca="false">IF(AD80="","",RANK(AD80,$AD$2:$AD$95)+COUNTIF($AD$2:AD80,AD80)-1)</f>
        <v/>
      </c>
      <c r="AC80" s="53" t="str">
        <f aca="false">IF(AE80="","",RANK(AE80,$AE$2:$AE$95)+COUNTIF($AE$2:AE80,AE80)-1)</f>
        <v/>
      </c>
      <c r="AD80" s="53" t="str">
        <f aca="false">IF(AND(J80&gt;0,E80&gt;=Settings!$B$4),ROUND(L80,10),"")</f>
        <v/>
      </c>
      <c r="AE80" s="53" t="str">
        <f aca="false">IF(AND(J80&gt;=Settings!$B$5,E80&gt;=Settings!$B$4),ROUND(Q80,10),"")</f>
        <v/>
      </c>
      <c r="AF80" s="62" t="n">
        <f aca="false">L80/Settings!$B$14</f>
        <v>0</v>
      </c>
    </row>
    <row r="81" customFormat="false" ht="15" hidden="false" customHeight="false" outlineLevel="0" collapsed="false">
      <c r="A81" s="53" t="s">
        <v>326</v>
      </c>
      <c r="B81" s="53" t="s">
        <v>448</v>
      </c>
      <c r="C81" s="53" t="s">
        <v>54</v>
      </c>
      <c r="D81" s="53" t="s">
        <v>97</v>
      </c>
      <c r="E81" s="55" t="n">
        <f aca="false">SUMIFS(Detail!$K$2:$K$703,Detail!$C$2:$C$703,$A81)</f>
        <v>0</v>
      </c>
      <c r="F81" s="55" t="n">
        <f aca="false">SUMIFS(Detail!$F$2:$F$703,Detail!$C$2:$C$703,$A81)</f>
        <v>0</v>
      </c>
      <c r="G81" s="56" t="n">
        <f aca="false">SUMIFS(Detail!$M$2:$M$703,Detail!$C$2:$C$703,$A81)</f>
        <v>0</v>
      </c>
      <c r="H81" s="56" t="n">
        <f aca="false">SUMIFS(Detail!$E$2:$E$703,Detail!$C$2:$C$703,$A81)</f>
        <v>0</v>
      </c>
      <c r="I81" s="56" t="n">
        <f aca="false">SUMIFS(Detail!$H$2:$H$703,Detail!$C$2:$C$703,$A81)</f>
        <v>459.8</v>
      </c>
      <c r="J81" s="55" t="n">
        <f aca="false">SUMIFS(Detail!$L$2:$L$703,Detail!$C$2:$C$703,$A81)</f>
        <v>0</v>
      </c>
      <c r="K81" s="56" t="n">
        <f aca="false">SUMIFS(Detail!$N$2:$N$703,Detail!$C$2:$C$703,$A81)</f>
        <v>0</v>
      </c>
      <c r="L81" s="31" t="n">
        <f aca="false">IF(E81&gt;0,J81/E81,0)</f>
        <v>0</v>
      </c>
      <c r="M81" s="31" t="n">
        <f aca="false">IF(G81&gt;0,K81/G81,0)</f>
        <v>0</v>
      </c>
      <c r="N81" s="57" t="n">
        <f aca="false">H81/Settings!$B$17</f>
        <v>0</v>
      </c>
      <c r="O81" s="58" t="n">
        <f aca="false">H81/Settings!$B$15</f>
        <v>0</v>
      </c>
      <c r="P81" s="59" t="n">
        <f aca="false">E81*Settings!$B$3</f>
        <v>0</v>
      </c>
      <c r="Q81" s="59" t="n">
        <f aca="false">IF(E81&gt;0,(J81-P81)/SQRT(E81*Settings!$B$3*(1-Settings!$B$3)),0)</f>
        <v>0</v>
      </c>
      <c r="R81" s="31" t="n">
        <f aca="false">IF(E81&gt;=Settings!$B$4,(J81+Settings!$B$7*Settings!$B$3)/(E81+Settings!$B$7),Settings!$B$3)</f>
        <v>0.0664935064935065</v>
      </c>
      <c r="S81" s="60" t="n">
        <f aca="false">PERCENTRANK($H$2:$H$95,H81,6)</f>
        <v>0</v>
      </c>
      <c r="T81" s="60" t="n">
        <f aca="false">PERCENTRANK($R$2:$R$95,R81,6)</f>
        <v>0.129032</v>
      </c>
      <c r="U81" s="60" t="n">
        <f aca="false">PERCENTRANK($F$2:$F$95,F81,6)</f>
        <v>0</v>
      </c>
      <c r="V81" s="61" t="n">
        <f aca="false">IF(F81&gt;0,ROUND((Settings!$B$8*U81+Settings!$B$9*S81+Settings!$B$10*T81)/SUM(Settings!$B$8:$B$10),10),0)</f>
        <v>0</v>
      </c>
      <c r="W81" s="53" t="str">
        <f aca="false">IF(V81&gt;0,RANK(V81,$V$2:$V$95)+COUNTIF($V$2:V81,V81)-1,"")</f>
        <v/>
      </c>
      <c r="X81" s="53" t="str">
        <f aca="false">IF(W81="","",IF(W81&lt;=Settings!$B$11,"1 - Fix first",IF(W81&lt;=Settings!$B$12,"2 - Review","3 - Monitor")))</f>
        <v/>
      </c>
      <c r="Y81" s="53" t="str">
        <f aca="false">IF(AND(E81&gt;=Settings!$B$4,J81&gt;=Settings!$B$5,Q81&gt;=Settings!$B$6),"HIGH RATE","")</f>
        <v/>
      </c>
      <c r="Z81" s="53" t="str">
        <f aca="false">IF(F81&gt;0,RANK(F81,$F$2:$F$95)+COUNTIF($F$2:F81,F81)-1,"")</f>
        <v/>
      </c>
      <c r="AA81" s="53" t="str">
        <f aca="false">IF(H81&gt;0,RANK(H81,$H$2:$H$95)+COUNTIF($H$2:H81,H81)-1,"")</f>
        <v/>
      </c>
      <c r="AB81" s="53" t="str">
        <f aca="false">IF(AD81="","",RANK(AD81,$AD$2:$AD$95)+COUNTIF($AD$2:AD81,AD81)-1)</f>
        <v/>
      </c>
      <c r="AC81" s="53" t="str">
        <f aca="false">IF(AE81="","",RANK(AE81,$AE$2:$AE$95)+COUNTIF($AE$2:AE81,AE81)-1)</f>
        <v/>
      </c>
      <c r="AD81" s="53" t="str">
        <f aca="false">IF(AND(J81&gt;0,E81&gt;=Settings!$B$4),ROUND(L81,10),"")</f>
        <v/>
      </c>
      <c r="AE81" s="53" t="str">
        <f aca="false">IF(AND(J81&gt;=Settings!$B$5,E81&gt;=Settings!$B$4),ROUND(Q81,10),"")</f>
        <v/>
      </c>
      <c r="AF81" s="62" t="n">
        <f aca="false">L81/Settings!$B$14</f>
        <v>0</v>
      </c>
    </row>
    <row r="82" customFormat="false" ht="15" hidden="false" customHeight="false" outlineLevel="0" collapsed="false">
      <c r="A82" s="53" t="s">
        <v>334</v>
      </c>
      <c r="B82" s="53" t="s">
        <v>448</v>
      </c>
      <c r="C82" s="53" t="s">
        <v>54</v>
      </c>
      <c r="D82" s="53" t="s">
        <v>97</v>
      </c>
      <c r="E82" s="55" t="n">
        <f aca="false">SUMIFS(Detail!$K$2:$K$703,Detail!$C$2:$C$703,$A82)</f>
        <v>0</v>
      </c>
      <c r="F82" s="55" t="n">
        <f aca="false">SUMIFS(Detail!$F$2:$F$703,Detail!$C$2:$C$703,$A82)</f>
        <v>0</v>
      </c>
      <c r="G82" s="56" t="n">
        <f aca="false">SUMIFS(Detail!$M$2:$M$703,Detail!$C$2:$C$703,$A82)</f>
        <v>0</v>
      </c>
      <c r="H82" s="56" t="n">
        <f aca="false">SUMIFS(Detail!$E$2:$E$703,Detail!$C$2:$C$703,$A82)</f>
        <v>0</v>
      </c>
      <c r="I82" s="56" t="n">
        <f aca="false">SUMIFS(Detail!$H$2:$H$703,Detail!$C$2:$C$703,$A82)</f>
        <v>249.9</v>
      </c>
      <c r="J82" s="55" t="n">
        <f aca="false">SUMIFS(Detail!$L$2:$L$703,Detail!$C$2:$C$703,$A82)</f>
        <v>0</v>
      </c>
      <c r="K82" s="56" t="n">
        <f aca="false">SUMIFS(Detail!$N$2:$N$703,Detail!$C$2:$C$703,$A82)</f>
        <v>0</v>
      </c>
      <c r="L82" s="31" t="n">
        <f aca="false">IF(E82&gt;0,J82/E82,0)</f>
        <v>0</v>
      </c>
      <c r="M82" s="31" t="n">
        <f aca="false">IF(G82&gt;0,K82/G82,0)</f>
        <v>0</v>
      </c>
      <c r="N82" s="57" t="n">
        <f aca="false">H82/Settings!$B$17</f>
        <v>0</v>
      </c>
      <c r="O82" s="58" t="n">
        <f aca="false">H82/Settings!$B$15</f>
        <v>0</v>
      </c>
      <c r="P82" s="59" t="n">
        <f aca="false">E82*Settings!$B$3</f>
        <v>0</v>
      </c>
      <c r="Q82" s="59" t="n">
        <f aca="false">IF(E82&gt;0,(J82-P82)/SQRT(E82*Settings!$B$3*(1-Settings!$B$3)),0)</f>
        <v>0</v>
      </c>
      <c r="R82" s="31" t="n">
        <f aca="false">IF(E82&gt;=Settings!$B$4,(J82+Settings!$B$7*Settings!$B$3)/(E82+Settings!$B$7),Settings!$B$3)</f>
        <v>0.0664935064935065</v>
      </c>
      <c r="S82" s="60" t="n">
        <f aca="false">PERCENTRANK($H$2:$H$95,H82,6)</f>
        <v>0</v>
      </c>
      <c r="T82" s="60" t="n">
        <f aca="false">PERCENTRANK($R$2:$R$95,R82,6)</f>
        <v>0.129032</v>
      </c>
      <c r="U82" s="60" t="n">
        <f aca="false">PERCENTRANK($F$2:$F$95,F82,6)</f>
        <v>0</v>
      </c>
      <c r="V82" s="61" t="n">
        <f aca="false">IF(F82&gt;0,ROUND((Settings!$B$8*U82+Settings!$B$9*S82+Settings!$B$10*T82)/SUM(Settings!$B$8:$B$10),10),0)</f>
        <v>0</v>
      </c>
      <c r="W82" s="53" t="str">
        <f aca="false">IF(V82&gt;0,RANK(V82,$V$2:$V$95)+COUNTIF($V$2:V82,V82)-1,"")</f>
        <v/>
      </c>
      <c r="X82" s="53" t="str">
        <f aca="false">IF(W82="","",IF(W82&lt;=Settings!$B$11,"1 - Fix first",IF(W82&lt;=Settings!$B$12,"2 - Review","3 - Monitor")))</f>
        <v/>
      </c>
      <c r="Y82" s="53" t="str">
        <f aca="false">IF(AND(E82&gt;=Settings!$B$4,J82&gt;=Settings!$B$5,Q82&gt;=Settings!$B$6),"HIGH RATE","")</f>
        <v/>
      </c>
      <c r="Z82" s="53" t="str">
        <f aca="false">IF(F82&gt;0,RANK(F82,$F$2:$F$95)+COUNTIF($F$2:F82,F82)-1,"")</f>
        <v/>
      </c>
      <c r="AA82" s="53" t="str">
        <f aca="false">IF(H82&gt;0,RANK(H82,$H$2:$H$95)+COUNTIF($H$2:H82,H82)-1,"")</f>
        <v/>
      </c>
      <c r="AB82" s="53" t="str">
        <f aca="false">IF(AD82="","",RANK(AD82,$AD$2:$AD$95)+COUNTIF($AD$2:AD82,AD82)-1)</f>
        <v/>
      </c>
      <c r="AC82" s="53" t="str">
        <f aca="false">IF(AE82="","",RANK(AE82,$AE$2:$AE$95)+COUNTIF($AE$2:AE82,AE82)-1)</f>
        <v/>
      </c>
      <c r="AD82" s="53" t="str">
        <f aca="false">IF(AND(J82&gt;0,E82&gt;=Settings!$B$4),ROUND(L82,10),"")</f>
        <v/>
      </c>
      <c r="AE82" s="53" t="str">
        <f aca="false">IF(AND(J82&gt;=Settings!$B$5,E82&gt;=Settings!$B$4),ROUND(Q82,10),"")</f>
        <v/>
      </c>
      <c r="AF82" s="62" t="n">
        <f aca="false">L82/Settings!$B$14</f>
        <v>0</v>
      </c>
    </row>
    <row r="83" customFormat="false" ht="15" hidden="false" customHeight="false" outlineLevel="0" collapsed="false">
      <c r="A83" s="53" t="s">
        <v>329</v>
      </c>
      <c r="B83" s="53" t="s">
        <v>456</v>
      </c>
      <c r="C83" s="53" t="s">
        <v>66</v>
      </c>
      <c r="D83" s="53" t="s">
        <v>97</v>
      </c>
      <c r="E83" s="55" t="n">
        <f aca="false">SUMIFS(Detail!$K$2:$K$703,Detail!$C$2:$C$703,$A83)</f>
        <v>0</v>
      </c>
      <c r="F83" s="55" t="n">
        <f aca="false">SUMIFS(Detail!$F$2:$F$703,Detail!$C$2:$C$703,$A83)</f>
        <v>0</v>
      </c>
      <c r="G83" s="56" t="n">
        <f aca="false">SUMIFS(Detail!$M$2:$M$703,Detail!$C$2:$C$703,$A83)</f>
        <v>0</v>
      </c>
      <c r="H83" s="56" t="n">
        <f aca="false">SUMIFS(Detail!$E$2:$E$703,Detail!$C$2:$C$703,$A83)</f>
        <v>0</v>
      </c>
      <c r="I83" s="56" t="n">
        <f aca="false">SUMIFS(Detail!$H$2:$H$703,Detail!$C$2:$C$703,$A83)</f>
        <v>209.85</v>
      </c>
      <c r="J83" s="55" t="n">
        <f aca="false">SUMIFS(Detail!$L$2:$L$703,Detail!$C$2:$C$703,$A83)</f>
        <v>0</v>
      </c>
      <c r="K83" s="56" t="n">
        <f aca="false">SUMIFS(Detail!$N$2:$N$703,Detail!$C$2:$C$703,$A83)</f>
        <v>0</v>
      </c>
      <c r="L83" s="31" t="n">
        <f aca="false">IF(E83&gt;0,J83/E83,0)</f>
        <v>0</v>
      </c>
      <c r="M83" s="31" t="n">
        <f aca="false">IF(G83&gt;0,K83/G83,0)</f>
        <v>0</v>
      </c>
      <c r="N83" s="57" t="n">
        <f aca="false">H83/Settings!$B$17</f>
        <v>0</v>
      </c>
      <c r="O83" s="58" t="n">
        <f aca="false">H83/Settings!$B$15</f>
        <v>0</v>
      </c>
      <c r="P83" s="59" t="n">
        <f aca="false">E83*Settings!$B$3</f>
        <v>0</v>
      </c>
      <c r="Q83" s="59" t="n">
        <f aca="false">IF(E83&gt;0,(J83-P83)/SQRT(E83*Settings!$B$3*(1-Settings!$B$3)),0)</f>
        <v>0</v>
      </c>
      <c r="R83" s="31" t="n">
        <f aca="false">IF(E83&gt;=Settings!$B$4,(J83+Settings!$B$7*Settings!$B$3)/(E83+Settings!$B$7),Settings!$B$3)</f>
        <v>0.0664935064935065</v>
      </c>
      <c r="S83" s="60" t="n">
        <f aca="false">PERCENTRANK($H$2:$H$95,H83,6)</f>
        <v>0</v>
      </c>
      <c r="T83" s="60" t="n">
        <f aca="false">PERCENTRANK($R$2:$R$95,R83,6)</f>
        <v>0.129032</v>
      </c>
      <c r="U83" s="60" t="n">
        <f aca="false">PERCENTRANK($F$2:$F$95,F83,6)</f>
        <v>0</v>
      </c>
      <c r="V83" s="61" t="n">
        <f aca="false">IF(F83&gt;0,ROUND((Settings!$B$8*U83+Settings!$B$9*S83+Settings!$B$10*T83)/SUM(Settings!$B$8:$B$10),10),0)</f>
        <v>0</v>
      </c>
      <c r="W83" s="53" t="str">
        <f aca="false">IF(V83&gt;0,RANK(V83,$V$2:$V$95)+COUNTIF($V$2:V83,V83)-1,"")</f>
        <v/>
      </c>
      <c r="X83" s="53" t="str">
        <f aca="false">IF(W83="","",IF(W83&lt;=Settings!$B$11,"1 - Fix first",IF(W83&lt;=Settings!$B$12,"2 - Review","3 - Monitor")))</f>
        <v/>
      </c>
      <c r="Y83" s="53" t="str">
        <f aca="false">IF(AND(E83&gt;=Settings!$B$4,J83&gt;=Settings!$B$5,Q83&gt;=Settings!$B$6),"HIGH RATE","")</f>
        <v/>
      </c>
      <c r="Z83" s="53" t="str">
        <f aca="false">IF(F83&gt;0,RANK(F83,$F$2:$F$95)+COUNTIF($F$2:F83,F83)-1,"")</f>
        <v/>
      </c>
      <c r="AA83" s="53" t="str">
        <f aca="false">IF(H83&gt;0,RANK(H83,$H$2:$H$95)+COUNTIF($H$2:H83,H83)-1,"")</f>
        <v/>
      </c>
      <c r="AB83" s="53" t="str">
        <f aca="false">IF(AD83="","",RANK(AD83,$AD$2:$AD$95)+COUNTIF($AD$2:AD83,AD83)-1)</f>
        <v/>
      </c>
      <c r="AC83" s="53" t="str">
        <f aca="false">IF(AE83="","",RANK(AE83,$AE$2:$AE$95)+COUNTIF($AE$2:AE83,AE83)-1)</f>
        <v/>
      </c>
      <c r="AD83" s="53" t="str">
        <f aca="false">IF(AND(J83&gt;0,E83&gt;=Settings!$B$4),ROUND(L83,10),"")</f>
        <v/>
      </c>
      <c r="AE83" s="53" t="str">
        <f aca="false">IF(AND(J83&gt;=Settings!$B$5,E83&gt;=Settings!$B$4),ROUND(Q83,10),"")</f>
        <v/>
      </c>
      <c r="AF83" s="62" t="n">
        <f aca="false">L83/Settings!$B$14</f>
        <v>0</v>
      </c>
    </row>
    <row r="84" customFormat="false" ht="15" hidden="false" customHeight="false" outlineLevel="0" collapsed="false">
      <c r="A84" s="53" t="s">
        <v>336</v>
      </c>
      <c r="B84" s="53" t="s">
        <v>456</v>
      </c>
      <c r="C84" s="53" t="s">
        <v>66</v>
      </c>
      <c r="D84" s="53" t="s">
        <v>97</v>
      </c>
      <c r="E84" s="55" t="n">
        <f aca="false">SUMIFS(Detail!$K$2:$K$703,Detail!$C$2:$C$703,$A84)</f>
        <v>0</v>
      </c>
      <c r="F84" s="55" t="n">
        <f aca="false">SUMIFS(Detail!$F$2:$F$703,Detail!$C$2:$C$703,$A84)</f>
        <v>0</v>
      </c>
      <c r="G84" s="56" t="n">
        <f aca="false">SUMIFS(Detail!$M$2:$M$703,Detail!$C$2:$C$703,$A84)</f>
        <v>0</v>
      </c>
      <c r="H84" s="56" t="n">
        <f aca="false">SUMIFS(Detail!$E$2:$E$703,Detail!$C$2:$C$703,$A84)</f>
        <v>0</v>
      </c>
      <c r="I84" s="56" t="n">
        <f aca="false">SUMIFS(Detail!$H$2:$H$703,Detail!$C$2:$C$703,$A84)</f>
        <v>69.95</v>
      </c>
      <c r="J84" s="55" t="n">
        <f aca="false">SUMIFS(Detail!$L$2:$L$703,Detail!$C$2:$C$703,$A84)</f>
        <v>0</v>
      </c>
      <c r="K84" s="56" t="n">
        <f aca="false">SUMIFS(Detail!$N$2:$N$703,Detail!$C$2:$C$703,$A84)</f>
        <v>0</v>
      </c>
      <c r="L84" s="31" t="n">
        <f aca="false">IF(E84&gt;0,J84/E84,0)</f>
        <v>0</v>
      </c>
      <c r="M84" s="31" t="n">
        <f aca="false">IF(G84&gt;0,K84/G84,0)</f>
        <v>0</v>
      </c>
      <c r="N84" s="57" t="n">
        <f aca="false">H84/Settings!$B$17</f>
        <v>0</v>
      </c>
      <c r="O84" s="58" t="n">
        <f aca="false">H84/Settings!$B$15</f>
        <v>0</v>
      </c>
      <c r="P84" s="59" t="n">
        <f aca="false">E84*Settings!$B$3</f>
        <v>0</v>
      </c>
      <c r="Q84" s="59" t="n">
        <f aca="false">IF(E84&gt;0,(J84-P84)/SQRT(E84*Settings!$B$3*(1-Settings!$B$3)),0)</f>
        <v>0</v>
      </c>
      <c r="R84" s="31" t="n">
        <f aca="false">IF(E84&gt;=Settings!$B$4,(J84+Settings!$B$7*Settings!$B$3)/(E84+Settings!$B$7),Settings!$B$3)</f>
        <v>0.0664935064935065</v>
      </c>
      <c r="S84" s="60" t="n">
        <f aca="false">PERCENTRANK($H$2:$H$95,H84,6)</f>
        <v>0</v>
      </c>
      <c r="T84" s="60" t="n">
        <f aca="false">PERCENTRANK($R$2:$R$95,R84,6)</f>
        <v>0.129032</v>
      </c>
      <c r="U84" s="60" t="n">
        <f aca="false">PERCENTRANK($F$2:$F$95,F84,6)</f>
        <v>0</v>
      </c>
      <c r="V84" s="61" t="n">
        <f aca="false">IF(F84&gt;0,ROUND((Settings!$B$8*U84+Settings!$B$9*S84+Settings!$B$10*T84)/SUM(Settings!$B$8:$B$10),10),0)</f>
        <v>0</v>
      </c>
      <c r="W84" s="53" t="str">
        <f aca="false">IF(V84&gt;0,RANK(V84,$V$2:$V$95)+COUNTIF($V$2:V84,V84)-1,"")</f>
        <v/>
      </c>
      <c r="X84" s="53" t="str">
        <f aca="false">IF(W84="","",IF(W84&lt;=Settings!$B$11,"1 - Fix first",IF(W84&lt;=Settings!$B$12,"2 - Review","3 - Monitor")))</f>
        <v/>
      </c>
      <c r="Y84" s="53" t="str">
        <f aca="false">IF(AND(E84&gt;=Settings!$B$4,J84&gt;=Settings!$B$5,Q84&gt;=Settings!$B$6),"HIGH RATE","")</f>
        <v/>
      </c>
      <c r="Z84" s="53" t="str">
        <f aca="false">IF(F84&gt;0,RANK(F84,$F$2:$F$95)+COUNTIF($F$2:F84,F84)-1,"")</f>
        <v/>
      </c>
      <c r="AA84" s="53" t="str">
        <f aca="false">IF(H84&gt;0,RANK(H84,$H$2:$H$95)+COUNTIF($H$2:H84,H84)-1,"")</f>
        <v/>
      </c>
      <c r="AB84" s="53" t="str">
        <f aca="false">IF(AD84="","",RANK(AD84,$AD$2:$AD$95)+COUNTIF($AD$2:AD84,AD84)-1)</f>
        <v/>
      </c>
      <c r="AC84" s="53" t="str">
        <f aca="false">IF(AE84="","",RANK(AE84,$AE$2:$AE$95)+COUNTIF($AE$2:AE84,AE84)-1)</f>
        <v/>
      </c>
      <c r="AD84" s="53" t="str">
        <f aca="false">IF(AND(J84&gt;0,E84&gt;=Settings!$B$4),ROUND(L84,10),"")</f>
        <v/>
      </c>
      <c r="AE84" s="53" t="str">
        <f aca="false">IF(AND(J84&gt;=Settings!$B$5,E84&gt;=Settings!$B$4),ROUND(Q84,10),"")</f>
        <v/>
      </c>
      <c r="AF84" s="62" t="n">
        <f aca="false">L84/Settings!$B$14</f>
        <v>0</v>
      </c>
    </row>
    <row r="85" customFormat="false" ht="15" hidden="false" customHeight="false" outlineLevel="0" collapsed="false">
      <c r="A85" s="53" t="s">
        <v>370</v>
      </c>
      <c r="B85" s="53" t="s">
        <v>447</v>
      </c>
      <c r="C85" s="53" t="s">
        <v>66</v>
      </c>
      <c r="D85" s="53" t="s">
        <v>97</v>
      </c>
      <c r="E85" s="55" t="n">
        <f aca="false">SUMIFS(Detail!$K$2:$K$703,Detail!$C$2:$C$703,$A85)</f>
        <v>0</v>
      </c>
      <c r="F85" s="55" t="n">
        <f aca="false">SUMIFS(Detail!$F$2:$F$703,Detail!$C$2:$C$703,$A85)</f>
        <v>0</v>
      </c>
      <c r="G85" s="56" t="n">
        <f aca="false">SUMIFS(Detail!$M$2:$M$703,Detail!$C$2:$C$703,$A85)</f>
        <v>0</v>
      </c>
      <c r="H85" s="56" t="n">
        <f aca="false">SUMIFS(Detail!$E$2:$E$703,Detail!$C$2:$C$703,$A85)</f>
        <v>0</v>
      </c>
      <c r="I85" s="56" t="n">
        <f aca="false">SUMIFS(Detail!$H$2:$H$703,Detail!$C$2:$C$703,$A85)</f>
        <v>109.95</v>
      </c>
      <c r="J85" s="55" t="n">
        <f aca="false">SUMIFS(Detail!$L$2:$L$703,Detail!$C$2:$C$703,$A85)</f>
        <v>0</v>
      </c>
      <c r="K85" s="56" t="n">
        <f aca="false">SUMIFS(Detail!$N$2:$N$703,Detail!$C$2:$C$703,$A85)</f>
        <v>0</v>
      </c>
      <c r="L85" s="31" t="n">
        <f aca="false">IF(E85&gt;0,J85/E85,0)</f>
        <v>0</v>
      </c>
      <c r="M85" s="31" t="n">
        <f aca="false">IF(G85&gt;0,K85/G85,0)</f>
        <v>0</v>
      </c>
      <c r="N85" s="57" t="n">
        <f aca="false">H85/Settings!$B$17</f>
        <v>0</v>
      </c>
      <c r="O85" s="58" t="n">
        <f aca="false">H85/Settings!$B$15</f>
        <v>0</v>
      </c>
      <c r="P85" s="59" t="n">
        <f aca="false">E85*Settings!$B$3</f>
        <v>0</v>
      </c>
      <c r="Q85" s="59" t="n">
        <f aca="false">IF(E85&gt;0,(J85-P85)/SQRT(E85*Settings!$B$3*(1-Settings!$B$3)),0)</f>
        <v>0</v>
      </c>
      <c r="R85" s="31" t="n">
        <f aca="false">IF(E85&gt;=Settings!$B$4,(J85+Settings!$B$7*Settings!$B$3)/(E85+Settings!$B$7),Settings!$B$3)</f>
        <v>0.0664935064935065</v>
      </c>
      <c r="S85" s="60" t="n">
        <f aca="false">PERCENTRANK($H$2:$H$95,H85,6)</f>
        <v>0</v>
      </c>
      <c r="T85" s="60" t="n">
        <f aca="false">PERCENTRANK($R$2:$R$95,R85,6)</f>
        <v>0.129032</v>
      </c>
      <c r="U85" s="60" t="n">
        <f aca="false">PERCENTRANK($F$2:$F$95,F85,6)</f>
        <v>0</v>
      </c>
      <c r="V85" s="61" t="n">
        <f aca="false">IF(F85&gt;0,ROUND((Settings!$B$8*U85+Settings!$B$9*S85+Settings!$B$10*T85)/SUM(Settings!$B$8:$B$10),10),0)</f>
        <v>0</v>
      </c>
      <c r="W85" s="53" t="str">
        <f aca="false">IF(V85&gt;0,RANK(V85,$V$2:$V$95)+COUNTIF($V$2:V85,V85)-1,"")</f>
        <v/>
      </c>
      <c r="X85" s="53" t="str">
        <f aca="false">IF(W85="","",IF(W85&lt;=Settings!$B$11,"1 - Fix first",IF(W85&lt;=Settings!$B$12,"2 - Review","3 - Monitor")))</f>
        <v/>
      </c>
      <c r="Y85" s="53" t="str">
        <f aca="false">IF(AND(E85&gt;=Settings!$B$4,J85&gt;=Settings!$B$5,Q85&gt;=Settings!$B$6),"HIGH RATE","")</f>
        <v/>
      </c>
      <c r="Z85" s="53" t="str">
        <f aca="false">IF(F85&gt;0,RANK(F85,$F$2:$F$95)+COUNTIF($F$2:F85,F85)-1,"")</f>
        <v/>
      </c>
      <c r="AA85" s="53" t="str">
        <f aca="false">IF(H85&gt;0,RANK(H85,$H$2:$H$95)+COUNTIF($H$2:H85,H85)-1,"")</f>
        <v/>
      </c>
      <c r="AB85" s="53" t="str">
        <f aca="false">IF(AD85="","",RANK(AD85,$AD$2:$AD$95)+COUNTIF($AD$2:AD85,AD85)-1)</f>
        <v/>
      </c>
      <c r="AC85" s="53" t="str">
        <f aca="false">IF(AE85="","",RANK(AE85,$AE$2:$AE$95)+COUNTIF($AE$2:AE85,AE85)-1)</f>
        <v/>
      </c>
      <c r="AD85" s="53" t="str">
        <f aca="false">IF(AND(J85&gt;0,E85&gt;=Settings!$B$4),ROUND(L85,10),"")</f>
        <v/>
      </c>
      <c r="AE85" s="53" t="str">
        <f aca="false">IF(AND(J85&gt;=Settings!$B$5,E85&gt;=Settings!$B$4),ROUND(Q85,10),"")</f>
        <v/>
      </c>
      <c r="AF85" s="62" t="n">
        <f aca="false">L85/Settings!$B$14</f>
        <v>0</v>
      </c>
    </row>
    <row r="86" customFormat="false" ht="15" hidden="false" customHeight="false" outlineLevel="0" collapsed="false">
      <c r="A86" s="53" t="s">
        <v>324</v>
      </c>
      <c r="B86" s="53" t="s">
        <v>437</v>
      </c>
      <c r="C86" s="53" t="s">
        <v>46</v>
      </c>
      <c r="D86" s="53" t="s">
        <v>97</v>
      </c>
      <c r="E86" s="55" t="n">
        <f aca="false">SUMIFS(Detail!$K$2:$K$703,Detail!$C$2:$C$703,$A86)</f>
        <v>0</v>
      </c>
      <c r="F86" s="55" t="n">
        <f aca="false">SUMIFS(Detail!$F$2:$F$703,Detail!$C$2:$C$703,$A86)</f>
        <v>0</v>
      </c>
      <c r="G86" s="56" t="n">
        <f aca="false">SUMIFS(Detail!$M$2:$M$703,Detail!$C$2:$C$703,$A86)</f>
        <v>0</v>
      </c>
      <c r="H86" s="56" t="n">
        <f aca="false">SUMIFS(Detail!$E$2:$E$703,Detail!$C$2:$C$703,$A86)</f>
        <v>0</v>
      </c>
      <c r="I86" s="56" t="n">
        <f aca="false">SUMIFS(Detail!$H$2:$H$703,Detail!$C$2:$C$703,$A86)</f>
        <v>229.9</v>
      </c>
      <c r="J86" s="55" t="n">
        <f aca="false">SUMIFS(Detail!$L$2:$L$703,Detail!$C$2:$C$703,$A86)</f>
        <v>0</v>
      </c>
      <c r="K86" s="56" t="n">
        <f aca="false">SUMIFS(Detail!$N$2:$N$703,Detail!$C$2:$C$703,$A86)</f>
        <v>0</v>
      </c>
      <c r="L86" s="31" t="n">
        <f aca="false">IF(E86&gt;0,J86/E86,0)</f>
        <v>0</v>
      </c>
      <c r="M86" s="31" t="n">
        <f aca="false">IF(G86&gt;0,K86/G86,0)</f>
        <v>0</v>
      </c>
      <c r="N86" s="57" t="n">
        <f aca="false">H86/Settings!$B$17</f>
        <v>0</v>
      </c>
      <c r="O86" s="58" t="n">
        <f aca="false">H86/Settings!$B$15</f>
        <v>0</v>
      </c>
      <c r="P86" s="59" t="n">
        <f aca="false">E86*Settings!$B$3</f>
        <v>0</v>
      </c>
      <c r="Q86" s="59" t="n">
        <f aca="false">IF(E86&gt;0,(J86-P86)/SQRT(E86*Settings!$B$3*(1-Settings!$B$3)),0)</f>
        <v>0</v>
      </c>
      <c r="R86" s="31" t="n">
        <f aca="false">IF(E86&gt;=Settings!$B$4,(J86+Settings!$B$7*Settings!$B$3)/(E86+Settings!$B$7),Settings!$B$3)</f>
        <v>0.0664935064935065</v>
      </c>
      <c r="S86" s="60" t="n">
        <f aca="false">PERCENTRANK($H$2:$H$95,H86,6)</f>
        <v>0</v>
      </c>
      <c r="T86" s="60" t="n">
        <f aca="false">PERCENTRANK($R$2:$R$95,R86,6)</f>
        <v>0.129032</v>
      </c>
      <c r="U86" s="60" t="n">
        <f aca="false">PERCENTRANK($F$2:$F$95,F86,6)</f>
        <v>0</v>
      </c>
      <c r="V86" s="61" t="n">
        <f aca="false">IF(F86&gt;0,ROUND((Settings!$B$8*U86+Settings!$B$9*S86+Settings!$B$10*T86)/SUM(Settings!$B$8:$B$10),10),0)</f>
        <v>0</v>
      </c>
      <c r="W86" s="53" t="str">
        <f aca="false">IF(V86&gt;0,RANK(V86,$V$2:$V$95)+COUNTIF($V$2:V86,V86)-1,"")</f>
        <v/>
      </c>
      <c r="X86" s="53" t="str">
        <f aca="false">IF(W86="","",IF(W86&lt;=Settings!$B$11,"1 - Fix first",IF(W86&lt;=Settings!$B$12,"2 - Review","3 - Monitor")))</f>
        <v/>
      </c>
      <c r="Y86" s="53" t="str">
        <f aca="false">IF(AND(E86&gt;=Settings!$B$4,J86&gt;=Settings!$B$5,Q86&gt;=Settings!$B$6),"HIGH RATE","")</f>
        <v/>
      </c>
      <c r="Z86" s="53" t="str">
        <f aca="false">IF(F86&gt;0,RANK(F86,$F$2:$F$95)+COUNTIF($F$2:F86,F86)-1,"")</f>
        <v/>
      </c>
      <c r="AA86" s="53" t="str">
        <f aca="false">IF(H86&gt;0,RANK(H86,$H$2:$H$95)+COUNTIF($H$2:H86,H86)-1,"")</f>
        <v/>
      </c>
      <c r="AB86" s="53" t="str">
        <f aca="false">IF(AD86="","",RANK(AD86,$AD$2:$AD$95)+COUNTIF($AD$2:AD86,AD86)-1)</f>
        <v/>
      </c>
      <c r="AC86" s="53" t="str">
        <f aca="false">IF(AE86="","",RANK(AE86,$AE$2:$AE$95)+COUNTIF($AE$2:AE86,AE86)-1)</f>
        <v/>
      </c>
      <c r="AD86" s="53" t="str">
        <f aca="false">IF(AND(J86&gt;0,E86&gt;=Settings!$B$4),ROUND(L86,10),"")</f>
        <v/>
      </c>
      <c r="AE86" s="53" t="str">
        <f aca="false">IF(AND(J86&gt;=Settings!$B$5,E86&gt;=Settings!$B$4),ROUND(Q86,10),"")</f>
        <v/>
      </c>
      <c r="AF86" s="62" t="n">
        <f aca="false">L86/Settings!$B$14</f>
        <v>0</v>
      </c>
    </row>
    <row r="87" customFormat="false" ht="15" hidden="false" customHeight="false" outlineLevel="0" collapsed="false">
      <c r="A87" s="53" t="s">
        <v>349</v>
      </c>
      <c r="B87" s="53" t="s">
        <v>437</v>
      </c>
      <c r="C87" s="53" t="s">
        <v>46</v>
      </c>
      <c r="D87" s="53" t="s">
        <v>97</v>
      </c>
      <c r="E87" s="55" t="n">
        <f aca="false">SUMIFS(Detail!$K$2:$K$703,Detail!$C$2:$C$703,$A87)</f>
        <v>0</v>
      </c>
      <c r="F87" s="55" t="n">
        <f aca="false">SUMIFS(Detail!$F$2:$F$703,Detail!$C$2:$C$703,$A87)</f>
        <v>0</v>
      </c>
      <c r="G87" s="56" t="n">
        <f aca="false">SUMIFS(Detail!$M$2:$M$703,Detail!$C$2:$C$703,$A87)</f>
        <v>0</v>
      </c>
      <c r="H87" s="56" t="n">
        <f aca="false">SUMIFS(Detail!$E$2:$E$703,Detail!$C$2:$C$703,$A87)</f>
        <v>0</v>
      </c>
      <c r="I87" s="56" t="n">
        <f aca="false">SUMIFS(Detail!$H$2:$H$703,Detail!$C$2:$C$703,$A87)</f>
        <v>2418.9</v>
      </c>
      <c r="J87" s="55" t="n">
        <f aca="false">SUMIFS(Detail!$L$2:$L$703,Detail!$C$2:$C$703,$A87)</f>
        <v>0</v>
      </c>
      <c r="K87" s="56" t="n">
        <f aca="false">SUMIFS(Detail!$N$2:$N$703,Detail!$C$2:$C$703,$A87)</f>
        <v>0</v>
      </c>
      <c r="L87" s="31" t="n">
        <f aca="false">IF(E87&gt;0,J87/E87,0)</f>
        <v>0</v>
      </c>
      <c r="M87" s="31" t="n">
        <f aca="false">IF(G87&gt;0,K87/G87,0)</f>
        <v>0</v>
      </c>
      <c r="N87" s="57" t="n">
        <f aca="false">H87/Settings!$B$17</f>
        <v>0</v>
      </c>
      <c r="O87" s="58" t="n">
        <f aca="false">H87/Settings!$B$15</f>
        <v>0</v>
      </c>
      <c r="P87" s="59" t="n">
        <f aca="false">E87*Settings!$B$3</f>
        <v>0</v>
      </c>
      <c r="Q87" s="59" t="n">
        <f aca="false">IF(E87&gt;0,(J87-P87)/SQRT(E87*Settings!$B$3*(1-Settings!$B$3)),0)</f>
        <v>0</v>
      </c>
      <c r="R87" s="31" t="n">
        <f aca="false">IF(E87&gt;=Settings!$B$4,(J87+Settings!$B$7*Settings!$B$3)/(E87+Settings!$B$7),Settings!$B$3)</f>
        <v>0.0664935064935065</v>
      </c>
      <c r="S87" s="60" t="n">
        <f aca="false">PERCENTRANK($H$2:$H$95,H87,6)</f>
        <v>0</v>
      </c>
      <c r="T87" s="60" t="n">
        <f aca="false">PERCENTRANK($R$2:$R$95,R87,6)</f>
        <v>0.129032</v>
      </c>
      <c r="U87" s="60" t="n">
        <f aca="false">PERCENTRANK($F$2:$F$95,F87,6)</f>
        <v>0</v>
      </c>
      <c r="V87" s="61" t="n">
        <f aca="false">IF(F87&gt;0,ROUND((Settings!$B$8*U87+Settings!$B$9*S87+Settings!$B$10*T87)/SUM(Settings!$B$8:$B$10),10),0)</f>
        <v>0</v>
      </c>
      <c r="W87" s="53" t="str">
        <f aca="false">IF(V87&gt;0,RANK(V87,$V$2:$V$95)+COUNTIF($V$2:V87,V87)-1,"")</f>
        <v/>
      </c>
      <c r="X87" s="53" t="str">
        <f aca="false">IF(W87="","",IF(W87&lt;=Settings!$B$11,"1 - Fix first",IF(W87&lt;=Settings!$B$12,"2 - Review","3 - Monitor")))</f>
        <v/>
      </c>
      <c r="Y87" s="53" t="str">
        <f aca="false">IF(AND(E87&gt;=Settings!$B$4,J87&gt;=Settings!$B$5,Q87&gt;=Settings!$B$6),"HIGH RATE","")</f>
        <v/>
      </c>
      <c r="Z87" s="53" t="str">
        <f aca="false">IF(F87&gt;0,RANK(F87,$F$2:$F$95)+COUNTIF($F$2:F87,F87)-1,"")</f>
        <v/>
      </c>
      <c r="AA87" s="53" t="str">
        <f aca="false">IF(H87&gt;0,RANK(H87,$H$2:$H$95)+COUNTIF($H$2:H87,H87)-1,"")</f>
        <v/>
      </c>
      <c r="AB87" s="53" t="str">
        <f aca="false">IF(AD87="","",RANK(AD87,$AD$2:$AD$95)+COUNTIF($AD$2:AD87,AD87)-1)</f>
        <v/>
      </c>
      <c r="AC87" s="53" t="str">
        <f aca="false">IF(AE87="","",RANK(AE87,$AE$2:$AE$95)+COUNTIF($AE$2:AE87,AE87)-1)</f>
        <v/>
      </c>
      <c r="AD87" s="53" t="str">
        <f aca="false">IF(AND(J87&gt;0,E87&gt;=Settings!$B$4),ROUND(L87,10),"")</f>
        <v/>
      </c>
      <c r="AE87" s="53" t="str">
        <f aca="false">IF(AND(J87&gt;=Settings!$B$5,E87&gt;=Settings!$B$4),ROUND(Q87,10),"")</f>
        <v/>
      </c>
      <c r="AF87" s="62" t="n">
        <f aca="false">L87/Settings!$B$14</f>
        <v>0</v>
      </c>
    </row>
    <row r="88" customFormat="false" ht="15" hidden="false" customHeight="false" outlineLevel="0" collapsed="false">
      <c r="A88" s="53" t="s">
        <v>365</v>
      </c>
      <c r="B88" s="53" t="s">
        <v>437</v>
      </c>
      <c r="C88" s="53" t="s">
        <v>46</v>
      </c>
      <c r="D88" s="53" t="s">
        <v>97</v>
      </c>
      <c r="E88" s="55" t="n">
        <f aca="false">SUMIFS(Detail!$K$2:$K$703,Detail!$C$2:$C$703,$A88)</f>
        <v>0</v>
      </c>
      <c r="F88" s="55" t="n">
        <f aca="false">SUMIFS(Detail!$F$2:$F$703,Detail!$C$2:$C$703,$A88)</f>
        <v>0</v>
      </c>
      <c r="G88" s="56" t="n">
        <f aca="false">SUMIFS(Detail!$M$2:$M$703,Detail!$C$2:$C$703,$A88)</f>
        <v>0</v>
      </c>
      <c r="H88" s="56" t="n">
        <f aca="false">SUMIFS(Detail!$E$2:$E$703,Detail!$C$2:$C$703,$A88)</f>
        <v>0</v>
      </c>
      <c r="I88" s="56" t="n">
        <f aca="false">SUMIFS(Detail!$H$2:$H$703,Detail!$C$2:$C$703,$A88)</f>
        <v>99.95</v>
      </c>
      <c r="J88" s="55" t="n">
        <f aca="false">SUMIFS(Detail!$L$2:$L$703,Detail!$C$2:$C$703,$A88)</f>
        <v>0</v>
      </c>
      <c r="K88" s="56" t="n">
        <f aca="false">SUMIFS(Detail!$N$2:$N$703,Detail!$C$2:$C$703,$A88)</f>
        <v>0</v>
      </c>
      <c r="L88" s="31" t="n">
        <f aca="false">IF(E88&gt;0,J88/E88,0)</f>
        <v>0</v>
      </c>
      <c r="M88" s="31" t="n">
        <f aca="false">IF(G88&gt;0,K88/G88,0)</f>
        <v>0</v>
      </c>
      <c r="N88" s="57" t="n">
        <f aca="false">H88/Settings!$B$17</f>
        <v>0</v>
      </c>
      <c r="O88" s="58" t="n">
        <f aca="false">H88/Settings!$B$15</f>
        <v>0</v>
      </c>
      <c r="P88" s="59" t="n">
        <f aca="false">E88*Settings!$B$3</f>
        <v>0</v>
      </c>
      <c r="Q88" s="59" t="n">
        <f aca="false">IF(E88&gt;0,(J88-P88)/SQRT(E88*Settings!$B$3*(1-Settings!$B$3)),0)</f>
        <v>0</v>
      </c>
      <c r="R88" s="31" t="n">
        <f aca="false">IF(E88&gt;=Settings!$B$4,(J88+Settings!$B$7*Settings!$B$3)/(E88+Settings!$B$7),Settings!$B$3)</f>
        <v>0.0664935064935065</v>
      </c>
      <c r="S88" s="60" t="n">
        <f aca="false">PERCENTRANK($H$2:$H$95,H88,6)</f>
        <v>0</v>
      </c>
      <c r="T88" s="60" t="n">
        <f aca="false">PERCENTRANK($R$2:$R$95,R88,6)</f>
        <v>0.129032</v>
      </c>
      <c r="U88" s="60" t="n">
        <f aca="false">PERCENTRANK($F$2:$F$95,F88,6)</f>
        <v>0</v>
      </c>
      <c r="V88" s="61" t="n">
        <f aca="false">IF(F88&gt;0,ROUND((Settings!$B$8*U88+Settings!$B$9*S88+Settings!$B$10*T88)/SUM(Settings!$B$8:$B$10),10),0)</f>
        <v>0</v>
      </c>
      <c r="W88" s="53" t="str">
        <f aca="false">IF(V88&gt;0,RANK(V88,$V$2:$V$95)+COUNTIF($V$2:V88,V88)-1,"")</f>
        <v/>
      </c>
      <c r="X88" s="53" t="str">
        <f aca="false">IF(W88="","",IF(W88&lt;=Settings!$B$11,"1 - Fix first",IF(W88&lt;=Settings!$B$12,"2 - Review","3 - Monitor")))</f>
        <v/>
      </c>
      <c r="Y88" s="53" t="str">
        <f aca="false">IF(AND(E88&gt;=Settings!$B$4,J88&gt;=Settings!$B$5,Q88&gt;=Settings!$B$6),"HIGH RATE","")</f>
        <v/>
      </c>
      <c r="Z88" s="53" t="str">
        <f aca="false">IF(F88&gt;0,RANK(F88,$F$2:$F$95)+COUNTIF($F$2:F88,F88)-1,"")</f>
        <v/>
      </c>
      <c r="AA88" s="53" t="str">
        <f aca="false">IF(H88&gt;0,RANK(H88,$H$2:$H$95)+COUNTIF($H$2:H88,H88)-1,"")</f>
        <v/>
      </c>
      <c r="AB88" s="53" t="str">
        <f aca="false">IF(AD88="","",RANK(AD88,$AD$2:$AD$95)+COUNTIF($AD$2:AD88,AD88)-1)</f>
        <v/>
      </c>
      <c r="AC88" s="53" t="str">
        <f aca="false">IF(AE88="","",RANK(AE88,$AE$2:$AE$95)+COUNTIF($AE$2:AE88,AE88)-1)</f>
        <v/>
      </c>
      <c r="AD88" s="53" t="str">
        <f aca="false">IF(AND(J88&gt;0,E88&gt;=Settings!$B$4),ROUND(L88,10),"")</f>
        <v/>
      </c>
      <c r="AE88" s="53" t="str">
        <f aca="false">IF(AND(J88&gt;=Settings!$B$5,E88&gt;=Settings!$B$4),ROUND(Q88,10),"")</f>
        <v/>
      </c>
      <c r="AF88" s="62" t="n">
        <f aca="false">L88/Settings!$B$14</f>
        <v>0</v>
      </c>
    </row>
    <row r="89" customFormat="false" ht="15" hidden="false" customHeight="false" outlineLevel="0" collapsed="false">
      <c r="A89" s="53" t="s">
        <v>321</v>
      </c>
      <c r="B89" s="53" t="s">
        <v>437</v>
      </c>
      <c r="C89" s="53" t="s">
        <v>46</v>
      </c>
      <c r="D89" s="53" t="s">
        <v>97</v>
      </c>
      <c r="E89" s="55" t="n">
        <f aca="false">SUMIFS(Detail!$K$2:$K$703,Detail!$C$2:$C$703,$A89)</f>
        <v>0</v>
      </c>
      <c r="F89" s="55" t="n">
        <f aca="false">SUMIFS(Detail!$F$2:$F$703,Detail!$C$2:$C$703,$A89)</f>
        <v>0</v>
      </c>
      <c r="G89" s="56" t="n">
        <f aca="false">SUMIFS(Detail!$M$2:$M$703,Detail!$C$2:$C$703,$A89)</f>
        <v>0</v>
      </c>
      <c r="H89" s="56" t="n">
        <f aca="false">SUMIFS(Detail!$E$2:$E$703,Detail!$C$2:$C$703,$A89)</f>
        <v>0</v>
      </c>
      <c r="I89" s="56" t="n">
        <f aca="false">SUMIFS(Detail!$H$2:$H$703,Detail!$C$2:$C$703,$A89)</f>
        <v>559.8</v>
      </c>
      <c r="J89" s="55" t="n">
        <f aca="false">SUMIFS(Detail!$L$2:$L$703,Detail!$C$2:$C$703,$A89)</f>
        <v>0</v>
      </c>
      <c r="K89" s="56" t="n">
        <f aca="false">SUMIFS(Detail!$N$2:$N$703,Detail!$C$2:$C$703,$A89)</f>
        <v>0</v>
      </c>
      <c r="L89" s="31" t="n">
        <f aca="false">IF(E89&gt;0,J89/E89,0)</f>
        <v>0</v>
      </c>
      <c r="M89" s="31" t="n">
        <f aca="false">IF(G89&gt;0,K89/G89,0)</f>
        <v>0</v>
      </c>
      <c r="N89" s="57" t="n">
        <f aca="false">H89/Settings!$B$17</f>
        <v>0</v>
      </c>
      <c r="O89" s="58" t="n">
        <f aca="false">H89/Settings!$B$15</f>
        <v>0</v>
      </c>
      <c r="P89" s="59" t="n">
        <f aca="false">E89*Settings!$B$3</f>
        <v>0</v>
      </c>
      <c r="Q89" s="59" t="n">
        <f aca="false">IF(E89&gt;0,(J89-P89)/SQRT(E89*Settings!$B$3*(1-Settings!$B$3)),0)</f>
        <v>0</v>
      </c>
      <c r="R89" s="31" t="n">
        <f aca="false">IF(E89&gt;=Settings!$B$4,(J89+Settings!$B$7*Settings!$B$3)/(E89+Settings!$B$7),Settings!$B$3)</f>
        <v>0.0664935064935065</v>
      </c>
      <c r="S89" s="60" t="n">
        <f aca="false">PERCENTRANK($H$2:$H$95,H89,6)</f>
        <v>0</v>
      </c>
      <c r="T89" s="60" t="n">
        <f aca="false">PERCENTRANK($R$2:$R$95,R89,6)</f>
        <v>0.129032</v>
      </c>
      <c r="U89" s="60" t="n">
        <f aca="false">PERCENTRANK($F$2:$F$95,F89,6)</f>
        <v>0</v>
      </c>
      <c r="V89" s="61" t="n">
        <f aca="false">IF(F89&gt;0,ROUND((Settings!$B$8*U89+Settings!$B$9*S89+Settings!$B$10*T89)/SUM(Settings!$B$8:$B$10),10),0)</f>
        <v>0</v>
      </c>
      <c r="W89" s="53" t="str">
        <f aca="false">IF(V89&gt;0,RANK(V89,$V$2:$V$95)+COUNTIF($V$2:V89,V89)-1,"")</f>
        <v/>
      </c>
      <c r="X89" s="53" t="str">
        <f aca="false">IF(W89="","",IF(W89&lt;=Settings!$B$11,"1 - Fix first",IF(W89&lt;=Settings!$B$12,"2 - Review","3 - Monitor")))</f>
        <v/>
      </c>
      <c r="Y89" s="53" t="str">
        <f aca="false">IF(AND(E89&gt;=Settings!$B$4,J89&gt;=Settings!$B$5,Q89&gt;=Settings!$B$6),"HIGH RATE","")</f>
        <v/>
      </c>
      <c r="Z89" s="53" t="str">
        <f aca="false">IF(F89&gt;0,RANK(F89,$F$2:$F$95)+COUNTIF($F$2:F89,F89)-1,"")</f>
        <v/>
      </c>
      <c r="AA89" s="53" t="str">
        <f aca="false">IF(H89&gt;0,RANK(H89,$H$2:$H$95)+COUNTIF($H$2:H89,H89)-1,"")</f>
        <v/>
      </c>
      <c r="AB89" s="53" t="str">
        <f aca="false">IF(AD89="","",RANK(AD89,$AD$2:$AD$95)+COUNTIF($AD$2:AD89,AD89)-1)</f>
        <v/>
      </c>
      <c r="AC89" s="53" t="str">
        <f aca="false">IF(AE89="","",RANK(AE89,$AE$2:$AE$95)+COUNTIF($AE$2:AE89,AE89)-1)</f>
        <v/>
      </c>
      <c r="AD89" s="53" t="str">
        <f aca="false">IF(AND(J89&gt;0,E89&gt;=Settings!$B$4),ROUND(L89,10),"")</f>
        <v/>
      </c>
      <c r="AE89" s="53" t="str">
        <f aca="false">IF(AND(J89&gt;=Settings!$B$5,E89&gt;=Settings!$B$4),ROUND(Q89,10),"")</f>
        <v/>
      </c>
      <c r="AF89" s="62" t="n">
        <f aca="false">L89/Settings!$B$14</f>
        <v>0</v>
      </c>
    </row>
    <row r="90" customFormat="false" ht="15" hidden="false" customHeight="false" outlineLevel="0" collapsed="false">
      <c r="A90" s="53" t="s">
        <v>327</v>
      </c>
      <c r="B90" s="53" t="s">
        <v>443</v>
      </c>
      <c r="C90" s="53" t="s">
        <v>42</v>
      </c>
      <c r="D90" s="53" t="s">
        <v>97</v>
      </c>
      <c r="E90" s="55" t="n">
        <f aca="false">SUMIFS(Detail!$K$2:$K$703,Detail!$C$2:$C$703,$A90)</f>
        <v>0</v>
      </c>
      <c r="F90" s="55" t="n">
        <f aca="false">SUMIFS(Detail!$F$2:$F$703,Detail!$C$2:$C$703,$A90)</f>
        <v>0</v>
      </c>
      <c r="G90" s="56" t="n">
        <f aca="false">SUMIFS(Detail!$M$2:$M$703,Detail!$C$2:$C$703,$A90)</f>
        <v>0</v>
      </c>
      <c r="H90" s="56" t="n">
        <f aca="false">SUMIFS(Detail!$E$2:$E$703,Detail!$C$2:$C$703,$A90)</f>
        <v>0</v>
      </c>
      <c r="I90" s="56" t="n">
        <f aca="false">SUMIFS(Detail!$H$2:$H$703,Detail!$C$2:$C$703,$A90)</f>
        <v>679.8</v>
      </c>
      <c r="J90" s="55" t="n">
        <f aca="false">SUMIFS(Detail!$L$2:$L$703,Detail!$C$2:$C$703,$A90)</f>
        <v>0</v>
      </c>
      <c r="K90" s="56" t="n">
        <f aca="false">SUMIFS(Detail!$N$2:$N$703,Detail!$C$2:$C$703,$A90)</f>
        <v>0</v>
      </c>
      <c r="L90" s="31" t="n">
        <f aca="false">IF(E90&gt;0,J90/E90,0)</f>
        <v>0</v>
      </c>
      <c r="M90" s="31" t="n">
        <f aca="false">IF(G90&gt;0,K90/G90,0)</f>
        <v>0</v>
      </c>
      <c r="N90" s="57" t="n">
        <f aca="false">H90/Settings!$B$17</f>
        <v>0</v>
      </c>
      <c r="O90" s="58" t="n">
        <f aca="false">H90/Settings!$B$15</f>
        <v>0</v>
      </c>
      <c r="P90" s="59" t="n">
        <f aca="false">E90*Settings!$B$3</f>
        <v>0</v>
      </c>
      <c r="Q90" s="59" t="n">
        <f aca="false">IF(E90&gt;0,(J90-P90)/SQRT(E90*Settings!$B$3*(1-Settings!$B$3)),0)</f>
        <v>0</v>
      </c>
      <c r="R90" s="31" t="n">
        <f aca="false">IF(E90&gt;=Settings!$B$4,(J90+Settings!$B$7*Settings!$B$3)/(E90+Settings!$B$7),Settings!$B$3)</f>
        <v>0.0664935064935065</v>
      </c>
      <c r="S90" s="60" t="n">
        <f aca="false">PERCENTRANK($H$2:$H$95,H90,6)</f>
        <v>0</v>
      </c>
      <c r="T90" s="60" t="n">
        <f aca="false">PERCENTRANK($R$2:$R$95,R90,6)</f>
        <v>0.129032</v>
      </c>
      <c r="U90" s="60" t="n">
        <f aca="false">PERCENTRANK($F$2:$F$95,F90,6)</f>
        <v>0</v>
      </c>
      <c r="V90" s="61" t="n">
        <f aca="false">IF(F90&gt;0,ROUND((Settings!$B$8*U90+Settings!$B$9*S90+Settings!$B$10*T90)/SUM(Settings!$B$8:$B$10),10),0)</f>
        <v>0</v>
      </c>
      <c r="W90" s="53" t="str">
        <f aca="false">IF(V90&gt;0,RANK(V90,$V$2:$V$95)+COUNTIF($V$2:V90,V90)-1,"")</f>
        <v/>
      </c>
      <c r="X90" s="53" t="str">
        <f aca="false">IF(W90="","",IF(W90&lt;=Settings!$B$11,"1 - Fix first",IF(W90&lt;=Settings!$B$12,"2 - Review","3 - Monitor")))</f>
        <v/>
      </c>
      <c r="Y90" s="53" t="str">
        <f aca="false">IF(AND(E90&gt;=Settings!$B$4,J90&gt;=Settings!$B$5,Q90&gt;=Settings!$B$6),"HIGH RATE","")</f>
        <v/>
      </c>
      <c r="Z90" s="53" t="str">
        <f aca="false">IF(F90&gt;0,RANK(F90,$F$2:$F$95)+COUNTIF($F$2:F90,F90)-1,"")</f>
        <v/>
      </c>
      <c r="AA90" s="53" t="str">
        <f aca="false">IF(H90&gt;0,RANK(H90,$H$2:$H$95)+COUNTIF($H$2:H90,H90)-1,"")</f>
        <v/>
      </c>
      <c r="AB90" s="53" t="str">
        <f aca="false">IF(AD90="","",RANK(AD90,$AD$2:$AD$95)+COUNTIF($AD$2:AD90,AD90)-1)</f>
        <v/>
      </c>
      <c r="AC90" s="53" t="str">
        <f aca="false">IF(AE90="","",RANK(AE90,$AE$2:$AE$95)+COUNTIF($AE$2:AE90,AE90)-1)</f>
        <v/>
      </c>
      <c r="AD90" s="53" t="str">
        <f aca="false">IF(AND(J90&gt;0,E90&gt;=Settings!$B$4),ROUND(L90,10),"")</f>
        <v/>
      </c>
      <c r="AE90" s="53" t="str">
        <f aca="false">IF(AND(J90&gt;=Settings!$B$5,E90&gt;=Settings!$B$4),ROUND(Q90,10),"")</f>
        <v/>
      </c>
      <c r="AF90" s="62" t="n">
        <f aca="false">L90/Settings!$B$14</f>
        <v>0</v>
      </c>
    </row>
    <row r="91" customFormat="false" ht="15" hidden="false" customHeight="false" outlineLevel="0" collapsed="false">
      <c r="A91" s="53" t="s">
        <v>389</v>
      </c>
      <c r="B91" s="53" t="s">
        <v>457</v>
      </c>
      <c r="C91" s="53" t="s">
        <v>66</v>
      </c>
      <c r="D91" s="53" t="s">
        <v>89</v>
      </c>
      <c r="E91" s="55" t="n">
        <f aca="false">SUMIFS(Detail!$K$2:$K$703,Detail!$C$2:$C$703,$A91)</f>
        <v>0</v>
      </c>
      <c r="F91" s="55" t="n">
        <f aca="false">SUMIFS(Detail!$F$2:$F$703,Detail!$C$2:$C$703,$A91)</f>
        <v>0</v>
      </c>
      <c r="G91" s="56" t="n">
        <f aca="false">SUMIFS(Detail!$M$2:$M$703,Detail!$C$2:$C$703,$A91)</f>
        <v>0</v>
      </c>
      <c r="H91" s="56" t="n">
        <f aca="false">SUMIFS(Detail!$E$2:$E$703,Detail!$C$2:$C$703,$A91)</f>
        <v>0</v>
      </c>
      <c r="I91" s="56" t="n">
        <f aca="false">SUMIFS(Detail!$H$2:$H$703,Detail!$C$2:$C$703,$A91)</f>
        <v>89.55</v>
      </c>
      <c r="J91" s="55" t="n">
        <f aca="false">SUMIFS(Detail!$L$2:$L$703,Detail!$C$2:$C$703,$A91)</f>
        <v>0</v>
      </c>
      <c r="K91" s="56" t="n">
        <f aca="false">SUMIFS(Detail!$N$2:$N$703,Detail!$C$2:$C$703,$A91)</f>
        <v>0</v>
      </c>
      <c r="L91" s="31" t="n">
        <f aca="false">IF(E91&gt;0,J91/E91,0)</f>
        <v>0</v>
      </c>
      <c r="M91" s="31" t="n">
        <f aca="false">IF(G91&gt;0,K91/G91,0)</f>
        <v>0</v>
      </c>
      <c r="N91" s="57" t="n">
        <f aca="false">H91/Settings!$B$17</f>
        <v>0</v>
      </c>
      <c r="O91" s="58" t="n">
        <f aca="false">H91/Settings!$B$15</f>
        <v>0</v>
      </c>
      <c r="P91" s="59" t="n">
        <f aca="false">E91*Settings!$B$3</f>
        <v>0</v>
      </c>
      <c r="Q91" s="59" t="n">
        <f aca="false">IF(E91&gt;0,(J91-P91)/SQRT(E91*Settings!$B$3*(1-Settings!$B$3)),0)</f>
        <v>0</v>
      </c>
      <c r="R91" s="31" t="n">
        <f aca="false">IF(E91&gt;=Settings!$B$4,(J91+Settings!$B$7*Settings!$B$3)/(E91+Settings!$B$7),Settings!$B$3)</f>
        <v>0.0664935064935065</v>
      </c>
      <c r="S91" s="60" t="n">
        <f aca="false">PERCENTRANK($H$2:$H$95,H91,6)</f>
        <v>0</v>
      </c>
      <c r="T91" s="60" t="n">
        <f aca="false">PERCENTRANK($R$2:$R$95,R91,6)</f>
        <v>0.129032</v>
      </c>
      <c r="U91" s="60" t="n">
        <f aca="false">PERCENTRANK($F$2:$F$95,F91,6)</f>
        <v>0</v>
      </c>
      <c r="V91" s="61" t="n">
        <f aca="false">IF(F91&gt;0,ROUND((Settings!$B$8*U91+Settings!$B$9*S91+Settings!$B$10*T91)/SUM(Settings!$B$8:$B$10),10),0)</f>
        <v>0</v>
      </c>
      <c r="W91" s="53" t="str">
        <f aca="false">IF(V91&gt;0,RANK(V91,$V$2:$V$95)+COUNTIF($V$2:V91,V91)-1,"")</f>
        <v/>
      </c>
      <c r="X91" s="53" t="str">
        <f aca="false">IF(W91="","",IF(W91&lt;=Settings!$B$11,"1 - Fix first",IF(W91&lt;=Settings!$B$12,"2 - Review","3 - Monitor")))</f>
        <v/>
      </c>
      <c r="Y91" s="53" t="str">
        <f aca="false">IF(AND(E91&gt;=Settings!$B$4,J91&gt;=Settings!$B$5,Q91&gt;=Settings!$B$6),"HIGH RATE","")</f>
        <v/>
      </c>
      <c r="Z91" s="53" t="str">
        <f aca="false">IF(F91&gt;0,RANK(F91,$F$2:$F$95)+COUNTIF($F$2:F91,F91)-1,"")</f>
        <v/>
      </c>
      <c r="AA91" s="53" t="str">
        <f aca="false">IF(H91&gt;0,RANK(H91,$H$2:$H$95)+COUNTIF($H$2:H91,H91)-1,"")</f>
        <v/>
      </c>
      <c r="AB91" s="53" t="str">
        <f aca="false">IF(AD91="","",RANK(AD91,$AD$2:$AD$95)+COUNTIF($AD$2:AD91,AD91)-1)</f>
        <v/>
      </c>
      <c r="AC91" s="53" t="str">
        <f aca="false">IF(AE91="","",RANK(AE91,$AE$2:$AE$95)+COUNTIF($AE$2:AE91,AE91)-1)</f>
        <v/>
      </c>
      <c r="AD91" s="53" t="str">
        <f aca="false">IF(AND(J91&gt;0,E91&gt;=Settings!$B$4),ROUND(L91,10),"")</f>
        <v/>
      </c>
      <c r="AE91" s="53" t="str">
        <f aca="false">IF(AND(J91&gt;=Settings!$B$5,E91&gt;=Settings!$B$4),ROUND(Q91,10),"")</f>
        <v/>
      </c>
      <c r="AF91" s="62" t="n">
        <f aca="false">L91/Settings!$B$14</f>
        <v>0</v>
      </c>
    </row>
    <row r="92" customFormat="false" ht="15" hidden="false" customHeight="false" outlineLevel="0" collapsed="false">
      <c r="A92" s="53" t="s">
        <v>384</v>
      </c>
      <c r="B92" s="53" t="s">
        <v>458</v>
      </c>
      <c r="C92" s="53" t="s">
        <v>66</v>
      </c>
      <c r="D92" s="53" t="s">
        <v>89</v>
      </c>
      <c r="E92" s="55" t="n">
        <f aca="false">SUMIFS(Detail!$K$2:$K$703,Detail!$C$2:$C$703,$A92)</f>
        <v>0</v>
      </c>
      <c r="F92" s="55" t="n">
        <f aca="false">SUMIFS(Detail!$F$2:$F$703,Detail!$C$2:$C$703,$A92)</f>
        <v>0</v>
      </c>
      <c r="G92" s="56" t="n">
        <f aca="false">SUMIFS(Detail!$M$2:$M$703,Detail!$C$2:$C$703,$A92)</f>
        <v>0</v>
      </c>
      <c r="H92" s="56" t="n">
        <f aca="false">SUMIFS(Detail!$E$2:$E$703,Detail!$C$2:$C$703,$A92)</f>
        <v>0</v>
      </c>
      <c r="I92" s="56" t="n">
        <f aca="false">SUMIFS(Detail!$H$2:$H$703,Detail!$C$2:$C$703,$A92)</f>
        <v>124.95</v>
      </c>
      <c r="J92" s="55" t="n">
        <f aca="false">SUMIFS(Detail!$L$2:$L$703,Detail!$C$2:$C$703,$A92)</f>
        <v>0</v>
      </c>
      <c r="K92" s="56" t="n">
        <f aca="false">SUMIFS(Detail!$N$2:$N$703,Detail!$C$2:$C$703,$A92)</f>
        <v>0</v>
      </c>
      <c r="L92" s="31" t="n">
        <f aca="false">IF(E92&gt;0,J92/E92,0)</f>
        <v>0</v>
      </c>
      <c r="M92" s="31" t="n">
        <f aca="false">IF(G92&gt;0,K92/G92,0)</f>
        <v>0</v>
      </c>
      <c r="N92" s="57" t="n">
        <f aca="false">H92/Settings!$B$17</f>
        <v>0</v>
      </c>
      <c r="O92" s="58" t="n">
        <f aca="false">H92/Settings!$B$15</f>
        <v>0</v>
      </c>
      <c r="P92" s="59" t="n">
        <f aca="false">E92*Settings!$B$3</f>
        <v>0</v>
      </c>
      <c r="Q92" s="59" t="n">
        <f aca="false">IF(E92&gt;0,(J92-P92)/SQRT(E92*Settings!$B$3*(1-Settings!$B$3)),0)</f>
        <v>0</v>
      </c>
      <c r="R92" s="31" t="n">
        <f aca="false">IF(E92&gt;=Settings!$B$4,(J92+Settings!$B$7*Settings!$B$3)/(E92+Settings!$B$7),Settings!$B$3)</f>
        <v>0.0664935064935065</v>
      </c>
      <c r="S92" s="60" t="n">
        <f aca="false">PERCENTRANK($H$2:$H$95,H92,6)</f>
        <v>0</v>
      </c>
      <c r="T92" s="60" t="n">
        <f aca="false">PERCENTRANK($R$2:$R$95,R92,6)</f>
        <v>0.129032</v>
      </c>
      <c r="U92" s="60" t="n">
        <f aca="false">PERCENTRANK($F$2:$F$95,F92,6)</f>
        <v>0</v>
      </c>
      <c r="V92" s="61" t="n">
        <f aca="false">IF(F92&gt;0,ROUND((Settings!$B$8*U92+Settings!$B$9*S92+Settings!$B$10*T92)/SUM(Settings!$B$8:$B$10),10),0)</f>
        <v>0</v>
      </c>
      <c r="W92" s="53" t="str">
        <f aca="false">IF(V92&gt;0,RANK(V92,$V$2:$V$95)+COUNTIF($V$2:V92,V92)-1,"")</f>
        <v/>
      </c>
      <c r="X92" s="53" t="str">
        <f aca="false">IF(W92="","",IF(W92&lt;=Settings!$B$11,"1 - Fix first",IF(W92&lt;=Settings!$B$12,"2 - Review","3 - Monitor")))</f>
        <v/>
      </c>
      <c r="Y92" s="53" t="str">
        <f aca="false">IF(AND(E92&gt;=Settings!$B$4,J92&gt;=Settings!$B$5,Q92&gt;=Settings!$B$6),"HIGH RATE","")</f>
        <v/>
      </c>
      <c r="Z92" s="53" t="str">
        <f aca="false">IF(F92&gt;0,RANK(F92,$F$2:$F$95)+COUNTIF($F$2:F92,F92)-1,"")</f>
        <v/>
      </c>
      <c r="AA92" s="53" t="str">
        <f aca="false">IF(H92&gt;0,RANK(H92,$H$2:$H$95)+COUNTIF($H$2:H92,H92)-1,"")</f>
        <v/>
      </c>
      <c r="AB92" s="53" t="str">
        <f aca="false">IF(AD92="","",RANK(AD92,$AD$2:$AD$95)+COUNTIF($AD$2:AD92,AD92)-1)</f>
        <v/>
      </c>
      <c r="AC92" s="53" t="str">
        <f aca="false">IF(AE92="","",RANK(AE92,$AE$2:$AE$95)+COUNTIF($AE$2:AE92,AE92)-1)</f>
        <v/>
      </c>
      <c r="AD92" s="53" t="str">
        <f aca="false">IF(AND(J92&gt;0,E92&gt;=Settings!$B$4),ROUND(L92,10),"")</f>
        <v/>
      </c>
      <c r="AE92" s="53" t="str">
        <f aca="false">IF(AND(J92&gt;=Settings!$B$5,E92&gt;=Settings!$B$4),ROUND(Q92,10),"")</f>
        <v/>
      </c>
      <c r="AF92" s="62" t="n">
        <f aca="false">L92/Settings!$B$14</f>
        <v>0</v>
      </c>
    </row>
    <row r="93" customFormat="false" ht="15" hidden="false" customHeight="false" outlineLevel="0" collapsed="false">
      <c r="A93" s="53" t="s">
        <v>377</v>
      </c>
      <c r="B93" s="53" t="s">
        <v>459</v>
      </c>
      <c r="C93" s="53" t="s">
        <v>66</v>
      </c>
      <c r="D93" s="53" t="s">
        <v>89</v>
      </c>
      <c r="E93" s="55" t="n">
        <f aca="false">SUMIFS(Detail!$K$2:$K$703,Detail!$C$2:$C$703,$A93)</f>
        <v>1</v>
      </c>
      <c r="F93" s="55" t="n">
        <f aca="false">SUMIFS(Detail!$F$2:$F$703,Detail!$C$2:$C$703,$A93)</f>
        <v>0</v>
      </c>
      <c r="G93" s="56" t="n">
        <f aca="false">SUMIFS(Detail!$M$2:$M$703,Detail!$C$2:$C$703,$A93)</f>
        <v>128.27</v>
      </c>
      <c r="H93" s="56" t="n">
        <f aca="false">SUMIFS(Detail!$E$2:$E$703,Detail!$C$2:$C$703,$A93)</f>
        <v>0</v>
      </c>
      <c r="I93" s="56" t="n">
        <f aca="false">SUMIFS(Detail!$H$2:$H$703,Detail!$C$2:$C$703,$A93)</f>
        <v>4233.268</v>
      </c>
      <c r="J93" s="55" t="n">
        <f aca="false">SUMIFS(Detail!$L$2:$L$703,Detail!$C$2:$C$703,$A93)</f>
        <v>0</v>
      </c>
      <c r="K93" s="56" t="n">
        <f aca="false">SUMIFS(Detail!$N$2:$N$703,Detail!$C$2:$C$703,$A93)</f>
        <v>0</v>
      </c>
      <c r="L93" s="31" t="n">
        <f aca="false">IF(E93&gt;0,J93/E93,0)</f>
        <v>0</v>
      </c>
      <c r="M93" s="31" t="n">
        <f aca="false">IF(G93&gt;0,K93/G93,0)</f>
        <v>0</v>
      </c>
      <c r="N93" s="57" t="n">
        <f aca="false">H93/Settings!$B$17</f>
        <v>0</v>
      </c>
      <c r="O93" s="58" t="n">
        <f aca="false">H93/Settings!$B$15</f>
        <v>0</v>
      </c>
      <c r="P93" s="59" t="n">
        <f aca="false">E93*Settings!$B$3</f>
        <v>0.0664935064935065</v>
      </c>
      <c r="Q93" s="59" t="n">
        <f aca="false">IF(E93&gt;0,(J93-P93)/SQRT(E93*Settings!$B$3*(1-Settings!$B$3)),0)</f>
        <v>-0.266889167053033</v>
      </c>
      <c r="R93" s="31" t="n">
        <f aca="false">IF(E93&gt;=Settings!$B$4,(J93+Settings!$B$7*Settings!$B$3)/(E93+Settings!$B$7),Settings!$B$3)</f>
        <v>0.0664935064935065</v>
      </c>
      <c r="S93" s="60" t="n">
        <f aca="false">PERCENTRANK($H$2:$H$95,H93,6)</f>
        <v>0</v>
      </c>
      <c r="T93" s="60" t="n">
        <f aca="false">PERCENTRANK($R$2:$R$95,R93,6)</f>
        <v>0.129032</v>
      </c>
      <c r="U93" s="60" t="n">
        <f aca="false">PERCENTRANK($F$2:$F$95,F93,6)</f>
        <v>0</v>
      </c>
      <c r="V93" s="61" t="n">
        <f aca="false">IF(F93&gt;0,ROUND((Settings!$B$8*U93+Settings!$B$9*S93+Settings!$B$10*T93)/SUM(Settings!$B$8:$B$10),10),0)</f>
        <v>0</v>
      </c>
      <c r="W93" s="53" t="str">
        <f aca="false">IF(V93&gt;0,RANK(V93,$V$2:$V$95)+COUNTIF($V$2:V93,V93)-1,"")</f>
        <v/>
      </c>
      <c r="X93" s="53" t="str">
        <f aca="false">IF(W93="","",IF(W93&lt;=Settings!$B$11,"1 - Fix first",IF(W93&lt;=Settings!$B$12,"2 - Review","3 - Monitor")))</f>
        <v/>
      </c>
      <c r="Y93" s="53" t="str">
        <f aca="false">IF(AND(E93&gt;=Settings!$B$4,J93&gt;=Settings!$B$5,Q93&gt;=Settings!$B$6),"HIGH RATE","")</f>
        <v/>
      </c>
      <c r="Z93" s="53" t="str">
        <f aca="false">IF(F93&gt;0,RANK(F93,$F$2:$F$95)+COUNTIF($F$2:F93,F93)-1,"")</f>
        <v/>
      </c>
      <c r="AA93" s="53" t="str">
        <f aca="false">IF(H93&gt;0,RANK(H93,$H$2:$H$95)+COUNTIF($H$2:H93,H93)-1,"")</f>
        <v/>
      </c>
      <c r="AB93" s="53" t="str">
        <f aca="false">IF(AD93="","",RANK(AD93,$AD$2:$AD$95)+COUNTIF($AD$2:AD93,AD93)-1)</f>
        <v/>
      </c>
      <c r="AC93" s="53" t="str">
        <f aca="false">IF(AE93="","",RANK(AE93,$AE$2:$AE$95)+COUNTIF($AE$2:AE93,AE93)-1)</f>
        <v/>
      </c>
      <c r="AD93" s="53" t="str">
        <f aca="false">IF(AND(J93&gt;0,E93&gt;=Settings!$B$4),ROUND(L93,10),"")</f>
        <v/>
      </c>
      <c r="AE93" s="53" t="str">
        <f aca="false">IF(AND(J93&gt;=Settings!$B$5,E93&gt;=Settings!$B$4),ROUND(Q93,10),"")</f>
        <v/>
      </c>
      <c r="AF93" s="62" t="n">
        <f aca="false">L93/Settings!$B$14</f>
        <v>0</v>
      </c>
    </row>
    <row r="94" customFormat="false" ht="15" hidden="false" customHeight="false" outlineLevel="0" collapsed="false">
      <c r="A94" s="53" t="s">
        <v>374</v>
      </c>
      <c r="B94" s="53" t="s">
        <v>460</v>
      </c>
      <c r="C94" s="53" t="s">
        <v>66</v>
      </c>
      <c r="D94" s="53" t="s">
        <v>89</v>
      </c>
      <c r="E94" s="55" t="n">
        <f aca="false">SUMIFS(Detail!$K$2:$K$703,Detail!$C$2:$C$703,$A94)</f>
        <v>9</v>
      </c>
      <c r="F94" s="55" t="n">
        <f aca="false">SUMIFS(Detail!$F$2:$F$703,Detail!$C$2:$C$703,$A94)</f>
        <v>0</v>
      </c>
      <c r="G94" s="56" t="n">
        <f aca="false">SUMIFS(Detail!$M$2:$M$703,Detail!$C$2:$C$703,$A94)</f>
        <v>973.18</v>
      </c>
      <c r="H94" s="56" t="n">
        <f aca="false">SUMIFS(Detail!$E$2:$E$703,Detail!$C$2:$C$703,$A94)</f>
        <v>0</v>
      </c>
      <c r="I94" s="56" t="n">
        <f aca="false">SUMIFS(Detail!$H$2:$H$703,Detail!$C$2:$C$703,$A94)</f>
        <v>16777.541</v>
      </c>
      <c r="J94" s="55" t="n">
        <f aca="false">SUMIFS(Detail!$L$2:$L$703,Detail!$C$2:$C$703,$A94)</f>
        <v>0</v>
      </c>
      <c r="K94" s="56" t="n">
        <f aca="false">SUMIFS(Detail!$N$2:$N$703,Detail!$C$2:$C$703,$A94)</f>
        <v>0</v>
      </c>
      <c r="L94" s="31" t="n">
        <f aca="false">IF(E94&gt;0,J94/E94,0)</f>
        <v>0</v>
      </c>
      <c r="M94" s="31" t="n">
        <f aca="false">IF(G94&gt;0,K94/G94,0)</f>
        <v>0</v>
      </c>
      <c r="N94" s="57" t="n">
        <f aca="false">H94/Settings!$B$17</f>
        <v>0</v>
      </c>
      <c r="O94" s="58" t="n">
        <f aca="false">H94/Settings!$B$15</f>
        <v>0</v>
      </c>
      <c r="P94" s="59" t="n">
        <f aca="false">E94*Settings!$B$3</f>
        <v>0.598441558441558</v>
      </c>
      <c r="Q94" s="59" t="n">
        <f aca="false">IF(E94&gt;0,(J94-P94)/SQRT(E94*Settings!$B$3*(1-Settings!$B$3)),0)</f>
        <v>-0.800667501159098</v>
      </c>
      <c r="R94" s="31" t="n">
        <f aca="false">IF(E94&gt;=Settings!$B$4,(J94+Settings!$B$7*Settings!$B$3)/(E94+Settings!$B$7),Settings!$B$3)</f>
        <v>0.0664935064935065</v>
      </c>
      <c r="S94" s="60" t="n">
        <f aca="false">PERCENTRANK($H$2:$H$95,H94,6)</f>
        <v>0</v>
      </c>
      <c r="T94" s="60" t="n">
        <f aca="false">PERCENTRANK($R$2:$R$95,R94,6)</f>
        <v>0.129032</v>
      </c>
      <c r="U94" s="60" t="n">
        <f aca="false">PERCENTRANK($F$2:$F$95,F94,6)</f>
        <v>0</v>
      </c>
      <c r="V94" s="61" t="n">
        <f aca="false">IF(F94&gt;0,ROUND((Settings!$B$8*U94+Settings!$B$9*S94+Settings!$B$10*T94)/SUM(Settings!$B$8:$B$10),10),0)</f>
        <v>0</v>
      </c>
      <c r="W94" s="53" t="str">
        <f aca="false">IF(V94&gt;0,RANK(V94,$V$2:$V$95)+COUNTIF($V$2:V94,V94)-1,"")</f>
        <v/>
      </c>
      <c r="X94" s="53" t="str">
        <f aca="false">IF(W94="","",IF(W94&lt;=Settings!$B$11,"1 - Fix first",IF(W94&lt;=Settings!$B$12,"2 - Review","3 - Monitor")))</f>
        <v/>
      </c>
      <c r="Y94" s="53" t="str">
        <f aca="false">IF(AND(E94&gt;=Settings!$B$4,J94&gt;=Settings!$B$5,Q94&gt;=Settings!$B$6),"HIGH RATE","")</f>
        <v/>
      </c>
      <c r="Z94" s="53" t="str">
        <f aca="false">IF(F94&gt;0,RANK(F94,$F$2:$F$95)+COUNTIF($F$2:F94,F94)-1,"")</f>
        <v/>
      </c>
      <c r="AA94" s="53" t="str">
        <f aca="false">IF(H94&gt;0,RANK(H94,$H$2:$H$95)+COUNTIF($H$2:H94,H94)-1,"")</f>
        <v/>
      </c>
      <c r="AB94" s="53" t="str">
        <f aca="false">IF(AD94="","",RANK(AD94,$AD$2:$AD$95)+COUNTIF($AD$2:AD94,AD94)-1)</f>
        <v/>
      </c>
      <c r="AC94" s="53" t="str">
        <f aca="false">IF(AE94="","",RANK(AE94,$AE$2:$AE$95)+COUNTIF($AE$2:AE94,AE94)-1)</f>
        <v/>
      </c>
      <c r="AD94" s="53" t="str">
        <f aca="false">IF(AND(J94&gt;0,E94&gt;=Settings!$B$4),ROUND(L94,10),"")</f>
        <v/>
      </c>
      <c r="AE94" s="53" t="str">
        <f aca="false">IF(AND(J94&gt;=Settings!$B$5,E94&gt;=Settings!$B$4),ROUND(Q94,10),"")</f>
        <v/>
      </c>
      <c r="AF94" s="62" t="n">
        <f aca="false">L94/Settings!$B$14</f>
        <v>0</v>
      </c>
    </row>
    <row r="95" customFormat="false" ht="15" hidden="false" customHeight="false" outlineLevel="0" collapsed="false">
      <c r="A95" s="53" t="s">
        <v>381</v>
      </c>
      <c r="B95" s="53" t="s">
        <v>461</v>
      </c>
      <c r="C95" s="53" t="s">
        <v>66</v>
      </c>
      <c r="D95" s="53" t="s">
        <v>89</v>
      </c>
      <c r="E95" s="55" t="n">
        <f aca="false">SUMIFS(Detail!$K$2:$K$703,Detail!$C$2:$C$703,$A95)</f>
        <v>5</v>
      </c>
      <c r="F95" s="55" t="n">
        <f aca="false">SUMIFS(Detail!$F$2:$F$703,Detail!$C$2:$C$703,$A95)</f>
        <v>0</v>
      </c>
      <c r="G95" s="56" t="n">
        <f aca="false">SUMIFS(Detail!$M$2:$M$703,Detail!$C$2:$C$703,$A95)</f>
        <v>838.34</v>
      </c>
      <c r="H95" s="56" t="n">
        <f aca="false">SUMIFS(Detail!$E$2:$E$703,Detail!$C$2:$C$703,$A95)</f>
        <v>0</v>
      </c>
      <c r="I95" s="56" t="n">
        <f aca="false">SUMIFS(Detail!$H$2:$H$703,Detail!$C$2:$C$703,$A95)</f>
        <v>4811.893</v>
      </c>
      <c r="J95" s="55" t="n">
        <f aca="false">SUMIFS(Detail!$L$2:$L$703,Detail!$C$2:$C$703,$A95)</f>
        <v>0</v>
      </c>
      <c r="K95" s="56" t="n">
        <f aca="false">SUMIFS(Detail!$N$2:$N$703,Detail!$C$2:$C$703,$A95)</f>
        <v>0</v>
      </c>
      <c r="L95" s="31" t="n">
        <f aca="false">IF(E95&gt;0,J95/E95,0)</f>
        <v>0</v>
      </c>
      <c r="M95" s="31" t="n">
        <f aca="false">IF(G95&gt;0,K95/G95,0)</f>
        <v>0</v>
      </c>
      <c r="N95" s="57" t="n">
        <f aca="false">H95/Settings!$B$17</f>
        <v>0</v>
      </c>
      <c r="O95" s="58" t="n">
        <f aca="false">H95/Settings!$B$15</f>
        <v>0</v>
      </c>
      <c r="P95" s="59" t="n">
        <f aca="false">E95*Settings!$B$3</f>
        <v>0.332467532467532</v>
      </c>
      <c r="Q95" s="59" t="n">
        <f aca="false">IF(E95&gt;0,(J95-P95)/SQRT(E95*Settings!$B$3*(1-Settings!$B$3)),0)</f>
        <v>-0.596782319988878</v>
      </c>
      <c r="R95" s="31" t="n">
        <f aca="false">IF(E95&gt;=Settings!$B$4,(J95+Settings!$B$7*Settings!$B$3)/(E95+Settings!$B$7),Settings!$B$3)</f>
        <v>0.0664935064935065</v>
      </c>
      <c r="S95" s="60" t="n">
        <f aca="false">PERCENTRANK($H$2:$H$95,H95,6)</f>
        <v>0</v>
      </c>
      <c r="T95" s="60" t="n">
        <f aca="false">PERCENTRANK($R$2:$R$95,R95,6)</f>
        <v>0.129032</v>
      </c>
      <c r="U95" s="60" t="n">
        <f aca="false">PERCENTRANK($F$2:$F$95,F95,6)</f>
        <v>0</v>
      </c>
      <c r="V95" s="61" t="n">
        <f aca="false">IF(F95&gt;0,ROUND((Settings!$B$8*U95+Settings!$B$9*S95+Settings!$B$10*T95)/SUM(Settings!$B$8:$B$10),10),0)</f>
        <v>0</v>
      </c>
      <c r="W95" s="53" t="str">
        <f aca="false">IF(V95&gt;0,RANK(V95,$V$2:$V$95)+COUNTIF($V$2:V95,V95)-1,"")</f>
        <v/>
      </c>
      <c r="X95" s="53" t="str">
        <f aca="false">IF(W95="","",IF(W95&lt;=Settings!$B$11,"1 - Fix first",IF(W95&lt;=Settings!$B$12,"2 - Review","3 - Monitor")))</f>
        <v/>
      </c>
      <c r="Y95" s="53" t="str">
        <f aca="false">IF(AND(E95&gt;=Settings!$B$4,J95&gt;=Settings!$B$5,Q95&gt;=Settings!$B$6),"HIGH RATE","")</f>
        <v/>
      </c>
      <c r="Z95" s="53" t="str">
        <f aca="false">IF(F95&gt;0,RANK(F95,$F$2:$F$95)+COUNTIF($F$2:F95,F95)-1,"")</f>
        <v/>
      </c>
      <c r="AA95" s="53" t="str">
        <f aca="false">IF(H95&gt;0,RANK(H95,$H$2:$H$95)+COUNTIF($H$2:H95,H95)-1,"")</f>
        <v/>
      </c>
      <c r="AB95" s="53" t="str">
        <f aca="false">IF(AD95="","",RANK(AD95,$AD$2:$AD$95)+COUNTIF($AD$2:AD95,AD95)-1)</f>
        <v/>
      </c>
      <c r="AC95" s="53" t="str">
        <f aca="false">IF(AE95="","",RANK(AE95,$AE$2:$AE$95)+COUNTIF($AE$2:AE95,AE95)-1)</f>
        <v/>
      </c>
      <c r="AD95" s="53" t="str">
        <f aca="false">IF(AND(J95&gt;0,E95&gt;=Settings!$B$4),ROUND(L95,10),"")</f>
        <v/>
      </c>
      <c r="AE95" s="53" t="str">
        <f aca="false">IF(AND(J95&gt;=Settings!$B$5,E95&gt;=Settings!$B$4),ROUND(Q95,10),"")</f>
        <v/>
      </c>
      <c r="AF95" s="62" t="n">
        <f aca="false">L95/Settings!$B$14</f>
        <v>0</v>
      </c>
    </row>
  </sheetData>
  <autoFilter ref="A1:AF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2026-10-09T20:19:48Z</dcterms:created>
  <dc:creator>openpyxl</dc:creator>
  <dc:description/>
  <dc:language>en-US</dc:language>
  <cp:lastModifiedBy/>
  <dcterms:modified xsi:type="dcterms:W3CDTF">2026-10-09T20:19:54Z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