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log" sheetId="1" state="visible" r:id="rId1"/>
    <sheet xmlns:r="http://schemas.openxmlformats.org/officeDocument/2006/relationships" name="Summary" sheetId="2" state="visible" r:id="rId2"/>
    <sheet xmlns:r="http://schemas.openxmlformats.org/officeDocument/2006/relationships" name="Products" sheetId="3" state="visible" r:id="rId3"/>
    <sheet xmlns:r="http://schemas.openxmlformats.org/officeDocument/2006/relationships" name="Sales ranking notes" sheetId="4" state="visible" r:id="rId4"/>
  </sheets>
  <definedNames>
    <definedName name="_xlnm._FilterDatabase" localSheetId="0" hidden="1">'log'!$A$4:$K$989</definedName>
    <definedName name="_xlnm._FilterDatabase" localSheetId="2" hidden="1">'Products'!$A$1:$Z$345</definedName>
  </definedNames>
  <calcPr calcId="124519" fullCalcOnLoad="1" refMode="A1" iterate="0" iterateCount="100" iterateDelta="0.0001"/>
</workbook>
</file>

<file path=xl/styles.xml><?xml version="1.0" encoding="utf-8"?>
<styleSheet xmlns="http://schemas.openxmlformats.org/spreadsheetml/2006/main">
  <numFmts count="1">
    <numFmt numFmtId="164" formatCode="$#,##0"/>
  </numFmts>
  <fonts count="10">
    <font>
      <name val="Calibri"/>
      <charset val="1"/>
      <family val="2"/>
      <color theme="1"/>
      <sz val="11"/>
    </font>
    <font>
      <name val="Arial"/>
      <family val="0"/>
      <sz val="10"/>
    </font>
    <font>
      <name val="Arial"/>
      <family val="0"/>
      <sz val="10"/>
    </font>
    <font>
      <name val="Arial"/>
      <family val="0"/>
      <sz val="10"/>
    </font>
    <font>
      <name val="Arial"/>
      <charset val="1"/>
      <family val="0"/>
      <b val="1"/>
      <sz val="12"/>
    </font>
    <font>
      <name val="Arial"/>
      <charset val="1"/>
      <family val="0"/>
      <sz val="9"/>
    </font>
    <font>
      <name val="Arial"/>
      <charset val="1"/>
      <family val="0"/>
      <b val="1"/>
      <color rgb="FFFFFFFF"/>
      <sz val="10"/>
    </font>
    <font>
      <name val="Arial"/>
      <charset val="1"/>
      <family val="0"/>
      <b val="1"/>
      <sz val="9"/>
    </font>
    <font>
      <name val="Arial"/>
      <b val="1"/>
    </font>
    <font>
      <b val="1"/>
    </font>
  </fonts>
  <fills count="12">
    <fill>
      <patternFill/>
    </fill>
    <fill>
      <patternFill patternType="gray125"/>
    </fill>
    <fill>
      <patternFill patternType="solid">
        <fgColor rgb="FF1F4E78"/>
        <bgColor rgb="FF003366"/>
      </patternFill>
    </fill>
    <fill>
      <patternFill patternType="solid">
        <fgColor rgb="FFFFF2CC"/>
        <bgColor rgb="FFFCE4D6"/>
      </patternFill>
    </fill>
    <fill>
      <patternFill patternType="solid">
        <fgColor rgb="FFC6E0B4"/>
        <bgColor rgb="FFE4DFEC"/>
      </patternFill>
    </fill>
    <fill>
      <patternFill patternType="solid">
        <fgColor rgb="FFFFE699"/>
        <bgColor rgb="FFFFF2CC"/>
      </patternFill>
    </fill>
    <fill>
      <patternFill patternType="solid">
        <fgColor rgb="FFFCE4D6"/>
        <bgColor rgb="FFFFF2CC"/>
      </patternFill>
    </fill>
    <fill>
      <patternFill patternType="solid">
        <fgColor rgb="FFDDEBF7"/>
        <bgColor rgb="FFEDEDED"/>
      </patternFill>
    </fill>
    <fill>
      <patternFill patternType="solid">
        <fgColor rgb="FFE4DFEC"/>
        <bgColor rgb="FFDDEBF7"/>
      </patternFill>
    </fill>
    <fill>
      <patternFill patternType="solid">
        <fgColor rgb="FFF8CBAD"/>
        <bgColor rgb="FFFFE699"/>
      </patternFill>
    </fill>
    <fill>
      <patternFill patternType="solid">
        <fgColor rgb="FFEDEDED"/>
        <bgColor rgb="FFDDEBF7"/>
      </patternFill>
    </fill>
    <fill>
      <patternFill patternType="solid">
        <fgColor rgb="00FFF2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50">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top" wrapText="1"/>
    </xf>
    <xf numFmtId="0" fontId="6" fillId="2" borderId="1" applyAlignment="1" pivotButton="0" quotePrefix="0" xfId="0">
      <alignment horizontal="general" vertical="center" wrapText="1"/>
    </xf>
    <xf numFmtId="0" fontId="5" fillId="3" borderId="1" applyAlignment="1" pivotButton="0" quotePrefix="0" xfId="0">
      <alignment horizontal="general" vertical="top" wrapText="1"/>
    </xf>
    <xf numFmtId="0" fontId="5" fillId="4" borderId="1" applyAlignment="1" pivotButton="0" quotePrefix="0" xfId="0">
      <alignment horizontal="general" vertical="top" wrapText="1"/>
    </xf>
    <xf numFmtId="0" fontId="5" fillId="0" borderId="1" applyAlignment="1" pivotButton="0" quotePrefix="0" xfId="0">
      <alignment horizontal="general" vertical="top" wrapText="1"/>
    </xf>
    <xf numFmtId="0" fontId="5" fillId="5" borderId="1" applyAlignment="1" pivotButton="0" quotePrefix="0" xfId="0">
      <alignment horizontal="general" vertical="top" wrapText="1"/>
    </xf>
    <xf numFmtId="0" fontId="5" fillId="6" borderId="1" applyAlignment="1" pivotButton="0" quotePrefix="0" xfId="0">
      <alignment horizontal="general" vertical="top" wrapText="1"/>
    </xf>
    <xf numFmtId="0" fontId="5" fillId="7" borderId="1" applyAlignment="1" pivotButton="0" quotePrefix="0" xfId="0">
      <alignment horizontal="general" vertical="top" wrapText="1"/>
    </xf>
    <xf numFmtId="0" fontId="5" fillId="8" borderId="1" applyAlignment="1" pivotButton="0" quotePrefix="0" xfId="0">
      <alignment horizontal="general" vertical="top" wrapText="1"/>
    </xf>
    <xf numFmtId="0" fontId="7" fillId="0" borderId="0" applyAlignment="1" pivotButton="0" quotePrefix="0" xfId="0">
      <alignment horizontal="general" vertical="top" wrapText="1"/>
    </xf>
    <xf numFmtId="0" fontId="7" fillId="7" borderId="0" applyAlignment="1" pivotButton="0" quotePrefix="0" xfId="0">
      <alignment horizontal="general" vertical="top" wrapText="1"/>
    </xf>
    <xf numFmtId="0" fontId="7" fillId="3" borderId="0" applyAlignment="1" pivotButton="0" quotePrefix="0" xfId="0">
      <alignment horizontal="general" vertical="top" wrapText="1"/>
    </xf>
    <xf numFmtId="0" fontId="7" fillId="4" borderId="0" applyAlignment="1" pivotButton="0" quotePrefix="0" xfId="0">
      <alignment horizontal="general" vertical="top" wrapText="1"/>
    </xf>
    <xf numFmtId="0" fontId="5" fillId="0" borderId="0" applyAlignment="1" pivotButton="0" quotePrefix="0" xfId="0">
      <alignment horizontal="general" vertical="top" wrapText="1"/>
    </xf>
    <xf numFmtId="0" fontId="5" fillId="0" borderId="0" applyAlignment="1" pivotButton="0" quotePrefix="0" xfId="0">
      <alignment horizontal="general" vertical="bottom"/>
    </xf>
    <xf numFmtId="0" fontId="5" fillId="3" borderId="0" applyAlignment="1" pivotButton="0" quotePrefix="0" xfId="0">
      <alignment horizontal="general" vertical="top" wrapText="1"/>
    </xf>
    <xf numFmtId="0" fontId="5" fillId="4" borderId="0" applyAlignment="1" pivotButton="0" quotePrefix="0" xfId="0">
      <alignment horizontal="general" vertical="top" wrapText="1"/>
    </xf>
    <xf numFmtId="0" fontId="7" fillId="4" borderId="1" applyAlignment="1" pivotButton="0" quotePrefix="0" xfId="0">
      <alignment horizontal="general" vertical="top" wrapText="1"/>
    </xf>
    <xf numFmtId="0" fontId="7" fillId="5" borderId="1" applyAlignment="1" pivotButton="0" quotePrefix="0" xfId="0">
      <alignment horizontal="general" vertical="top" wrapText="1"/>
    </xf>
    <xf numFmtId="0" fontId="5" fillId="9" borderId="1" applyAlignment="1" pivotButton="0" quotePrefix="0" xfId="0">
      <alignment horizontal="general" vertical="top" wrapText="1"/>
    </xf>
    <xf numFmtId="0" fontId="5" fillId="10"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top" wrapText="1"/>
    </xf>
    <xf numFmtId="0" fontId="6" fillId="2" borderId="1" applyAlignment="1" pivotButton="0" quotePrefix="0" xfId="0">
      <alignment horizontal="general" vertical="center" wrapText="1"/>
    </xf>
    <xf numFmtId="0" fontId="5" fillId="3" borderId="1" applyAlignment="1" pivotButton="0" quotePrefix="0" xfId="0">
      <alignment horizontal="general" vertical="top" wrapText="1"/>
    </xf>
    <xf numFmtId="0" fontId="5" fillId="4" borderId="1" applyAlignment="1" pivotButton="0" quotePrefix="0" xfId="0">
      <alignment horizontal="general" vertical="top" wrapText="1"/>
    </xf>
    <xf numFmtId="0" fontId="5" fillId="0" borderId="1" applyAlignment="1" pivotButton="0" quotePrefix="0" xfId="0">
      <alignment horizontal="general" vertical="top" wrapText="1"/>
    </xf>
    <xf numFmtId="0" fontId="5" fillId="5" borderId="1" applyAlignment="1" pivotButton="0" quotePrefix="0" xfId="0">
      <alignment horizontal="general" vertical="top" wrapText="1"/>
    </xf>
    <xf numFmtId="0" fontId="5" fillId="6" borderId="1" applyAlignment="1" pivotButton="0" quotePrefix="0" xfId="0">
      <alignment horizontal="general" vertical="top" wrapText="1"/>
    </xf>
    <xf numFmtId="0" fontId="5" fillId="7" borderId="1" applyAlignment="1" pivotButton="0" quotePrefix="0" xfId="0">
      <alignment horizontal="general" vertical="top" wrapText="1"/>
    </xf>
    <xf numFmtId="0" fontId="5" fillId="8" borderId="1" applyAlignment="1" pivotButton="0" quotePrefix="0" xfId="0">
      <alignment horizontal="general" vertical="top" wrapText="1"/>
    </xf>
    <xf numFmtId="0" fontId="7" fillId="0" borderId="0" applyAlignment="1" pivotButton="0" quotePrefix="0" xfId="0">
      <alignment horizontal="general" vertical="top" wrapText="1"/>
    </xf>
    <xf numFmtId="0" fontId="7" fillId="7" borderId="0" applyAlignment="1" pivotButton="0" quotePrefix="0" xfId="0">
      <alignment horizontal="general" vertical="top" wrapText="1"/>
    </xf>
    <xf numFmtId="0" fontId="7" fillId="3" borderId="0" applyAlignment="1" pivotButton="0" quotePrefix="0" xfId="0">
      <alignment horizontal="general" vertical="top" wrapText="1"/>
    </xf>
    <xf numFmtId="0" fontId="7" fillId="4" borderId="0" applyAlignment="1" pivotButton="0" quotePrefix="0" xfId="0">
      <alignment horizontal="general" vertical="top" wrapText="1"/>
    </xf>
    <xf numFmtId="0" fontId="5" fillId="0" borderId="0" applyAlignment="1" pivotButton="0" quotePrefix="0" xfId="0">
      <alignment horizontal="general" vertical="bottom"/>
    </xf>
    <xf numFmtId="0" fontId="5" fillId="3" borderId="0" applyAlignment="1" pivotButton="0" quotePrefix="0" xfId="0">
      <alignment horizontal="general" vertical="top" wrapText="1"/>
    </xf>
    <xf numFmtId="0" fontId="5" fillId="4" borderId="0" applyAlignment="1" pivotButton="0" quotePrefix="0" xfId="0">
      <alignment horizontal="general" vertical="top" wrapText="1"/>
    </xf>
    <xf numFmtId="0" fontId="8" fillId="11" borderId="0" applyAlignment="1" pivotButton="0" quotePrefix="0" xfId="0">
      <alignment vertical="top" wrapText="1"/>
    </xf>
    <xf numFmtId="0" fontId="7" fillId="4" borderId="1" applyAlignment="1" pivotButton="0" quotePrefix="0" xfId="0">
      <alignment horizontal="general" vertical="top" wrapText="1"/>
    </xf>
    <xf numFmtId="164" fontId="0" fillId="0" borderId="0" pivotButton="0" quotePrefix="0" xfId="0"/>
    <xf numFmtId="10" fontId="0" fillId="0" borderId="0" pivotButton="0" quotePrefix="0" xfId="0"/>
    <xf numFmtId="0" fontId="7" fillId="5" borderId="1" applyAlignment="1" pivotButton="0" quotePrefix="0" xfId="0">
      <alignment horizontal="general" vertical="top" wrapText="1"/>
    </xf>
    <xf numFmtId="0" fontId="5" fillId="9" borderId="1" applyAlignment="1" pivotButton="0" quotePrefix="0" xfId="0">
      <alignment horizontal="general" vertical="top" wrapText="1"/>
    </xf>
    <xf numFmtId="0" fontId="5" fillId="10" borderId="1" applyAlignment="1" pivotButton="0" quotePrefix="0" xfId="0">
      <alignment horizontal="general" vertical="top" wrapText="1"/>
    </xf>
    <xf numFmtId="0" fontId="9" fillId="0"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1">
    <dxf>
      <fill>
        <patternFill patternType="solid">
          <fgColor rgb="FF1F4E78"/>
          <bgColor rgb="FF000000"/>
        </patternFill>
      </fill>
    </dxf>
    <dxf>
      <fill>
        <patternFill patternType="solid">
          <fgColor rgb="FFFFF2CC"/>
          <bgColor rgb="FF000000"/>
        </patternFill>
      </fill>
    </dxf>
    <dxf>
      <fill>
        <patternFill patternType="solid">
          <fgColor rgb="FFFFFFFF"/>
          <bgColor rgb="FF000000"/>
        </patternFill>
      </fill>
    </dxf>
    <dxf>
      <fill>
        <patternFill patternType="solid">
          <bgColor rgb="FF000000"/>
        </patternFill>
      </fill>
    </dxf>
    <dxf>
      <fill>
        <patternFill patternType="solid">
          <fgColor rgb="FFC6E0B4"/>
          <bgColor rgb="FF000000"/>
        </patternFill>
      </fill>
    </dxf>
    <dxf>
      <fill>
        <patternFill patternType="solid">
          <fgColor rgb="FFFFE699"/>
          <bgColor rgb="FF000000"/>
        </patternFill>
      </fill>
    </dxf>
    <dxf>
      <fill>
        <patternFill patternType="solid">
          <fgColor rgb="FFDDEBF7"/>
          <bgColor rgb="FF000000"/>
        </patternFill>
      </fill>
    </dxf>
    <dxf>
      <fill>
        <patternFill patternType="solid">
          <fgColor rgb="FFE4DFEC"/>
          <bgColor rgb="FF000000"/>
        </patternFill>
      </fill>
    </dxf>
    <dxf>
      <fill>
        <patternFill patternType="solid">
          <fgColor rgb="FFFCE4D6"/>
          <bgColor rgb="FF000000"/>
        </patternFill>
      </fill>
    </dxf>
    <dxf>
      <fill>
        <patternFill patternType="solid">
          <fgColor rgb="FFEDEDED"/>
          <bgColor rgb="FF000000"/>
        </patternFill>
      </fill>
    </dxf>
    <dxf>
      <fill>
        <patternFill patternType="solid">
          <fgColor rgb="FFF8CBA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E4DFEC"/>
      <rgbColor rgb="FF000080"/>
      <rgbColor rgb="FFFF00FF"/>
      <rgbColor rgb="FFFFFF00"/>
      <rgbColor rgb="FF00FFFF"/>
      <rgbColor rgb="FF800080"/>
      <rgbColor rgb="FF800000"/>
      <rgbColor rgb="FF008080"/>
      <rgbColor rgb="FF0000FF"/>
      <rgbColor rgb="FF00CCFF"/>
      <rgbColor rgb="FFEDEDED"/>
      <rgbColor rgb="FFC6E0B4"/>
      <rgbColor rgb="FFFFE699"/>
      <rgbColor rgb="FF99CCFF"/>
      <rgbColor rgb="FFFCE4D6"/>
      <rgbColor rgb="FFCC99FF"/>
      <rgbColor rgb="FFF8CBAD"/>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K989"/>
  <sheetViews>
    <sheetView showFormulas="0" showGridLines="1" showRowColHeaders="1" showZeros="1" rightToLeft="0" tabSelected="1" showOutlineSymbols="1" defaultGridColor="1" view="normal" topLeftCell="A5" colorId="64" zoomScale="100" zoomScaleNormal="100" zoomScalePageLayoutView="100" workbookViewId="0">
      <selection pane="topLeft" activeCell="A1" activeCellId="0" sqref="A1"/>
    </sheetView>
  </sheetViews>
  <sheetFormatPr baseColWidth="8" defaultColWidth="8.6796875" defaultRowHeight="15" zeroHeight="0" outlineLevelRow="0"/>
  <cols>
    <col width="34" customWidth="1" style="23" min="1" max="1"/>
    <col width="60" customWidth="1" style="23" min="2" max="2"/>
    <col width="14" customWidth="1" style="23" min="3" max="3"/>
    <col width="28" customWidth="1" style="23" min="4" max="4"/>
    <col width="13" customWidth="1" style="23" min="5" max="5"/>
    <col width="34" customWidth="1" style="23" min="6" max="6"/>
    <col width="32" customWidth="1" style="23" min="7" max="7"/>
    <col width="34" customWidth="1" style="23" min="8" max="8"/>
    <col width="70" customWidth="1" style="23" min="9" max="9"/>
    <col width="24" customWidth="1" style="23" min="10" max="10"/>
    <col width="20" customWidth="1" style="23" min="11" max="11"/>
  </cols>
  <sheetData>
    <row r="1" ht="15" customHeight="1" s="24">
      <c r="A1" s="25" t="inlineStr">
        <is>
          <t>log</t>
        </is>
      </c>
    </row>
    <row r="2" ht="399.75" customHeight="1" s="24">
      <c r="A2" s="26" t="inlineStr">
        <is>
          <t>Done. I read your comments in the log and Summary tabs and applied them. Your comments stay in the file; my answers are in the new columns (log: "My response"; Summary: columns G and H).
What I produced
- 5 Joomla import files, exact export format (checked by a round trip), only the products to update, nothing overlaps: 1 mason jar (MJ11-57, MJ102-53, AUMJ100-05, MJ100-17), 2 greenery (MJ100-07, DC-02A, DC112-01A), 3 colours (AU1211-04, AU1111-04, AU219-40), 4 title count (AU11-30), 5 containers and fruit (FBAU61-66, FBAU76-60).
- AU-Recipe-Fixes-v1-control.xlsx: the Flag Jarrod lists, Before-After (1 row per SKU, red BEFORE and green AFTER per variant, plus added / removed / changed and Ingredient Price before and after) and Final recipes (all 36 Designer Collection products and every fixed SKU).
- This workbook (v10): comments kept and answered, the lists as classes (Flag Jarrod x6, Wine products 18+, Title vs recipe linguistic, Labels removed), an Origin column in colour, and Bunches and Stems lines rewritten to be more inspiring.
- AUS master MD v7, both skills v9, the rules artifact republished and the Claude Doc "AU Pricing Rules" updated (nothing held, wine rule for every wine product, container / colour / greenery rules, Joomla upload rules, PV1-PV6, voice codes V1-V19).
Your questions
- FBAU76-60 fruit: I did not lower it. Live is 6/8/12/15, Jarrod's file is 8/10/12/15. My earlier "Alejandro lowered it to 8" was an assumption I could not verify and I withdraw it. File 5 restores Jarrod's 8 and 10 (upload only, because Jarrod's recipe is right).
- Containers: the issue is in Jarrod's file (Small Basket and Gift Basket Box on FBAU61-66 and FBAU76-60; also AU64-11, GBAU71-61, FBAU61-62, outside the five buckets, listed not fixed). I removed the Gift Basket Box in file 5; it looks like outer packaging, so confirm before uploading.
- Colours: Jarrod had not fixed them. Replacements are carried. In the AU-Cost master the swaps are the same price, but not in Joomla's own unit costs (Roses Red 1.20 vs Yellow, White, light pink 1.01): AU1211-04's Ingredient Price rises by 1.71 to 3.42 per size; AU1111-04 and AU219-40 do not change. AU199-07's green is its ruscus, so no fix. I could not check KEN or COL (the Product Master has no such column), only the Full Ingredient List.
- Greenery: caps do exist (A-C1 in the master file; the Doc said they were never given) and every addition is within them. MJ100-17 and MJ100-07 get 2 x Ruscus Israeli per size (rule G1 from another session today); DC-02A 2/3/3/4 and DC112-01A 2/2/3/3.
- Item 2 vs 1b: 1b is a recipe with no jar; item 2 is a recipe that already has the vase or jar and the text had to name it, so nothing to notify. New rule: add the Mason Jar, not a vase.
- Blooms vs stems: labels and rule deleted. Not on storefront: only AU11-14 is still N (the other three are live on 7 Oct). Wine: the 18+ notice now applies to all 64 live wine products (list in the log); legal wording first, brand adaptation only after legal agrees.
Another session published rules v6 (J1-J5 and G1) while I worked; I merged it into the master file and followed it (Ingredient Price from Joomla unit costs, branch rule, G1).
Needs your attention: AUMJ100-05 Petite is priced 39.95 but has no ingredient lines in Joomla, so I did not patch it (decision needed). AU11-30 now has Petite = Standard = 6.</t>
        </is>
      </c>
    </row>
    <row r="4" ht="15" customHeight="1" s="24">
      <c r="A4" s="27" t="inlineStr">
        <is>
          <t>Your comments</t>
        </is>
      </c>
      <c r="B4" s="27" t="inlineStr">
        <is>
          <t>My response</t>
        </is>
      </c>
      <c r="C4" s="27" t="inlineStr">
        <is>
          <t>SKU</t>
        </is>
      </c>
      <c r="D4" s="27" t="inlineStr">
        <is>
          <t>Product title</t>
        </is>
      </c>
      <c r="E4" s="27" t="inlineStr">
        <is>
          <t>Bucket</t>
        </is>
      </c>
      <c r="F4" s="27" t="inlineStr">
        <is>
          <t>Class</t>
        </is>
      </c>
      <c r="G4" s="27" t="inlineStr">
        <is>
          <t>Origin of the problem</t>
        </is>
      </c>
      <c r="H4" s="27" t="inlineStr">
        <is>
          <t>Issue type</t>
        </is>
      </c>
      <c r="I4" s="27" t="inlineStr">
        <is>
          <t>Detail</t>
        </is>
      </c>
      <c r="J4" s="27" t="inlineStr">
        <is>
          <t>Source</t>
        </is>
      </c>
      <c r="K4" s="27" t="inlineStr">
        <is>
          <t>Owner / notify</t>
        </is>
      </c>
    </row>
    <row r="5" ht="32.8" customHeight="1" s="24">
      <c r="A5" s="28" t="inlineStr">
        <is>
          <t xml:space="preserve">First apply what I mentioned in the summary and we will continue from there. </t>
        </is>
      </c>
      <c r="B5" s="29" t="inlineStr">
        <is>
          <t>Applied what you wrote in the Summary: jar added to every size that has a recipe in Joomla_import_1_mason_jar_v1. Petite is priced 39.95 but has no ingredient lines in live, so I did not touch it and flagged it.</t>
        </is>
      </c>
      <c r="C5" s="30" t="inlineStr">
        <is>
          <t>AUMJ100-05</t>
        </is>
      </c>
      <c r="D5" s="30" t="inlineStr">
        <is>
          <t>Gerbera Daisies in Mason Jar</t>
        </is>
      </c>
      <c r="E5" s="30" t="inlineStr">
        <is>
          <t>Mason Jar</t>
        </is>
      </c>
      <c r="F5" s="31" t="inlineStr">
        <is>
          <t>Flag Jarrod: mason jar</t>
        </is>
      </c>
      <c r="G5" s="32" t="inlineStr">
        <is>
          <t>Jarrod file (his Standard has no Mason Jar)</t>
        </is>
      </c>
      <c r="H5" s="30" t="inlineStr">
        <is>
          <t>Mason jar</t>
        </is>
      </c>
      <c r="I5" s="30" t="inlineStr">
        <is>
          <t>Added: - | Removed: - | Changed: - | 7.22→7.54 | 11.3→11.62 | 15.65→15.97</t>
        </is>
      </c>
      <c r="J5" s="30" t="inlineStr">
        <is>
          <t>Joomla_import_1_mason_jar_v1.xlsx</t>
        </is>
      </c>
      <c r="K5" s="30" t="inlineStr">
        <is>
          <t>Jarrod: list + upload (J4)</t>
        </is>
      </c>
    </row>
    <row r="6" ht="22.35" customHeight="1" s="24">
      <c r="A6" s="28" t="n"/>
      <c r="B6" s="30" t="n"/>
      <c r="C6" s="30" t="inlineStr">
        <is>
          <t>MJ100-17</t>
        </is>
      </c>
      <c r="D6" s="30" t="inlineStr">
        <is>
          <t>Thirty Blooms of Alstroemeria in Mason Jar</t>
        </is>
      </c>
      <c r="E6" s="30" t="inlineStr">
        <is>
          <t>Mason Jar</t>
        </is>
      </c>
      <c r="F6" s="31" t="inlineStr">
        <is>
          <t>Flag Jarrod: mason jar</t>
        </is>
      </c>
      <c r="G6" s="32" t="inlineStr">
        <is>
          <t>Jarrod file (his Standard has no Mason Jar)</t>
        </is>
      </c>
      <c r="H6" s="30" t="inlineStr">
        <is>
          <t>Mason jar</t>
        </is>
      </c>
      <c r="I6" s="30" t="inlineStr">
        <is>
          <t>Added: - | Removed: - | Changed: 7.85→10.53 | 10.49→13.17 | 13.13→15.81 | 15.77→18.45</t>
        </is>
      </c>
      <c r="J6" s="30" t="inlineStr">
        <is>
          <t>Joomla_import_1_mason_jar_v1.xlsx</t>
        </is>
      </c>
      <c r="K6" s="30" t="inlineStr">
        <is>
          <t>Jarrod: list + upload (J4)</t>
        </is>
      </c>
    </row>
    <row r="7" ht="22.35" customHeight="1" s="24">
      <c r="A7" s="28" t="n"/>
      <c r="B7" s="30" t="n"/>
      <c r="C7" s="30" t="inlineStr">
        <is>
          <t>MJ102-53</t>
        </is>
      </c>
      <c r="D7" s="30" t="inlineStr">
        <is>
          <t>Make a Wish in Mason Jar Birthday Bundle</t>
        </is>
      </c>
      <c r="E7" s="30" t="inlineStr">
        <is>
          <t>Mason Jar</t>
        </is>
      </c>
      <c r="F7" s="31" t="inlineStr">
        <is>
          <t>Flag Jarrod: mason jar</t>
        </is>
      </c>
      <c r="G7" s="32" t="inlineStr">
        <is>
          <t>Jarrod file (his Standard has no Mason Jar)</t>
        </is>
      </c>
      <c r="H7" s="30" t="inlineStr">
        <is>
          <t>Mason jar</t>
        </is>
      </c>
      <c r="I7" s="30" t="inlineStr">
        <is>
          <t>Added: - | Removed: - | Changed: 13.73→14.05 | 15.85→16.17 | 18.61→18.93 | 22.13→22.45</t>
        </is>
      </c>
      <c r="J7" s="30" t="inlineStr">
        <is>
          <t>Joomla_import_1_mason_jar_v1.xlsx</t>
        </is>
      </c>
      <c r="K7" s="30" t="inlineStr">
        <is>
          <t>Jarrod: list + upload (J4)</t>
        </is>
      </c>
    </row>
    <row r="8" ht="22.35" customHeight="1" s="24">
      <c r="A8" s="28" t="n"/>
      <c r="B8" s="30" t="n"/>
      <c r="C8" s="30" t="inlineStr">
        <is>
          <t>MJ11-57</t>
        </is>
      </c>
      <c r="D8" s="30" t="inlineStr">
        <is>
          <t>Half Dozen Assorted Roses in Mason Jar</t>
        </is>
      </c>
      <c r="E8" s="30" t="inlineStr">
        <is>
          <t>Mason Jar</t>
        </is>
      </c>
      <c r="F8" s="31" t="inlineStr">
        <is>
          <t>Flag Jarrod: mason jar</t>
        </is>
      </c>
      <c r="G8" s="32" t="inlineStr">
        <is>
          <t>Jarrod file (his Standard has no Mason Jar)</t>
        </is>
      </c>
      <c r="H8" s="30" t="inlineStr">
        <is>
          <t>Mason jar</t>
        </is>
      </c>
      <c r="I8" s="30" t="inlineStr">
        <is>
          <t>Added: - | Removed: - | Changed: 9.53→9.85 | 11.73→12.05 | 11.73→12.05 | 15.01→15.33</t>
        </is>
      </c>
      <c r="J8" s="30" t="inlineStr">
        <is>
          <t>Joomla_import_1_mason_jar_v1.xlsx</t>
        </is>
      </c>
      <c r="K8" s="30" t="inlineStr">
        <is>
          <t>Jarrod: list + upload (J4)</t>
        </is>
      </c>
    </row>
    <row r="9" ht="22.35" customHeight="1" s="24">
      <c r="A9" s="28" t="n"/>
      <c r="B9" s="30" t="n"/>
      <c r="C9" s="30" t="inlineStr">
        <is>
          <t>DC-02A</t>
        </is>
      </c>
      <c r="D9" s="30" t="inlineStr">
        <is>
          <t>Designer Collection Anniversary II</t>
        </is>
      </c>
      <c r="E9" s="30" t="inlineStr">
        <is>
          <t>Designer Collection</t>
        </is>
      </c>
      <c r="F9" s="31" t="inlineStr">
        <is>
          <t>Flag Jarrod: greenery</t>
        </is>
      </c>
      <c r="G9" s="32" t="inlineStr">
        <is>
          <t>Jarrod file (his Standard has no greenery)</t>
        </is>
      </c>
      <c r="H9" s="30" t="inlineStr">
        <is>
          <t>Greenery</t>
        </is>
      </c>
      <c r="I9" s="30" t="inlineStr">
        <is>
          <t>Added: - | Removed: - | Changed: 11.04→13.4 | 14.44→17.98 | 17.84→21.38 | 21.24→25.96</t>
        </is>
      </c>
      <c r="J9" s="30" t="inlineStr">
        <is>
          <t>Joomla_import_2_greenery_v1.xlsx</t>
        </is>
      </c>
      <c r="K9" s="30" t="inlineStr">
        <is>
          <t>Jarrod: list + upload (J4)</t>
        </is>
      </c>
    </row>
    <row r="10" ht="22.35" customHeight="1" s="24">
      <c r="A10" s="28" t="n"/>
      <c r="B10" s="30" t="n"/>
      <c r="C10" s="30" t="inlineStr">
        <is>
          <t>DC112-01A</t>
        </is>
      </c>
      <c r="D10" s="30" t="inlineStr">
        <is>
          <t>Designers Collection I</t>
        </is>
      </c>
      <c r="E10" s="30" t="inlineStr">
        <is>
          <t>Designer Collection</t>
        </is>
      </c>
      <c r="F10" s="31" t="inlineStr">
        <is>
          <t>Flag Jarrod: greenery</t>
        </is>
      </c>
      <c r="G10" s="32" t="inlineStr">
        <is>
          <t>Jarrod file (his Standard has no greenery)</t>
        </is>
      </c>
      <c r="H10" s="30" t="inlineStr">
        <is>
          <t>Greenery</t>
        </is>
      </c>
      <c r="I10" s="30" t="inlineStr">
        <is>
          <t>Added: - | Removed: - | Changed: 7.64→10.0 | 10.19→12.55 | 12.74→16.28 | 15.29→18.83</t>
        </is>
      </c>
      <c r="J10" s="30" t="inlineStr">
        <is>
          <t>Joomla_import_2_greenery_v1.xlsx</t>
        </is>
      </c>
      <c r="K10" s="30" t="inlineStr">
        <is>
          <t>Jarrod: list + upload (J4)</t>
        </is>
      </c>
    </row>
    <row r="11" ht="22.35" customHeight="1" s="24">
      <c r="A11" s="28" t="n"/>
      <c r="B11" s="30" t="n"/>
      <c r="C11" s="30" t="inlineStr">
        <is>
          <t>MJ100-07</t>
        </is>
      </c>
      <c r="D11" s="30" t="inlineStr">
        <is>
          <t>Thirty Blooms Of Alstroemeria In Mason Jar</t>
        </is>
      </c>
      <c r="E11" s="30" t="inlineStr">
        <is>
          <t>Mason Jar</t>
        </is>
      </c>
      <c r="F11" s="31" t="inlineStr">
        <is>
          <t>Flag Jarrod: greenery</t>
        </is>
      </c>
      <c r="G11" s="32" t="inlineStr">
        <is>
          <t>Jarrod file (his Standard has no greenery)</t>
        </is>
      </c>
      <c r="H11" s="30" t="inlineStr">
        <is>
          <t>Greenery</t>
        </is>
      </c>
      <c r="I11" s="30" t="inlineStr">
        <is>
          <t>Added: - | Removed: - | Changed: 9.05→11.41 | 11.69→14.05 | 14.33→16.69 | 16.97→19.33</t>
        </is>
      </c>
      <c r="J11" s="30" t="inlineStr">
        <is>
          <t>Joomla_import_2_greenery_v1.xlsx</t>
        </is>
      </c>
      <c r="K11" s="30" t="inlineStr">
        <is>
          <t>Jarrod: list + upload (J4)</t>
        </is>
      </c>
    </row>
    <row r="12" ht="32.8" customHeight="1" s="24">
      <c r="A12" s="28" t="n"/>
      <c r="B12" s="30" t="n"/>
      <c r="C12" s="30" t="inlineStr">
        <is>
          <t>AU1111-04</t>
        </is>
      </c>
      <c r="D12" s="30" t="inlineStr">
        <is>
          <t>24 Pink and White Roses</t>
        </is>
      </c>
      <c r="E12" s="30" t="inlineStr">
        <is>
          <t>Bouquets</t>
        </is>
      </c>
      <c r="F12" s="31" t="inlineStr">
        <is>
          <t>Flag Jarrod: colour (title says two, recipe has one)</t>
        </is>
      </c>
      <c r="G12" s="32" t="inlineStr">
        <is>
          <t>Jarrod file (his Standard has the same colours as live)</t>
        </is>
      </c>
      <c r="H12" s="30" t="inlineStr">
        <is>
          <t>Colour</t>
        </is>
      </c>
      <c r="I12" s="30" t="inlineStr">
        <is>
          <t>Added: - | Removed: Petite: Roses White 18 → 9, Standard: Roses White 24 → 12, Deluxe: Roses White 30 → 15, Supersize: Roses White 36 → 18 | Changed: 25.57→25.57 | 33.89→33.89 | 39.95→39.95 | 47.19→47.19</t>
        </is>
      </c>
      <c r="J12" s="30" t="inlineStr">
        <is>
          <t>Joomla_import_3_colours_v1.xlsx</t>
        </is>
      </c>
      <c r="K12" s="30" t="inlineStr">
        <is>
          <t>Jarrod: list + upload (J4)</t>
        </is>
      </c>
    </row>
    <row r="13" ht="32.8" customHeight="1" s="24">
      <c r="A13" s="28" t="n"/>
      <c r="B13" s="30" t="n"/>
      <c r="C13" s="30" t="inlineStr">
        <is>
          <t>AU1211-04</t>
        </is>
      </c>
      <c r="D13" s="30" t="inlineStr">
        <is>
          <t>24 Red and Yellow Roses</t>
        </is>
      </c>
      <c r="E13" s="30" t="inlineStr">
        <is>
          <t>Roses</t>
        </is>
      </c>
      <c r="F13" s="31" t="inlineStr">
        <is>
          <t>Flag Jarrod: colour (title says two, recipe has one)</t>
        </is>
      </c>
      <c r="G13" s="32" t="inlineStr">
        <is>
          <t>Jarrod file (his Standard has the same colours as live)</t>
        </is>
      </c>
      <c r="H13" s="30" t="inlineStr">
        <is>
          <t>Colour</t>
        </is>
      </c>
      <c r="I13" s="30" t="inlineStr">
        <is>
          <t>Added: - | Removed: Petite: Roses Yellow 18 → 9, Standard: Roses Yellow 24 → 12, Deluxe: Roses Yellow 30 → 15, Supersize: Roses Yellow 36 → 18 | Changed: 25.57→27.28 | 33.89→36.17 | 41.13→43.98 | 49.45→52.87</t>
        </is>
      </c>
      <c r="J13" s="30" t="inlineStr">
        <is>
          <t>Joomla_import_3_colours_v1.xlsx</t>
        </is>
      </c>
      <c r="K13" s="30" t="inlineStr">
        <is>
          <t>Jarrod: list + upload (J4)</t>
        </is>
      </c>
    </row>
    <row r="14" ht="74.59999999999999" customHeight="1" s="24">
      <c r="A14" s="28" t="inlineStr">
        <is>
          <t>verify if we have that ingredient in KEN COL recipe (if we have then include it in the list of changes and in a separated file to udate wit the (mixed colors file this list (1c Title colours (AU1211-04, AU1111-04, AU219-40, AU199-07)) is in the instructions from the summary   ||  Do the same the AU219-40</t>
        </is>
      </c>
      <c r="B14" s="29" t="inlineStr">
        <is>
          <t>Checked the Full Ingredient List of the Product Master (it has no KEN or COL label, so I could not check those two lists): Roses light pink (ING-429, $1.30) = Roses Yellow ($1.30) and Mini Carnations Pink (ING-111, $0.95) = Mini Carnations Red ($0.95), both carried and same price. Jarrod's Standard has the same yellow and red, so he did not fix it. Swap applied in all sizes in Joomla_import_3_colours_v1. Listed here for you to notify Jarrod.</t>
        </is>
      </c>
      <c r="C14" s="30" t="inlineStr">
        <is>
          <t>AU219-40</t>
        </is>
      </c>
      <c r="D14" s="30" t="inlineStr">
        <is>
          <t>Pink and Lavender Bouquet</t>
        </is>
      </c>
      <c r="E14" s="30" t="inlineStr">
        <is>
          <t>Bouquets</t>
        </is>
      </c>
      <c r="F14" s="31" t="inlineStr">
        <is>
          <t>Flag Jarrod: colour (title says two, recipe has one)</t>
        </is>
      </c>
      <c r="G14" s="32" t="inlineStr">
        <is>
          <t>Jarrod file (his Standard has the same colours as live)</t>
        </is>
      </c>
      <c r="H14" s="30" t="inlineStr">
        <is>
          <t>Colour</t>
        </is>
      </c>
      <c r="I14" s="30" t="inlineStr">
        <is>
          <t>Added: Petite: −2 × Roses Yellow, Standard: −3 × Roses Yellow, Deluxe: −4 × Roses Yellow, Supersize: −5 × Roses Yellow, Petite: −1 × Mini Carnations Red, Standard: −2 × Mini Carnations Red, Deluxe: −2 × Mini Carnations Red, Supersize: −3 × Mini Carnations Red | Removed: - | Changed: 13.3→13.3 | 19.04→19.04 | 25.02→25.02 | 31.94→31.94</t>
        </is>
      </c>
      <c r="J14" s="30" t="inlineStr">
        <is>
          <t>Joomla_import_3_colours_v1.xlsx</t>
        </is>
      </c>
      <c r="K14" s="30" t="inlineStr">
        <is>
          <t>Jarrod: list + upload (J4)</t>
        </is>
      </c>
    </row>
    <row r="15" ht="22.35" customHeight="1" s="24">
      <c r="A15" s="28" t="n"/>
      <c r="B15" s="30" t="n"/>
      <c r="C15" s="30" t="inlineStr">
        <is>
          <t>AU11-30</t>
        </is>
      </c>
      <c r="D15" s="30" t="inlineStr">
        <is>
          <t>Half-Dozen Red Roses</t>
        </is>
      </c>
      <c r="E15" s="30" t="inlineStr">
        <is>
          <t>Bouquets</t>
        </is>
      </c>
      <c r="F15" s="31" t="inlineStr">
        <is>
          <t>Flag Jarrod: title count</t>
        </is>
      </c>
      <c r="G15" s="32" t="inlineStr">
        <is>
          <t>Jarrod file (his Standard is 12 roses, same as live)</t>
        </is>
      </c>
      <c r="H15" s="30" t="inlineStr">
        <is>
          <t>Title count</t>
        </is>
      </c>
      <c r="I15" s="30" t="inlineStr">
        <is>
          <t>Added: - | Removed: Standard: Roses Red 12 → 6 | Changed: 12.33→12.33 | 21.79→14.59 | 28.99→28.99 | 38.45→38.45</t>
        </is>
      </c>
      <c r="J15" s="30" t="inlineStr">
        <is>
          <t>Joomla_import_4_title_count_v1.xlsx</t>
        </is>
      </c>
      <c r="K15" s="30" t="inlineStr">
        <is>
          <t>Jarrod: list + upload (J4)</t>
        </is>
      </c>
    </row>
    <row r="16" ht="22.35" customHeight="1" s="24">
      <c r="A16" s="28" t="n"/>
      <c r="B16" s="30" t="n"/>
      <c r="C16" s="30" t="inlineStr">
        <is>
          <t>AU64-11</t>
        </is>
      </c>
      <c r="D16" s="30" t="inlineStr">
        <is>
          <t>Christmas Glory</t>
        </is>
      </c>
      <c r="E16" s="30" t="n"/>
      <c r="F16" s="31" t="inlineStr">
        <is>
          <t>Flag Jarrod: container / quantity</t>
        </is>
      </c>
      <c r="G16" s="32" t="inlineStr">
        <is>
          <t>Jarrod file has both Small Basket and Gift Basket Box</t>
        </is>
      </c>
      <c r="H16" s="30" t="inlineStr">
        <is>
          <t>Container (not in the five buckets)</t>
        </is>
      </c>
      <c r="I16" s="30" t="inlineStr">
        <is>
          <t>Same two-container issue; not fixed here because the product is outside the five buckets. Tell me if you want them in file 5</t>
        </is>
      </c>
      <c r="J16" s="30" t="inlineStr">
        <is>
          <t>Recipe rules C1-C9</t>
        </is>
      </c>
      <c r="K16" s="30" t="inlineStr">
        <is>
          <t>Jarrod (you notify manually)</t>
        </is>
      </c>
    </row>
    <row r="17" ht="22.35" customHeight="1" s="24">
      <c r="A17" s="28" t="n"/>
      <c r="B17" s="30" t="n"/>
      <c r="C17" s="30" t="inlineStr">
        <is>
          <t>FBAU61-62</t>
        </is>
      </c>
      <c r="D17" s="30" t="inlineStr">
        <is>
          <t>Fruit Lover Basket</t>
        </is>
      </c>
      <c r="E17" s="30" t="n"/>
      <c r="F17" s="31" t="inlineStr">
        <is>
          <t>Flag Jarrod: container / quantity</t>
        </is>
      </c>
      <c r="G17" s="32" t="inlineStr">
        <is>
          <t>Jarrod file has both Small Basket and Gift Basket Box</t>
        </is>
      </c>
      <c r="H17" s="30" t="inlineStr">
        <is>
          <t>Container (not in the five buckets)</t>
        </is>
      </c>
      <c r="I17" s="30" t="inlineStr">
        <is>
          <t>Same two-container issue; not fixed here because the product is outside the five buckets. Tell me if you want them in file 5</t>
        </is>
      </c>
      <c r="J17" s="30" t="inlineStr">
        <is>
          <t>Recipe rules C1-C9</t>
        </is>
      </c>
      <c r="K17" s="30" t="inlineStr">
        <is>
          <t>Jarrod (you notify manually)</t>
        </is>
      </c>
    </row>
    <row r="18" ht="22.35" customHeight="1" s="24">
      <c r="A18" s="28" t="n"/>
      <c r="B18" s="30" t="n"/>
      <c r="C18" s="30" t="inlineStr">
        <is>
          <t>GBAU71-61</t>
        </is>
      </c>
      <c r="D18" s="30" t="inlineStr">
        <is>
          <t>Classic Collection II</t>
        </is>
      </c>
      <c r="E18" s="30" t="n"/>
      <c r="F18" s="31" t="inlineStr">
        <is>
          <t>Flag Jarrod: container / quantity</t>
        </is>
      </c>
      <c r="G18" s="32" t="inlineStr">
        <is>
          <t>Jarrod file has both Small Basket and Gift Basket Box</t>
        </is>
      </c>
      <c r="H18" s="30" t="inlineStr">
        <is>
          <t>Container (not in the five buckets)</t>
        </is>
      </c>
      <c r="I18" s="30" t="inlineStr">
        <is>
          <t>Same two-container issue; not fixed here because the product is outside the five buckets. Tell me if you want them in file 5</t>
        </is>
      </c>
      <c r="J18" s="30" t="inlineStr">
        <is>
          <t>Recipe rules C1-C9</t>
        </is>
      </c>
      <c r="K18" s="30" t="inlineStr">
        <is>
          <t>Jarrod (you notify manually)</t>
        </is>
      </c>
    </row>
    <row r="19" ht="126.85" customHeight="1" s="24">
      <c r="A19" s="28" t="inlineStr">
        <is>
          <t xml:space="preserve">Only one containre, Is the issue in Jarrod recipe ? If so as I mention in the cell E18 of summary tab, add those in the list of mason jar so I notify Jarrod manualy. But fix the recipe, include them in the file for the lsit and include it in the product export for joomla, (So I have the other file for me,) to control to learlty see the difference in the recipe, what it was what was missing what was added, the version of every variant in a secon tab, and the file to export the one that I'd need for joomla </t>
        </is>
      </c>
      <c r="B19" s="29" t="inlineStr">
        <is>
          <t>The issue is in Jarrod's file: his Petite to Supersize list both a Small Basket and a Gift Basket Box - Medium (same on AU64-11, GBAU71-61 and FBAU61-62, outside the five buckets, listed but not fixed). Fixed in Joomla_import_5 by removing the Gift Basket Box and keeping the Small Basket. The box looks like outer packaging, so confirm with Jarrod before uploading. What it was, what was missing and what was added per variant: AU-Recipe-Fixes-v1-control.xlsx (Before-After tab).</t>
        </is>
      </c>
      <c r="C19" s="30" t="inlineStr">
        <is>
          <t>FBAU61-66</t>
        </is>
      </c>
      <c r="D19" s="30" t="inlineStr">
        <is>
          <t>European Sampler Basket</t>
        </is>
      </c>
      <c r="E19" s="30" t="inlineStr">
        <is>
          <t>Bouquets</t>
        </is>
      </c>
      <c r="F19" s="31" t="inlineStr">
        <is>
          <t>Flag Jarrod: container / quantity</t>
        </is>
      </c>
      <c r="G19" s="32" t="inlineStr">
        <is>
          <t>Jarrod file has both Small Basket and Gift Basket Box</t>
        </is>
      </c>
      <c r="H19" s="30" t="inlineStr">
        <is>
          <t>Container / fruit</t>
        </is>
      </c>
      <c r="I19" s="30" t="inlineStr">
        <is>
          <t>Added: Petite: −1 × Gift Basket Box - Medium, Standard: −1 × Gift Basket Box - Medium, Deluxe: −1 × Gift Basket Box - Medium, Supersize: −1 × Gift Basket Box - Medium | Removed: - | Changed: 18.29→17.29 | 22.29→21.29 | 26.29→25.29 | 30.29→29.29</t>
        </is>
      </c>
      <c r="J19" s="30" t="inlineStr">
        <is>
          <t>Joomla_import_5_containers_fruit_v1.xlsx</t>
        </is>
      </c>
      <c r="K19" s="30" t="inlineStr">
        <is>
          <t>Jarrod: list + upload (J4)</t>
        </is>
      </c>
    </row>
    <row r="20" ht="64.15000000000001" customHeight="1" s="24">
      <c r="A20" s="28" t="inlineStr">
        <is>
          <t xml:space="preserve">Leave my questions, create in from your response, why did we lower to 8? I don't see why this should be lowered, this should remain 8 10 … and so on as jarrods file if not explain me the reason, (review the rules and the AUS maste) </t>
        </is>
      </c>
      <c r="B20" s="29" t="inlineStr">
        <is>
          <t>I did not lower it on purpose. Live and master have fruit 6 / 8 / 12 / 15 (Petite to Supersize); Jarrod's file has 8 / 10 / 12 / 15. My earlier label 'Alejandro lowered it to 8' was an assumption I could not verify; I withdraw it. Rule: Jarrod's recipe is the base (A-R1), so Joomla_import_5 sets Petite 8 and Standard 10 (Deluxe and Supersize already match). Please ask Jarrod why live shows 6 / 8. Est. ING price +$4.00 on Petite and Standard.</t>
        </is>
      </c>
      <c r="C20" s="30" t="inlineStr">
        <is>
          <t>FBAU76-60</t>
        </is>
      </c>
      <c r="D20" s="30" t="inlineStr">
        <is>
          <t>Fruits &amp; Chocolates</t>
        </is>
      </c>
      <c r="E20" s="30" t="inlineStr">
        <is>
          <t>Bouquets</t>
        </is>
      </c>
      <c r="F20" s="31" t="inlineStr">
        <is>
          <t>Flag Jarrod: container / quantity</t>
        </is>
      </c>
      <c r="G20" s="32" t="inlineStr">
        <is>
          <t>Jarrod file has both Small Basket and Gift Basket Box; fruit: live 6/8 vs Jarrod 8/10 (live/master differs from Jarrod)</t>
        </is>
      </c>
      <c r="H20" s="30" t="inlineStr">
        <is>
          <t>Container / fruit</t>
        </is>
      </c>
      <c r="I20" s="30" t="inlineStr">
        <is>
          <t>Added: Petite: −1 × Gift Basket Box - Medium, Standard: −1 × Gift Basket Box - Medium, Deluxe: −1 × Gift Basket Box - Medium, Supersize: −1 × Gift Basket Box - Medium | Removed: Petite: Fresh Fruit 6 → 8, Standard: Fresh Fruit 8 → 10 | Changed: 16.29→19.29 | 20.29→23.29 | 30.29→29.29 | 36.29→35.29</t>
        </is>
      </c>
      <c r="J20" s="30" t="inlineStr">
        <is>
          <t>Joomla_import_5_containers_fruit_v1.xlsx</t>
        </is>
      </c>
      <c r="K20" s="30" t="inlineStr">
        <is>
          <t>Jarrod: list + upload (J4)</t>
        </is>
      </c>
    </row>
    <row r="21" ht="22.35" customHeight="1" s="24">
      <c r="A21" s="28" t="n"/>
      <c r="B21" s="30" t="n"/>
      <c r="C21" s="30" t="inlineStr">
        <is>
          <t>AUMJ100-05</t>
        </is>
      </c>
      <c r="D21" s="30" t="inlineStr">
        <is>
          <t>Gerbera Daisies in Mason Jar</t>
        </is>
      </c>
      <c r="E21" s="30" t="inlineStr">
        <is>
          <t>Mason Jar</t>
        </is>
      </c>
      <c r="F21" s="31" t="inlineStr">
        <is>
          <t>Flag Jarrod: empty recipe on a priced size</t>
        </is>
      </c>
      <c r="G21" s="30" t="inlineStr">
        <is>
          <t>Live export</t>
        </is>
      </c>
      <c r="H21" s="30" t="inlineStr">
        <is>
          <t>Empty recipe</t>
        </is>
      </c>
      <c r="I21" s="30" t="inlineStr">
        <is>
          <t>Petite is priced 39.95 but has no ingredient lines; the fix was not applied to this size</t>
        </is>
      </c>
      <c r="J21" s="30" t="inlineStr">
        <is>
          <t>Joomla_import_1_mason_jar_v1.xlsx</t>
        </is>
      </c>
      <c r="K21" s="30" t="inlineStr">
        <is>
          <t>Jarrod (you notify manually)</t>
        </is>
      </c>
    </row>
    <row r="22" ht="22.35" customHeight="1" s="24">
      <c r="A22" s="28" t="n"/>
      <c r="B22" s="30" t="n"/>
      <c r="C22" s="30" t="inlineStr">
        <is>
          <t>AU0511-17</t>
        </is>
      </c>
      <c r="D22" s="30" t="inlineStr">
        <is>
          <t>Summer Blooms</t>
        </is>
      </c>
      <c r="E22" s="30" t="inlineStr">
        <is>
          <t>Bouquets</t>
        </is>
      </c>
      <c r="F22" s="30" t="inlineStr">
        <is>
          <t>Recipe fix: notify Jarrod</t>
        </is>
      </c>
      <c r="G22" s="33" t="inlineStr">
        <is>
          <t>Master / live</t>
        </is>
      </c>
      <c r="H22" s="30" t="inlineStr">
        <is>
          <t>Gate Item not carried ($0) removed per rule I4</t>
        </is>
      </c>
      <c r="I22" s="30" t="inlineStr">
        <is>
          <t>2 x Lisianthus Orange: ING-1155 is $0 in the catalogue, so it is removed, not replaced</t>
        </is>
      </c>
      <c r="J22" s="30" t="inlineStr">
        <is>
          <t>Recipe rules</t>
        </is>
      </c>
      <c r="K22" s="30" t="inlineStr">
        <is>
          <t>Jarrod / Benny</t>
        </is>
      </c>
    </row>
    <row r="23" ht="22.35" customHeight="1" s="24">
      <c r="A23" s="28" t="n"/>
      <c r="B23" s="30" t="n"/>
      <c r="C23" s="30" t="inlineStr">
        <is>
          <t>RBC-02C</t>
        </is>
      </c>
      <c r="D23" s="30" t="inlineStr">
        <is>
          <t>Bunches Purply Pink Collection III</t>
        </is>
      </c>
      <c r="E23" s="30" t="inlineStr">
        <is>
          <t>Bouquets</t>
        </is>
      </c>
      <c r="F23" s="30" t="inlineStr">
        <is>
          <t>Recipe fix: notify Jarrod</t>
        </is>
      </c>
      <c r="G23" s="33" t="inlineStr">
        <is>
          <t>Master / live</t>
        </is>
      </c>
      <c r="H23" s="30" t="inlineStr">
        <is>
          <t>Gate Item not carried ($0) removed per rule I4</t>
        </is>
      </c>
      <c r="I23" s="30" t="inlineStr">
        <is>
          <t>3 x Carnations Purple: ING-1516 is $0 in the catalogue, so it is removed, not replaced</t>
        </is>
      </c>
      <c r="J23" s="30" t="inlineStr">
        <is>
          <t>Recipe rules</t>
        </is>
      </c>
      <c r="K23" s="30" t="inlineStr">
        <is>
          <t>Jarrod / Benny</t>
        </is>
      </c>
    </row>
    <row r="24" ht="15" customHeight="1" s="24">
      <c r="A24" s="28" t="n"/>
      <c r="B24" s="30" t="n"/>
      <c r="C24" s="30" t="inlineStr">
        <is>
          <t>RBC-02C</t>
        </is>
      </c>
      <c r="D24" s="30" t="inlineStr">
        <is>
          <t>Bunches Purply Pink Collection III</t>
        </is>
      </c>
      <c r="E24" s="30" t="inlineStr">
        <is>
          <t>Bouquets</t>
        </is>
      </c>
      <c r="F24" s="30" t="inlineStr">
        <is>
          <t>Recipe fix: notify Jarrod</t>
        </is>
      </c>
      <c r="G24" s="33" t="inlineStr">
        <is>
          <t>Master / live</t>
        </is>
      </c>
      <c r="H24" s="30" t="inlineStr">
        <is>
          <t>Gate Quantity differs from Jarrod</t>
        </is>
      </c>
      <c r="I24" s="30" t="inlineStr">
        <is>
          <t>Israeli ruscus is 2 in the master; Jarrod typed two lines of 2 (4)</t>
        </is>
      </c>
      <c r="J24" s="30" t="inlineStr">
        <is>
          <t>Recipe rules</t>
        </is>
      </c>
      <c r="K24" s="30" t="inlineStr">
        <is>
          <t>Jarrod / Benny</t>
        </is>
      </c>
    </row>
    <row r="25" ht="43.25" customHeight="1" s="24">
      <c r="A25" s="28" t="n"/>
      <c r="B25" s="30" t="n"/>
      <c r="C25" s="30" t="inlineStr">
        <is>
          <t>AU-ADD-BUNDLE-PREM-WINE-CHOC-5495</t>
        </is>
      </c>
      <c r="D25" s="30" t="inlineStr">
        <is>
          <t>Bundle: Premium Wine + Chocolates</t>
        </is>
      </c>
      <c r="E25" s="30" t="inlineStr">
        <is>
          <t>(outside the five buckets)</t>
        </is>
      </c>
      <c r="F25" s="30" t="inlineStr">
        <is>
          <t>Wine products: 18+ notice</t>
        </is>
      </c>
      <c r="G25" s="34" t="inlineStr">
        <is>
          <t>Ashraf gate file / your rule</t>
        </is>
      </c>
      <c r="H25" s="30" t="inlineStr">
        <is>
          <t>Wine in the live recipe</t>
        </is>
      </c>
      <c r="I25" s="30" t="inlineStr">
        <is>
          <t>Live status N. notice NOT in the current text. Legal wording first (as live), brand adaptation only after legal OK</t>
        </is>
      </c>
      <c r="J25" s="30" t="inlineStr">
        <is>
          <t>Joomla export 7 Oct</t>
        </is>
      </c>
      <c r="K25" s="30" t="n"/>
    </row>
    <row r="26" ht="43.25" customHeight="1" s="24">
      <c r="A26" s="28" t="n"/>
      <c r="B26" s="30" t="n"/>
      <c r="C26" s="30" t="inlineStr">
        <is>
          <t>AU-ADD-BUNDLE-SPARK-CELEB-6995</t>
        </is>
      </c>
      <c r="D26" s="30" t="inlineStr">
        <is>
          <t>Bundle: Sparkling Wine + Chocolates + Card</t>
        </is>
      </c>
      <c r="E26" s="30" t="inlineStr">
        <is>
          <t>(outside the five buckets)</t>
        </is>
      </c>
      <c r="F26" s="30" t="inlineStr">
        <is>
          <t>Wine products: 18+ notice</t>
        </is>
      </c>
      <c r="G26" s="34" t="inlineStr">
        <is>
          <t>Ashraf gate file / your rule</t>
        </is>
      </c>
      <c r="H26" s="30" t="inlineStr">
        <is>
          <t>Wine in the live recipe</t>
        </is>
      </c>
      <c r="I26" s="30" t="inlineStr">
        <is>
          <t>Live status N. notice NOT in the current text. Legal wording first (as live), brand adaptation only after legal OK</t>
        </is>
      </c>
      <c r="J26" s="30" t="inlineStr">
        <is>
          <t>Joomla export 7 Oct</t>
        </is>
      </c>
      <c r="K26" s="30" t="n"/>
    </row>
    <row r="27" ht="32.8" customHeight="1" s="24">
      <c r="A27" s="28" t="n"/>
      <c r="B27" s="30" t="n"/>
      <c r="C27" s="30" t="inlineStr">
        <is>
          <t>AU-ADD-BUNDLE-WB-CHOC-5995</t>
        </is>
      </c>
      <c r="D27" s="30" t="inlineStr">
        <is>
          <t>Bundle: Wolf Blass Wine + Chocolates</t>
        </is>
      </c>
      <c r="E27" s="30" t="inlineStr">
        <is>
          <t>(outside the five buckets)</t>
        </is>
      </c>
      <c r="F27" s="30" t="inlineStr">
        <is>
          <t>Wine products: 18+ notice</t>
        </is>
      </c>
      <c r="G27" s="34" t="inlineStr">
        <is>
          <t>Ashraf gate file / your rule</t>
        </is>
      </c>
      <c r="H27" s="30" t="inlineStr">
        <is>
          <t>Wine in the live recipe</t>
        </is>
      </c>
      <c r="I27" s="30" t="inlineStr">
        <is>
          <t>Live status N. notice NOT in the current text. Legal wording first (as live), brand adaptation only after legal OK</t>
        </is>
      </c>
      <c r="J27" s="30" t="inlineStr">
        <is>
          <t>Joomla export 7 Oct</t>
        </is>
      </c>
      <c r="K27" s="30" t="n"/>
    </row>
    <row r="28" ht="22.35" customHeight="1" s="24">
      <c r="A28" s="28" t="n"/>
      <c r="B28" s="30" t="n"/>
      <c r="C28" s="30" t="inlineStr">
        <is>
          <t>AU-ADD-PREM-RED-WINE-4495</t>
        </is>
      </c>
      <c r="D28" s="30" t="inlineStr">
        <is>
          <t>Premium Red Wine</t>
        </is>
      </c>
      <c r="E28" s="30" t="inlineStr">
        <is>
          <t>(outside the five buckets)</t>
        </is>
      </c>
      <c r="F28" s="30" t="inlineStr">
        <is>
          <t>Wine products: 18+ notice</t>
        </is>
      </c>
      <c r="G28" s="34" t="inlineStr">
        <is>
          <t>Ashraf gate file / your rule</t>
        </is>
      </c>
      <c r="H28" s="30" t="inlineStr">
        <is>
          <t>Wine in the live recipe</t>
        </is>
      </c>
      <c r="I28" s="30" t="inlineStr">
        <is>
          <t>Live status N. notice NOT in the current text. Legal wording first (as live), brand adaptation only after legal OK</t>
        </is>
      </c>
      <c r="J28" s="30" t="inlineStr">
        <is>
          <t>Joomla export 7 Oct</t>
        </is>
      </c>
      <c r="K28" s="30" t="n"/>
    </row>
    <row r="29" ht="32.8" customHeight="1" s="24">
      <c r="A29" s="28" t="n"/>
      <c r="B29" s="30" t="n"/>
      <c r="C29" s="30" t="inlineStr">
        <is>
          <t>AU-ADD-PREM-WHITE-WINE-4495</t>
        </is>
      </c>
      <c r="D29" s="30" t="inlineStr">
        <is>
          <t>Premium White Wine</t>
        </is>
      </c>
      <c r="E29" s="30" t="inlineStr">
        <is>
          <t>(outside the five buckets)</t>
        </is>
      </c>
      <c r="F29" s="30" t="inlineStr">
        <is>
          <t>Wine products: 18+ notice</t>
        </is>
      </c>
      <c r="G29" s="34" t="inlineStr">
        <is>
          <t>Ashraf gate file / your rule</t>
        </is>
      </c>
      <c r="H29" s="30" t="inlineStr">
        <is>
          <t>Wine in the live recipe</t>
        </is>
      </c>
      <c r="I29" s="30" t="inlineStr">
        <is>
          <t>Live status N. notice NOT in the current text. Legal wording first (as live), brand adaptation only after legal OK</t>
        </is>
      </c>
      <c r="J29" s="30" t="inlineStr">
        <is>
          <t>Joomla export 7 Oct</t>
        </is>
      </c>
      <c r="K29" s="30" t="n"/>
    </row>
    <row r="30" ht="22.35" customHeight="1" s="24">
      <c r="A30" s="28" t="n"/>
      <c r="B30" s="30" t="n"/>
      <c r="C30" s="30" t="inlineStr">
        <is>
          <t>AU-ADD-RED-WINE-6995</t>
        </is>
      </c>
      <c r="D30" s="30" t="inlineStr">
        <is>
          <t>Red Wine</t>
        </is>
      </c>
      <c r="E30" s="30" t="inlineStr">
        <is>
          <t>(outside the five buckets)</t>
        </is>
      </c>
      <c r="F30" s="30" t="inlineStr">
        <is>
          <t>Wine products: 18+ notice</t>
        </is>
      </c>
      <c r="G30" s="34" t="inlineStr">
        <is>
          <t>Ashraf gate file / your rule</t>
        </is>
      </c>
      <c r="H30" s="30" t="inlineStr">
        <is>
          <t>Wine in the live recipe</t>
        </is>
      </c>
      <c r="I30" s="30" t="inlineStr">
        <is>
          <t>Live status N. notice NOT in the current text. Legal wording first (as live), brand adaptation only after legal OK</t>
        </is>
      </c>
      <c r="J30" s="30" t="inlineStr">
        <is>
          <t>Joomla export 7 Oct</t>
        </is>
      </c>
      <c r="K30" s="30" t="n"/>
    </row>
    <row r="31" ht="32.8" customHeight="1" s="24">
      <c r="A31" s="28" t="n"/>
      <c r="B31" s="30" t="n"/>
      <c r="C31" s="30" t="inlineStr">
        <is>
          <t>AU-ADD-SPARKLING-WINE-5495</t>
        </is>
      </c>
      <c r="D31" s="30" t="inlineStr">
        <is>
          <t>Sparkling White Wine</t>
        </is>
      </c>
      <c r="E31" s="30" t="inlineStr">
        <is>
          <t>(outside the five buckets)</t>
        </is>
      </c>
      <c r="F31" s="30" t="inlineStr">
        <is>
          <t>Wine products: 18+ notice</t>
        </is>
      </c>
      <c r="G31" s="34" t="inlineStr">
        <is>
          <t>Ashraf gate file / your rule</t>
        </is>
      </c>
      <c r="H31" s="30" t="inlineStr">
        <is>
          <t>Wine in the live recipe</t>
        </is>
      </c>
      <c r="I31" s="30" t="inlineStr">
        <is>
          <t>Live status N. notice NOT in the current text. Legal wording first (as live), brand adaptation only after legal OK</t>
        </is>
      </c>
      <c r="J31" s="30" t="inlineStr">
        <is>
          <t>Joomla export 7 Oct</t>
        </is>
      </c>
      <c r="K31" s="30" t="n"/>
    </row>
    <row r="32" ht="32.8" customHeight="1" s="24">
      <c r="A32" s="28" t="n"/>
      <c r="B32" s="30" t="n"/>
      <c r="C32" s="30" t="inlineStr">
        <is>
          <t>AU-ADD-WB-WHITE-WINE-4495</t>
        </is>
      </c>
      <c r="D32" s="30" t="inlineStr">
        <is>
          <t>Wolf Blass White Wine</t>
        </is>
      </c>
      <c r="E32" s="30" t="inlineStr">
        <is>
          <t>(outside the five buckets)</t>
        </is>
      </c>
      <c r="F32" s="30" t="inlineStr">
        <is>
          <t>Wine products: 18+ notice</t>
        </is>
      </c>
      <c r="G32" s="34" t="inlineStr">
        <is>
          <t>Ashraf gate file / your rule</t>
        </is>
      </c>
      <c r="H32" s="30" t="inlineStr">
        <is>
          <t>Wine in the live recipe</t>
        </is>
      </c>
      <c r="I32" s="30" t="inlineStr">
        <is>
          <t>Live status N. notice NOT in the current text. Legal wording first (as live), brand adaptation only after legal OK</t>
        </is>
      </c>
      <c r="J32" s="30" t="inlineStr">
        <is>
          <t>Joomla export 7 Oct</t>
        </is>
      </c>
      <c r="K32" s="30" t="n"/>
    </row>
    <row r="33" ht="22.35" customHeight="1" s="24">
      <c r="A33" s="28" t="n"/>
      <c r="B33" s="30" t="n"/>
      <c r="C33" s="30" t="inlineStr">
        <is>
          <t>AU-ADD-WHITE-WINE-4495</t>
        </is>
      </c>
      <c r="D33" s="30" t="inlineStr">
        <is>
          <t>White Wine</t>
        </is>
      </c>
      <c r="E33" s="30" t="inlineStr">
        <is>
          <t>(outside the five buckets)</t>
        </is>
      </c>
      <c r="F33" s="30" t="inlineStr">
        <is>
          <t>Wine products: 18+ notice</t>
        </is>
      </c>
      <c r="G33" s="34" t="inlineStr">
        <is>
          <t>Ashraf gate file / your rule</t>
        </is>
      </c>
      <c r="H33" s="30" t="inlineStr">
        <is>
          <t>Wine in the live recipe</t>
        </is>
      </c>
      <c r="I33" s="30" t="inlineStr">
        <is>
          <t>Live status N. notice NOT in the current text. Legal wording first (as live), brand adaptation only after legal OK</t>
        </is>
      </c>
      <c r="J33" s="30" t="inlineStr">
        <is>
          <t>Joomla export 7 Oct</t>
        </is>
      </c>
      <c r="K33" s="30" t="n"/>
    </row>
    <row r="34" ht="22.35" customHeight="1" s="24">
      <c r="A34" s="28" t="n"/>
      <c r="B34" s="30" t="n"/>
      <c r="C34" s="30" t="inlineStr">
        <is>
          <t>AU110-04</t>
        </is>
      </c>
      <c r="D34" s="30" t="inlineStr">
        <is>
          <t>Dozen Mixed Colour Roses, Vase, Card &amp; Chocolates</t>
        </is>
      </c>
      <c r="E34" s="30" t="inlineStr">
        <is>
          <t>(outside the five buckets)</t>
        </is>
      </c>
      <c r="F34" s="30" t="inlineStr">
        <is>
          <t>Wine products: 18+ notice</t>
        </is>
      </c>
      <c r="G34" s="34" t="inlineStr">
        <is>
          <t>Ashraf gate file / your rule</t>
        </is>
      </c>
      <c r="H34" s="30" t="inlineStr">
        <is>
          <t>Wine in the live recipe</t>
        </is>
      </c>
      <c r="I34" s="30" t="inlineStr">
        <is>
          <t>Live status Y. notice NOT in the current text. Legal wording first (as live), brand adaptation only after legal OK</t>
        </is>
      </c>
      <c r="J34" s="30" t="inlineStr">
        <is>
          <t>Joomla export 7 Oct</t>
        </is>
      </c>
      <c r="K34" s="30" t="n"/>
    </row>
    <row r="35" ht="22.35" customHeight="1" s="24">
      <c r="A35" s="28" t="n"/>
      <c r="B35" s="30" t="n"/>
      <c r="C35" s="30" t="inlineStr">
        <is>
          <t>AU115-03R</t>
        </is>
      </c>
      <c r="D35" s="30" t="inlineStr">
        <is>
          <t>3 Red Roses and Red Wine Combo</t>
        </is>
      </c>
      <c r="E35" s="30" t="inlineStr">
        <is>
          <t>(outside the five buckets)</t>
        </is>
      </c>
      <c r="F35" s="30" t="inlineStr">
        <is>
          <t>Wine products: 18+ notice</t>
        </is>
      </c>
      <c r="G35" s="34" t="inlineStr">
        <is>
          <t>Ashraf gate file / your rule</t>
        </is>
      </c>
      <c r="H35" s="30" t="inlineStr">
        <is>
          <t>Wine in the live recipe</t>
        </is>
      </c>
      <c r="I35" s="30" t="inlineStr">
        <is>
          <t>Live status Y. notice NOT in the current text. Legal wording first (as live), brand adaptation only after legal OK</t>
        </is>
      </c>
      <c r="J35" s="30" t="inlineStr">
        <is>
          <t>Joomla export 7 Oct</t>
        </is>
      </c>
      <c r="K35" s="30" t="n"/>
    </row>
    <row r="36" ht="22.35" customHeight="1" s="24">
      <c r="A36" s="28" t="n"/>
      <c r="B36" s="30" t="n"/>
      <c r="C36" s="30" t="inlineStr">
        <is>
          <t>AU115-03W</t>
        </is>
      </c>
      <c r="D36" s="30" t="inlineStr">
        <is>
          <t>3 Red Roses and White Wine Combo</t>
        </is>
      </c>
      <c r="E36" s="30" t="inlineStr">
        <is>
          <t>(outside the five buckets)</t>
        </is>
      </c>
      <c r="F36" s="30" t="inlineStr">
        <is>
          <t>Wine products: 18+ notice</t>
        </is>
      </c>
      <c r="G36" s="34" t="inlineStr">
        <is>
          <t>Ashraf gate file / your rule</t>
        </is>
      </c>
      <c r="H36" s="30" t="inlineStr">
        <is>
          <t>Wine in the live recipe</t>
        </is>
      </c>
      <c r="I36" s="30" t="inlineStr">
        <is>
          <t>Live status Y. notice NOT in the current text. Legal wording first (as live), brand adaptation only after legal OK</t>
        </is>
      </c>
      <c r="J36" s="30" t="inlineStr">
        <is>
          <t>Joomla export 7 Oct</t>
        </is>
      </c>
      <c r="K36" s="30" t="n"/>
    </row>
    <row r="37" ht="22.35" customHeight="1" s="24">
      <c r="A37" s="28" t="n"/>
      <c r="B37" s="30" t="n"/>
      <c r="C37" s="30" t="inlineStr">
        <is>
          <t>AU115-06</t>
        </is>
      </c>
      <c r="D37" s="30" t="inlineStr">
        <is>
          <t>6 Red Roses, Chocolates, Card &amp; Wine</t>
        </is>
      </c>
      <c r="E37" s="30" t="inlineStr">
        <is>
          <t>(outside the five buckets)</t>
        </is>
      </c>
      <c r="F37" s="30" t="inlineStr">
        <is>
          <t>Wine products: 18+ notice</t>
        </is>
      </c>
      <c r="G37" s="34" t="inlineStr">
        <is>
          <t>Ashraf gate file / your rule</t>
        </is>
      </c>
      <c r="H37" s="30" t="inlineStr">
        <is>
          <t>Wine in the live recipe</t>
        </is>
      </c>
      <c r="I37" s="30" t="inlineStr">
        <is>
          <t>Live status Y. notice NOT in the current text. Legal wording first (as live), brand adaptation only after legal OK</t>
        </is>
      </c>
      <c r="J37" s="30" t="inlineStr">
        <is>
          <t>Joomla export 7 Oct</t>
        </is>
      </c>
      <c r="K37" s="30" t="n"/>
    </row>
    <row r="38" ht="22.35" customHeight="1" s="24">
      <c r="A38" s="28" t="n"/>
      <c r="B38" s="30" t="n"/>
      <c r="C38" s="30" t="inlineStr">
        <is>
          <t>AU115-06R</t>
        </is>
      </c>
      <c r="D38" s="30" t="inlineStr">
        <is>
          <t>6 Red Roses and Red Wine Combo</t>
        </is>
      </c>
      <c r="E38" s="30" t="inlineStr">
        <is>
          <t>(outside the five buckets)</t>
        </is>
      </c>
      <c r="F38" s="30" t="inlineStr">
        <is>
          <t>Wine products: 18+ notice</t>
        </is>
      </c>
      <c r="G38" s="34" t="inlineStr">
        <is>
          <t>Ashraf gate file / your rule</t>
        </is>
      </c>
      <c r="H38" s="30" t="inlineStr">
        <is>
          <t>Wine in the live recipe</t>
        </is>
      </c>
      <c r="I38" s="30" t="inlineStr">
        <is>
          <t>Live status Y. notice NOT in the current text. Legal wording first (as live), brand adaptation only after legal OK</t>
        </is>
      </c>
      <c r="J38" s="30" t="inlineStr">
        <is>
          <t>Joomla export 7 Oct</t>
        </is>
      </c>
      <c r="K38" s="30" t="n"/>
    </row>
    <row r="39" ht="22.35" customHeight="1" s="24">
      <c r="A39" s="28" t="n"/>
      <c r="B39" s="30" t="n"/>
      <c r="C39" s="30" t="inlineStr">
        <is>
          <t>AU115-06W</t>
        </is>
      </c>
      <c r="D39" s="30" t="inlineStr">
        <is>
          <t>6 Red Roses and White Wine Combo</t>
        </is>
      </c>
      <c r="E39" s="30" t="inlineStr">
        <is>
          <t>(outside the five buckets)</t>
        </is>
      </c>
      <c r="F39" s="30" t="inlineStr">
        <is>
          <t>Wine products: 18+ notice</t>
        </is>
      </c>
      <c r="G39" s="34" t="inlineStr">
        <is>
          <t>Ashraf gate file / your rule</t>
        </is>
      </c>
      <c r="H39" s="30" t="inlineStr">
        <is>
          <t>Wine in the live recipe</t>
        </is>
      </c>
      <c r="I39" s="30" t="inlineStr">
        <is>
          <t>Live status Y. notice NOT in the current text. Legal wording first (as live), brand adaptation only after legal OK</t>
        </is>
      </c>
      <c r="J39" s="30" t="inlineStr">
        <is>
          <t>Joomla export 7 Oct</t>
        </is>
      </c>
      <c r="K39" s="30" t="n"/>
    </row>
    <row r="40" ht="22.35" customHeight="1" s="24">
      <c r="A40" s="28" t="n"/>
      <c r="B40" s="30" t="n"/>
      <c r="C40" s="30" t="inlineStr">
        <is>
          <t>AU115-12</t>
        </is>
      </c>
      <c r="D40" s="30" t="inlineStr">
        <is>
          <t>12 Red Roses, Chocolates, Card &amp; Wine</t>
        </is>
      </c>
      <c r="E40" s="30" t="inlineStr">
        <is>
          <t>Roses</t>
        </is>
      </c>
      <c r="F40" s="30" t="inlineStr">
        <is>
          <t>Wine products: 18+ notice</t>
        </is>
      </c>
      <c r="G40" s="34" t="inlineStr">
        <is>
          <t>Ashraf gate file / your rule</t>
        </is>
      </c>
      <c r="H40" s="30" t="inlineStr">
        <is>
          <t>Wine in the live recipe</t>
        </is>
      </c>
      <c r="I40" s="30" t="inlineStr">
        <is>
          <t>Live status Y. notice present in the current text. Legal wording first (as live), brand adaptation only after legal OK</t>
        </is>
      </c>
      <c r="J40" s="30" t="inlineStr">
        <is>
          <t>Joomla export 7 Oct</t>
        </is>
      </c>
      <c r="K40" s="30" t="n"/>
    </row>
    <row r="41" ht="22.35" customHeight="1" s="24">
      <c r="A41" s="28" t="n"/>
      <c r="B41" s="30" t="n"/>
      <c r="C41" s="30" t="inlineStr">
        <is>
          <t>AU115-12R</t>
        </is>
      </c>
      <c r="D41" s="30" t="inlineStr">
        <is>
          <t>Dozen Red Roses and Red Wine Combo</t>
        </is>
      </c>
      <c r="E41" s="30" t="inlineStr">
        <is>
          <t>(outside the five buckets)</t>
        </is>
      </c>
      <c r="F41" s="30" t="inlineStr">
        <is>
          <t>Wine products: 18+ notice</t>
        </is>
      </c>
      <c r="G41" s="34" t="inlineStr">
        <is>
          <t>Ashraf gate file / your rule</t>
        </is>
      </c>
      <c r="H41" s="30" t="inlineStr">
        <is>
          <t>Wine in the live recipe</t>
        </is>
      </c>
      <c r="I41" s="30" t="inlineStr">
        <is>
          <t>Live status Y. notice NOT in the current text. Legal wording first (as live), brand adaptation only after legal OK</t>
        </is>
      </c>
      <c r="J41" s="30" t="inlineStr">
        <is>
          <t>Joomla export 7 Oct</t>
        </is>
      </c>
      <c r="K41" s="30" t="n"/>
    </row>
    <row r="42" ht="22.35" customHeight="1" s="24">
      <c r="A42" s="28" t="n"/>
      <c r="B42" s="30" t="n"/>
      <c r="C42" s="30" t="inlineStr">
        <is>
          <t>AU115-12W</t>
        </is>
      </c>
      <c r="D42" s="30" t="inlineStr">
        <is>
          <t>Dozen Red Roses and White Wine Combo</t>
        </is>
      </c>
      <c r="E42" s="30" t="inlineStr">
        <is>
          <t>(outside the five buckets)</t>
        </is>
      </c>
      <c r="F42" s="30" t="inlineStr">
        <is>
          <t>Wine products: 18+ notice</t>
        </is>
      </c>
      <c r="G42" s="34" t="inlineStr">
        <is>
          <t>Ashraf gate file / your rule</t>
        </is>
      </c>
      <c r="H42" s="30" t="inlineStr">
        <is>
          <t>Wine in the live recipe</t>
        </is>
      </c>
      <c r="I42" s="30" t="inlineStr">
        <is>
          <t>Live status Y. notice NOT in the current text. Legal wording first (as live), brand adaptation only after legal OK</t>
        </is>
      </c>
      <c r="J42" s="30" t="inlineStr">
        <is>
          <t>Joomla export 7 Oct</t>
        </is>
      </c>
      <c r="K42" s="30" t="n"/>
    </row>
    <row r="43" ht="22.35" customHeight="1" s="24">
      <c r="A43" s="28" t="n"/>
      <c r="B43" s="30" t="n"/>
      <c r="C43" s="30" t="inlineStr">
        <is>
          <t>AU115-24</t>
        </is>
      </c>
      <c r="D43" s="30" t="inlineStr">
        <is>
          <t>24 Red Roses, Chocolates, Card &amp; Wine</t>
        </is>
      </c>
      <c r="E43" s="30" t="inlineStr">
        <is>
          <t>(outside the five buckets)</t>
        </is>
      </c>
      <c r="F43" s="30" t="inlineStr">
        <is>
          <t>Wine products: 18+ notice</t>
        </is>
      </c>
      <c r="G43" s="34" t="inlineStr">
        <is>
          <t>Ashraf gate file / your rule</t>
        </is>
      </c>
      <c r="H43" s="30" t="inlineStr">
        <is>
          <t>Wine in the live recipe</t>
        </is>
      </c>
      <c r="I43" s="30" t="inlineStr">
        <is>
          <t>Live status Y. notice NOT in the current text. Legal wording first (as live), brand adaptation only after legal OK</t>
        </is>
      </c>
      <c r="J43" s="30" t="inlineStr">
        <is>
          <t>Joomla export 7 Oct</t>
        </is>
      </c>
      <c r="K43" s="30" t="n"/>
    </row>
    <row r="44" ht="22.35" customHeight="1" s="24">
      <c r="A44" s="28" t="n"/>
      <c r="B44" s="30" t="n"/>
      <c r="C44" s="30" t="inlineStr">
        <is>
          <t>AU115-24R</t>
        </is>
      </c>
      <c r="D44" s="30" t="inlineStr">
        <is>
          <t>Two Dozen Red Roses and Red Wine Combo</t>
        </is>
      </c>
      <c r="E44" s="30" t="inlineStr">
        <is>
          <t>(outside the five buckets)</t>
        </is>
      </c>
      <c r="F44" s="30" t="inlineStr">
        <is>
          <t>Wine products: 18+ notice</t>
        </is>
      </c>
      <c r="G44" s="34" t="inlineStr">
        <is>
          <t>Ashraf gate file / your rule</t>
        </is>
      </c>
      <c r="H44" s="30" t="inlineStr">
        <is>
          <t>Wine in the live recipe</t>
        </is>
      </c>
      <c r="I44" s="30" t="inlineStr">
        <is>
          <t>Live status Y. notice NOT in the current text. Legal wording first (as live), brand adaptation only after legal OK</t>
        </is>
      </c>
      <c r="J44" s="30" t="inlineStr">
        <is>
          <t>Joomla export 7 Oct</t>
        </is>
      </c>
      <c r="K44" s="30" t="n"/>
    </row>
    <row r="45" ht="22.35" customHeight="1" s="24">
      <c r="A45" s="28" t="n"/>
      <c r="B45" s="30" t="n"/>
      <c r="C45" s="30" t="inlineStr">
        <is>
          <t>AU115-24W</t>
        </is>
      </c>
      <c r="D45" s="30" t="inlineStr">
        <is>
          <t>24 Red Roses and White Wine Combo</t>
        </is>
      </c>
      <c r="E45" s="30" t="inlineStr">
        <is>
          <t>(outside the five buckets)</t>
        </is>
      </c>
      <c r="F45" s="30" t="inlineStr">
        <is>
          <t>Wine products: 18+ notice</t>
        </is>
      </c>
      <c r="G45" s="34" t="inlineStr">
        <is>
          <t>Ashraf gate file / your rule</t>
        </is>
      </c>
      <c r="H45" s="30" t="inlineStr">
        <is>
          <t>Wine in the live recipe</t>
        </is>
      </c>
      <c r="I45" s="30" t="inlineStr">
        <is>
          <t>Live status Y. notice NOT in the current text. Legal wording first (as live), brand adaptation only after legal OK</t>
        </is>
      </c>
      <c r="J45" s="30" t="inlineStr">
        <is>
          <t>Joomla export 7 Oct</t>
        </is>
      </c>
      <c r="K45" s="30" t="n"/>
    </row>
    <row r="46" ht="22.35" customHeight="1" s="24">
      <c r="A46" s="28" t="n"/>
      <c r="B46" s="30" t="n"/>
      <c r="C46" s="30" t="inlineStr">
        <is>
          <t>AU12-53</t>
        </is>
      </c>
      <c r="D46" s="30" t="inlineStr">
        <is>
          <t>Dozen Roses, Vase, Chocolates &amp; Wine</t>
        </is>
      </c>
      <c r="E46" s="30" t="inlineStr">
        <is>
          <t>(outside the five buckets)</t>
        </is>
      </c>
      <c r="F46" s="30" t="inlineStr">
        <is>
          <t>Wine products: 18+ notice</t>
        </is>
      </c>
      <c r="G46" s="34" t="inlineStr">
        <is>
          <t>Ashraf gate file / your rule</t>
        </is>
      </c>
      <c r="H46" s="30" t="inlineStr">
        <is>
          <t>Wine in the live recipe</t>
        </is>
      </c>
      <c r="I46" s="30" t="inlineStr">
        <is>
          <t>Live status Y. notice NOT in the current text. Legal wording first (as live), brand adaptation only after legal OK</t>
        </is>
      </c>
      <c r="J46" s="30" t="inlineStr">
        <is>
          <t>Joomla export 7 Oct</t>
        </is>
      </c>
      <c r="K46" s="30" t="n"/>
    </row>
    <row r="47" ht="22.35" customHeight="1" s="24">
      <c r="A47" s="28" t="n"/>
      <c r="B47" s="30" t="n"/>
      <c r="C47" s="30" t="inlineStr">
        <is>
          <t>AU13-47</t>
        </is>
      </c>
      <c r="D47" s="30" t="inlineStr">
        <is>
          <t>Dozen Boxed Red Roses Combo III</t>
        </is>
      </c>
      <c r="E47" s="30" t="inlineStr">
        <is>
          <t>Add-Ons</t>
        </is>
      </c>
      <c r="F47" s="30" t="inlineStr">
        <is>
          <t>Wine products: 18+ notice</t>
        </is>
      </c>
      <c r="G47" s="34" t="inlineStr">
        <is>
          <t>Ashraf gate file / your rule</t>
        </is>
      </c>
      <c r="H47" s="30" t="inlineStr">
        <is>
          <t>Wine in the live recipe</t>
        </is>
      </c>
      <c r="I47" s="30" t="inlineStr">
        <is>
          <t>Live status Y. notice NOT in the current text. Legal wording first (as live), brand adaptation only after legal OK</t>
        </is>
      </c>
      <c r="J47" s="30" t="inlineStr">
        <is>
          <t>Joomla export 7 Oct</t>
        </is>
      </c>
      <c r="K47" s="30" t="n"/>
    </row>
    <row r="48" ht="22.35" customHeight="1" s="24">
      <c r="A48" s="28" t="n"/>
      <c r="B48" s="30" t="n"/>
      <c r="C48" s="30" t="inlineStr">
        <is>
          <t>AU61-53</t>
        </is>
      </c>
      <c r="D48" s="30" t="inlineStr">
        <is>
          <t>Christmas Bells Bouquet, Chocolates &amp; Wine</t>
        </is>
      </c>
      <c r="E48" s="30" t="inlineStr">
        <is>
          <t>(outside the five buckets)</t>
        </is>
      </c>
      <c r="F48" s="30" t="inlineStr">
        <is>
          <t>Wine products: 18+ notice</t>
        </is>
      </c>
      <c r="G48" s="34" t="inlineStr">
        <is>
          <t>Ashraf gate file / your rule</t>
        </is>
      </c>
      <c r="H48" s="30" t="inlineStr">
        <is>
          <t>Wine in the live recipe</t>
        </is>
      </c>
      <c r="I48" s="30" t="inlineStr">
        <is>
          <t>Live status N. notice NOT in the current text. Legal wording first (as live), brand adaptation only after legal OK</t>
        </is>
      </c>
      <c r="J48" s="30" t="inlineStr">
        <is>
          <t>Joomla export 7 Oct</t>
        </is>
      </c>
      <c r="K48" s="30" t="n"/>
    </row>
    <row r="49" ht="22.35" customHeight="1" s="24">
      <c r="A49" s="28" t="n"/>
      <c r="B49" s="30" t="n"/>
      <c r="C49" s="30" t="inlineStr">
        <is>
          <t>AUCP100-55</t>
        </is>
      </c>
      <c r="D49" s="30" t="inlineStr">
        <is>
          <t>Crimson Glow Centrepiece</t>
        </is>
      </c>
      <c r="E49" s="30" t="inlineStr">
        <is>
          <t>(outside the five buckets)</t>
        </is>
      </c>
      <c r="F49" s="30" t="inlineStr">
        <is>
          <t>Wine products: 18+ notice</t>
        </is>
      </c>
      <c r="G49" s="34" t="inlineStr">
        <is>
          <t>Ashraf gate file / your rule</t>
        </is>
      </c>
      <c r="H49" s="30" t="inlineStr">
        <is>
          <t>Wine in the live recipe</t>
        </is>
      </c>
      <c r="I49" s="30" t="inlineStr">
        <is>
          <t>Live status N. notice NOT in the current text. Legal wording first (as live), brand adaptation only after legal OK</t>
        </is>
      </c>
      <c r="J49" s="30" t="inlineStr">
        <is>
          <t>Joomla export 7 Oct</t>
        </is>
      </c>
      <c r="K49" s="30" t="n"/>
    </row>
    <row r="50" ht="22.35" customHeight="1" s="24">
      <c r="A50" s="28" t="n"/>
      <c r="B50" s="30" t="n"/>
      <c r="C50" s="30" t="inlineStr">
        <is>
          <t>AUFS-09</t>
        </is>
      </c>
      <c r="D50" s="30" t="inlineStr">
        <is>
          <t>Dozen Mixed Roses &amp; Sauvignon Blanc</t>
        </is>
      </c>
      <c r="E50" s="30" t="inlineStr">
        <is>
          <t>(outside the five buckets)</t>
        </is>
      </c>
      <c r="F50" s="30" t="inlineStr">
        <is>
          <t>Wine products: 18+ notice</t>
        </is>
      </c>
      <c r="G50" s="34" t="inlineStr">
        <is>
          <t>Ashraf gate file / your rule</t>
        </is>
      </c>
      <c r="H50" s="30" t="inlineStr">
        <is>
          <t>Wine in the live recipe</t>
        </is>
      </c>
      <c r="I50" s="30" t="inlineStr">
        <is>
          <t>Live status Y. no current text available. Legal wording first (as live), brand adaptation only after legal OK</t>
        </is>
      </c>
      <c r="J50" s="30" t="inlineStr">
        <is>
          <t>Joomla export 7 Oct</t>
        </is>
      </c>
      <c r="K50" s="30" t="n"/>
    </row>
    <row r="51" ht="22.35" customHeight="1" s="24">
      <c r="A51" s="28" t="n"/>
      <c r="B51" s="30" t="n"/>
      <c r="C51" s="30" t="inlineStr">
        <is>
          <t>AUFS-10</t>
        </is>
      </c>
      <c r="D51" s="30" t="inlineStr">
        <is>
          <t>Dozen Red Roses &amp; Shiraz</t>
        </is>
      </c>
      <c r="E51" s="30" t="inlineStr">
        <is>
          <t>Roses</t>
        </is>
      </c>
      <c r="F51" s="30" t="inlineStr">
        <is>
          <t>Wine products: 18+ notice</t>
        </is>
      </c>
      <c r="G51" s="34" t="inlineStr">
        <is>
          <t>Ashraf gate file / your rule</t>
        </is>
      </c>
      <c r="H51" s="30" t="inlineStr">
        <is>
          <t>Wine in the live recipe</t>
        </is>
      </c>
      <c r="I51" s="30" t="inlineStr">
        <is>
          <t>Live status Y. notice present in the current text. Legal wording first (as live), brand adaptation only after legal OK</t>
        </is>
      </c>
      <c r="J51" s="30" t="inlineStr">
        <is>
          <t>Joomla export 7 Oct</t>
        </is>
      </c>
      <c r="K51" s="30" t="n"/>
    </row>
    <row r="52" ht="22.35" customHeight="1" s="24">
      <c r="A52" s="28" t="n"/>
      <c r="B52" s="30" t="n"/>
      <c r="C52" s="30" t="inlineStr">
        <is>
          <t>AUFS-11</t>
        </is>
      </c>
      <c r="D52" s="30" t="inlineStr">
        <is>
          <t>Dozen Red Roses, Wine &amp; Truffles</t>
        </is>
      </c>
      <c r="E52" s="30" t="inlineStr">
        <is>
          <t>Roses</t>
        </is>
      </c>
      <c r="F52" s="30" t="inlineStr">
        <is>
          <t>Wine products: 18+ notice</t>
        </is>
      </c>
      <c r="G52" s="34" t="inlineStr">
        <is>
          <t>Ashraf gate file / your rule</t>
        </is>
      </c>
      <c r="H52" s="30" t="inlineStr">
        <is>
          <t>Wine in the live recipe</t>
        </is>
      </c>
      <c r="I52" s="30" t="inlineStr">
        <is>
          <t>Live status N. notice present in the current text. Legal wording first (as live), brand adaptation only after legal OK</t>
        </is>
      </c>
      <c r="J52" s="30" t="inlineStr">
        <is>
          <t>Joomla export 7 Oct</t>
        </is>
      </c>
      <c r="K52" s="30" t="n"/>
    </row>
    <row r="53" ht="22.35" customHeight="1" s="24">
      <c r="A53" s="28" t="n"/>
      <c r="B53" s="30" t="n"/>
      <c r="C53" s="30" t="inlineStr">
        <is>
          <t>AUFS-12</t>
        </is>
      </c>
      <c r="D53" s="30" t="inlineStr">
        <is>
          <t>Dozen Mixed Roses Super Combo</t>
        </is>
      </c>
      <c r="E53" s="30" t="inlineStr">
        <is>
          <t>Bouquets</t>
        </is>
      </c>
      <c r="F53" s="30" t="inlineStr">
        <is>
          <t>Wine products: 18+ notice</t>
        </is>
      </c>
      <c r="G53" s="34" t="inlineStr">
        <is>
          <t>Ashraf gate file / your rule</t>
        </is>
      </c>
      <c r="H53" s="30" t="inlineStr">
        <is>
          <t>Wine in the live recipe</t>
        </is>
      </c>
      <c r="I53" s="30" t="inlineStr">
        <is>
          <t>Live status Y. notice NOT in the current text. Legal wording first (as live), brand adaptation only after legal OK</t>
        </is>
      </c>
      <c r="J53" s="30" t="inlineStr">
        <is>
          <t>Joomla export 7 Oct</t>
        </is>
      </c>
      <c r="K53" s="30" t="n"/>
    </row>
    <row r="54" ht="22.35" customHeight="1" s="24">
      <c r="A54" s="28" t="n"/>
      <c r="B54" s="30" t="n"/>
      <c r="C54" s="30" t="inlineStr">
        <is>
          <t>AURP-W10</t>
        </is>
      </c>
      <c r="D54" s="30" t="inlineStr">
        <is>
          <t>Premium White Wine</t>
        </is>
      </c>
      <c r="E54" s="30" t="inlineStr">
        <is>
          <t>(outside the five buckets)</t>
        </is>
      </c>
      <c r="F54" s="30" t="inlineStr">
        <is>
          <t>Wine products: 18+ notice</t>
        </is>
      </c>
      <c r="G54" s="34" t="inlineStr">
        <is>
          <t>Ashraf gate file / your rule</t>
        </is>
      </c>
      <c r="H54" s="30" t="inlineStr">
        <is>
          <t>Wine in the live recipe</t>
        </is>
      </c>
      <c r="I54" s="30" t="inlineStr">
        <is>
          <t>Live status Y. notice NOT in the current text. Legal wording first (as live), brand adaptation only after legal OK</t>
        </is>
      </c>
      <c r="J54" s="30" t="inlineStr">
        <is>
          <t>Joomla export 7 Oct</t>
        </is>
      </c>
      <c r="K54" s="30" t="n"/>
    </row>
    <row r="55" ht="22.35" customHeight="1" s="24">
      <c r="A55" s="28" t="n"/>
      <c r="B55" s="30" t="n"/>
      <c r="C55" s="30" t="inlineStr">
        <is>
          <t>AURP-W10123</t>
        </is>
      </c>
      <c r="D55" s="30" t="inlineStr">
        <is>
          <t>Wine &amp; Vase</t>
        </is>
      </c>
      <c r="E55" s="30" t="inlineStr">
        <is>
          <t>(outside the five buckets)</t>
        </is>
      </c>
      <c r="F55" s="30" t="inlineStr">
        <is>
          <t>Wine products: 18+ notice</t>
        </is>
      </c>
      <c r="G55" s="34" t="inlineStr">
        <is>
          <t>Ashraf gate file / your rule</t>
        </is>
      </c>
      <c r="H55" s="30" t="inlineStr">
        <is>
          <t>Wine in the live recipe</t>
        </is>
      </c>
      <c r="I55" s="30" t="inlineStr">
        <is>
          <t>Live status Y. notice NOT in the current text. Legal wording first (as live), brand adaptation only after legal OK</t>
        </is>
      </c>
      <c r="J55" s="30" t="inlineStr">
        <is>
          <t>Joomla export 7 Oct</t>
        </is>
      </c>
      <c r="K55" s="30" t="n"/>
    </row>
    <row r="56" ht="22.35" customHeight="1" s="24">
      <c r="A56" s="28" t="n"/>
      <c r="B56" s="30" t="n"/>
      <c r="C56" s="30" t="inlineStr">
        <is>
          <t>AURP-W11</t>
        </is>
      </c>
      <c r="D56" s="30" t="inlineStr">
        <is>
          <t>Premium Red Wine</t>
        </is>
      </c>
      <c r="E56" s="30" t="inlineStr">
        <is>
          <t>(outside the five buckets)</t>
        </is>
      </c>
      <c r="F56" s="30" t="inlineStr">
        <is>
          <t>Wine products: 18+ notice</t>
        </is>
      </c>
      <c r="G56" s="34" t="inlineStr">
        <is>
          <t>Ashraf gate file / your rule</t>
        </is>
      </c>
      <c r="H56" s="30" t="inlineStr">
        <is>
          <t>Wine in the live recipe</t>
        </is>
      </c>
      <c r="I56" s="30" t="inlineStr">
        <is>
          <t>Live status Y. notice NOT in the current text. Legal wording first (as live), brand adaptation only after legal OK</t>
        </is>
      </c>
      <c r="J56" s="30" t="inlineStr">
        <is>
          <t>Joomla export 7 Oct</t>
        </is>
      </c>
      <c r="K56" s="30" t="n"/>
    </row>
    <row r="57" ht="22.35" customHeight="1" s="24">
      <c r="A57" s="28" t="n"/>
      <c r="B57" s="30" t="n"/>
      <c r="C57" s="30" t="inlineStr">
        <is>
          <t>AUWB10-09</t>
        </is>
      </c>
      <c r="D57" s="30" t="inlineStr">
        <is>
          <t>White Wine &amp; Sweets</t>
        </is>
      </c>
      <c r="E57" s="30" t="inlineStr">
        <is>
          <t>(outside the five buckets)</t>
        </is>
      </c>
      <c r="F57" s="30" t="inlineStr">
        <is>
          <t>Wine products: 18+ notice</t>
        </is>
      </c>
      <c r="G57" s="34" t="inlineStr">
        <is>
          <t>Ashraf gate file / your rule</t>
        </is>
      </c>
      <c r="H57" s="30" t="inlineStr">
        <is>
          <t>Wine in the live recipe</t>
        </is>
      </c>
      <c r="I57" s="30" t="inlineStr">
        <is>
          <t>Live status N. notice NOT in the current text. Legal wording first (as live), brand adaptation only after legal OK</t>
        </is>
      </c>
      <c r="J57" s="30" t="inlineStr">
        <is>
          <t>Joomla export 7 Oct</t>
        </is>
      </c>
      <c r="K57" s="30" t="n"/>
    </row>
    <row r="58" ht="22.35" customHeight="1" s="24">
      <c r="A58" s="28" t="n"/>
      <c r="B58" s="30" t="n"/>
      <c r="C58" s="30" t="inlineStr">
        <is>
          <t>AUWB10-10</t>
        </is>
      </c>
      <c r="D58" s="30" t="inlineStr">
        <is>
          <t>Champagne &amp; Chocolates</t>
        </is>
      </c>
      <c r="E58" s="30" t="inlineStr">
        <is>
          <t>(outside the five buckets)</t>
        </is>
      </c>
      <c r="F58" s="30" t="inlineStr">
        <is>
          <t>Wine products: 18+ notice</t>
        </is>
      </c>
      <c r="G58" s="34" t="inlineStr">
        <is>
          <t>Ashraf gate file / your rule</t>
        </is>
      </c>
      <c r="H58" s="30" t="inlineStr">
        <is>
          <t>Wine in the live recipe</t>
        </is>
      </c>
      <c r="I58" s="30" t="inlineStr">
        <is>
          <t>Live status N. notice NOT in the current text. Legal wording first (as live), brand adaptation only after legal OK</t>
        </is>
      </c>
      <c r="J58" s="30" t="inlineStr">
        <is>
          <t>Joomla export 7 Oct</t>
        </is>
      </c>
      <c r="K58" s="30" t="n"/>
    </row>
    <row r="59" ht="22.35" customHeight="1" s="24">
      <c r="A59" s="28" t="n"/>
      <c r="B59" s="30" t="n"/>
      <c r="C59" s="30" t="inlineStr">
        <is>
          <t>CCGB-01RW</t>
        </is>
      </c>
      <c r="D59" s="30" t="inlineStr">
        <is>
          <t>Country Christmas Gift Basket Red &amp; White</t>
        </is>
      </c>
      <c r="E59" s="30" t="inlineStr">
        <is>
          <t>(outside the five buckets)</t>
        </is>
      </c>
      <c r="F59" s="30" t="inlineStr">
        <is>
          <t>Wine products: 18+ notice</t>
        </is>
      </c>
      <c r="G59" s="34" t="inlineStr">
        <is>
          <t>Ashraf gate file / your rule</t>
        </is>
      </c>
      <c r="H59" s="30" t="inlineStr">
        <is>
          <t>Wine in the live recipe</t>
        </is>
      </c>
      <c r="I59" s="30" t="inlineStr">
        <is>
          <t>Live status N. notice NOT in the current text. Legal wording first (as live), brand adaptation only after legal OK</t>
        </is>
      </c>
      <c r="J59" s="30" t="inlineStr">
        <is>
          <t>Joomla export 7 Oct</t>
        </is>
      </c>
      <c r="K59" s="30" t="n"/>
    </row>
    <row r="60" ht="22.35" customHeight="1" s="24">
      <c r="A60" s="28" t="n"/>
      <c r="B60" s="30" t="n"/>
      <c r="C60" s="30" t="inlineStr">
        <is>
          <t>GBB75-55</t>
        </is>
      </c>
      <c r="D60" s="30" t="inlineStr">
        <is>
          <t>Treasures of Tuscany</t>
        </is>
      </c>
      <c r="E60" s="30" t="inlineStr">
        <is>
          <t>(outside the five buckets)</t>
        </is>
      </c>
      <c r="F60" s="30" t="inlineStr">
        <is>
          <t>Wine products: 18+ notice</t>
        </is>
      </c>
      <c r="G60" s="34" t="inlineStr">
        <is>
          <t>Ashraf gate file / your rule</t>
        </is>
      </c>
      <c r="H60" s="30" t="inlineStr">
        <is>
          <t>Wine in the live recipe</t>
        </is>
      </c>
      <c r="I60" s="30" t="inlineStr">
        <is>
          <t>Live status Y. no current text available. Legal wording first (as live), brand adaptation only after legal OK</t>
        </is>
      </c>
      <c r="J60" s="30" t="inlineStr">
        <is>
          <t>Joomla export 7 Oct</t>
        </is>
      </c>
      <c r="K60" s="30" t="n"/>
    </row>
    <row r="61" ht="22.35" customHeight="1" s="24">
      <c r="A61" s="28" t="n"/>
      <c r="B61" s="30" t="n"/>
      <c r="C61" s="30" t="inlineStr">
        <is>
          <t>GBCA-05</t>
        </is>
      </c>
      <c r="D61" s="30" t="inlineStr">
        <is>
          <t>Vino &amp; Delights Hamper</t>
        </is>
      </c>
      <c r="E61" s="30" t="inlineStr">
        <is>
          <t>(outside the five buckets)</t>
        </is>
      </c>
      <c r="F61" s="30" t="inlineStr">
        <is>
          <t>Wine products: 18+ notice</t>
        </is>
      </c>
      <c r="G61" s="34" t="inlineStr">
        <is>
          <t>Ashraf gate file / your rule</t>
        </is>
      </c>
      <c r="H61" s="30" t="inlineStr">
        <is>
          <t>Wine in the live recipe</t>
        </is>
      </c>
      <c r="I61" s="30" t="inlineStr">
        <is>
          <t>Live status Y. notice NOT in the current text. Legal wording first (as live), brand adaptation only after legal OK</t>
        </is>
      </c>
      <c r="J61" s="30" t="inlineStr">
        <is>
          <t>Joomla export 7 Oct</t>
        </is>
      </c>
      <c r="K61" s="30" t="n"/>
    </row>
    <row r="62" ht="22.35" customHeight="1" s="24">
      <c r="A62" s="28" t="n"/>
      <c r="B62" s="30" t="n"/>
      <c r="C62" s="30" t="inlineStr">
        <is>
          <t>GBCA-06</t>
        </is>
      </c>
      <c r="D62" s="30" t="inlineStr">
        <is>
          <t>Gourmet Elegance Hamper</t>
        </is>
      </c>
      <c r="E62" s="30" t="inlineStr">
        <is>
          <t>(outside the five buckets)</t>
        </is>
      </c>
      <c r="F62" s="30" t="inlineStr">
        <is>
          <t>Wine products: 18+ notice</t>
        </is>
      </c>
      <c r="G62" s="34" t="inlineStr">
        <is>
          <t>Ashraf gate file / your rule</t>
        </is>
      </c>
      <c r="H62" s="30" t="inlineStr">
        <is>
          <t>Wine in the live recipe</t>
        </is>
      </c>
      <c r="I62" s="30" t="inlineStr">
        <is>
          <t>Live status Y. notice NOT in the current text. Legal wording first (as live), brand adaptation only after legal OK</t>
        </is>
      </c>
      <c r="J62" s="30" t="inlineStr">
        <is>
          <t>Joomla export 7 Oct</t>
        </is>
      </c>
      <c r="K62" s="30" t="n"/>
    </row>
    <row r="63" ht="22.35" customHeight="1" s="24">
      <c r="A63" s="28" t="n"/>
      <c r="B63" s="30" t="n"/>
      <c r="C63" s="30" t="inlineStr">
        <is>
          <t>GBCA-09</t>
        </is>
      </c>
      <c r="D63" s="30" t="inlineStr">
        <is>
          <t>Mini Love Basket Pack</t>
        </is>
      </c>
      <c r="E63" s="30" t="inlineStr">
        <is>
          <t>(outside the five buckets)</t>
        </is>
      </c>
      <c r="F63" s="30" t="inlineStr">
        <is>
          <t>Wine products: 18+ notice</t>
        </is>
      </c>
      <c r="G63" s="34" t="inlineStr">
        <is>
          <t>Ashraf gate file / your rule</t>
        </is>
      </c>
      <c r="H63" s="30" t="inlineStr">
        <is>
          <t>Wine in the live recipe</t>
        </is>
      </c>
      <c r="I63" s="30" t="inlineStr">
        <is>
          <t>Live status Y. notice NOT in the current text. Legal wording first (as live), brand adaptation only after legal OK</t>
        </is>
      </c>
      <c r="J63" s="30" t="inlineStr">
        <is>
          <t>Joomla export 7 Oct</t>
        </is>
      </c>
      <c r="K63" s="30" t="n"/>
    </row>
    <row r="64" ht="22.35" customHeight="1" s="24">
      <c r="A64" s="28" t="n"/>
      <c r="B64" s="30" t="n"/>
      <c r="C64" s="30" t="inlineStr">
        <is>
          <t>GBCA-10</t>
        </is>
      </c>
      <c r="D64" s="30" t="inlineStr">
        <is>
          <t>Gourmet, Fruit &amp; Wine Hamper</t>
        </is>
      </c>
      <c r="E64" s="30" t="inlineStr">
        <is>
          <t>(outside the five buckets)</t>
        </is>
      </c>
      <c r="F64" s="30" t="inlineStr">
        <is>
          <t>Wine products: 18+ notice</t>
        </is>
      </c>
      <c r="G64" s="34" t="inlineStr">
        <is>
          <t>Ashraf gate file / your rule</t>
        </is>
      </c>
      <c r="H64" s="30" t="inlineStr">
        <is>
          <t>Wine in the live recipe</t>
        </is>
      </c>
      <c r="I64" s="30" t="inlineStr">
        <is>
          <t>Live status Y. notice NOT in the current text. Legal wording first (as live), brand adaptation only after legal OK</t>
        </is>
      </c>
      <c r="J64" s="30" t="inlineStr">
        <is>
          <t>Joomla export 7 Oct</t>
        </is>
      </c>
      <c r="K64" s="30" t="n"/>
    </row>
    <row r="65" ht="22.35" customHeight="1" s="24">
      <c r="A65" s="28" t="n"/>
      <c r="B65" s="30" t="n"/>
      <c r="C65" s="30" t="inlineStr">
        <is>
          <t>GWC-01</t>
        </is>
      </c>
      <c r="D65" s="30" t="inlineStr">
        <is>
          <t>Premium Wine Collection</t>
        </is>
      </c>
      <c r="E65" s="30" t="inlineStr">
        <is>
          <t>(outside the five buckets)</t>
        </is>
      </c>
      <c r="F65" s="30" t="inlineStr">
        <is>
          <t>Wine products: 18+ notice</t>
        </is>
      </c>
      <c r="G65" s="34" t="inlineStr">
        <is>
          <t>Ashraf gate file / your rule</t>
        </is>
      </c>
      <c r="H65" s="30" t="inlineStr">
        <is>
          <t>Wine in the live recipe</t>
        </is>
      </c>
      <c r="I65" s="30" t="inlineStr">
        <is>
          <t>Live status Y. notice NOT in the current text. Legal wording first (as live), brand adaptation only after legal OK</t>
        </is>
      </c>
      <c r="J65" s="30" t="inlineStr">
        <is>
          <t>Joomla export 7 Oct</t>
        </is>
      </c>
      <c r="K65" s="30" t="n"/>
    </row>
    <row r="66" ht="22.35" customHeight="1" s="24">
      <c r="A66" s="28" t="n"/>
      <c r="B66" s="30" t="n"/>
      <c r="C66" s="30" t="inlineStr">
        <is>
          <t>GWC-03</t>
        </is>
      </c>
      <c r="D66" s="30" t="inlineStr">
        <is>
          <t>Premium Wine Collection III</t>
        </is>
      </c>
      <c r="E66" s="30" t="inlineStr">
        <is>
          <t>(outside the five buckets)</t>
        </is>
      </c>
      <c r="F66" s="30" t="inlineStr">
        <is>
          <t>Wine products: 18+ notice</t>
        </is>
      </c>
      <c r="G66" s="34" t="inlineStr">
        <is>
          <t>Ashraf gate file / your rule</t>
        </is>
      </c>
      <c r="H66" s="30" t="inlineStr">
        <is>
          <t>Wine in the live recipe</t>
        </is>
      </c>
      <c r="I66" s="30" t="inlineStr">
        <is>
          <t>Live status Y. notice NOT in the current text. Legal wording first (as live), brand adaptation only after legal OK</t>
        </is>
      </c>
      <c r="J66" s="30" t="inlineStr">
        <is>
          <t>Joomla export 7 Oct</t>
        </is>
      </c>
      <c r="K66" s="30" t="n"/>
    </row>
    <row r="67" ht="22.35" customHeight="1" s="24">
      <c r="A67" s="28" t="n"/>
      <c r="B67" s="30" t="n"/>
      <c r="C67" s="30" t="inlineStr">
        <is>
          <t>GWC-04</t>
        </is>
      </c>
      <c r="D67" s="30" t="inlineStr">
        <is>
          <t>Premium Wine Collection IV</t>
        </is>
      </c>
      <c r="E67" s="30" t="inlineStr">
        <is>
          <t>(outside the five buckets)</t>
        </is>
      </c>
      <c r="F67" s="30" t="inlineStr">
        <is>
          <t>Wine products: 18+ notice</t>
        </is>
      </c>
      <c r="G67" s="34" t="inlineStr">
        <is>
          <t>Ashraf gate file / your rule</t>
        </is>
      </c>
      <c r="H67" s="30" t="inlineStr">
        <is>
          <t>Wine in the live recipe</t>
        </is>
      </c>
      <c r="I67" s="30" t="inlineStr">
        <is>
          <t>Live status Y. notice NOT in the current text. Legal wording first (as live), brand adaptation only after legal OK</t>
        </is>
      </c>
      <c r="J67" s="30" t="inlineStr">
        <is>
          <t>Joomla export 7 Oct</t>
        </is>
      </c>
      <c r="K67" s="30" t="n"/>
    </row>
    <row r="68" ht="22.35" customHeight="1" s="24">
      <c r="A68" s="28" t="n"/>
      <c r="B68" s="30" t="n"/>
      <c r="C68" s="30" t="inlineStr">
        <is>
          <t>GWC-VW</t>
        </is>
      </c>
      <c r="D68" s="30" t="inlineStr">
        <is>
          <t>Deluxe Wine Collection</t>
        </is>
      </c>
      <c r="E68" s="30" t="inlineStr">
        <is>
          <t>(outside the five buckets)</t>
        </is>
      </c>
      <c r="F68" s="30" t="inlineStr">
        <is>
          <t>Wine products: 18+ notice</t>
        </is>
      </c>
      <c r="G68" s="34" t="inlineStr">
        <is>
          <t>Ashraf gate file / your rule</t>
        </is>
      </c>
      <c r="H68" s="30" t="inlineStr">
        <is>
          <t>Wine in the live recipe</t>
        </is>
      </c>
      <c r="I68" s="30" t="inlineStr">
        <is>
          <t>Live status N. notice NOT in the current text. Legal wording first (as live), brand adaptation only after legal OK</t>
        </is>
      </c>
      <c r="J68" s="30" t="inlineStr">
        <is>
          <t>Joomla export 7 Oct</t>
        </is>
      </c>
      <c r="K68" s="30" t="n"/>
    </row>
    <row r="69" ht="22.35" customHeight="1" s="24">
      <c r="A69" s="28" t="n"/>
      <c r="B69" s="30" t="n"/>
      <c r="C69" s="30" t="inlineStr">
        <is>
          <t>MJ99-08</t>
        </is>
      </c>
      <c r="D69" s="30" t="inlineStr">
        <is>
          <t>50 Blooms of Holiday Alstroemeria in Mason Jar</t>
        </is>
      </c>
      <c r="E69" s="30" t="inlineStr">
        <is>
          <t>(outside the five buckets)</t>
        </is>
      </c>
      <c r="F69" s="30" t="inlineStr">
        <is>
          <t>Wine products: 18+ notice</t>
        </is>
      </c>
      <c r="G69" s="34" t="inlineStr">
        <is>
          <t>Ashraf gate file / your rule</t>
        </is>
      </c>
      <c r="H69" s="30" t="inlineStr">
        <is>
          <t>Wine in the live recipe</t>
        </is>
      </c>
      <c r="I69" s="30" t="inlineStr">
        <is>
          <t>Live status Y. notice NOT in the current text. Legal wording first (as live), brand adaptation only after legal OK</t>
        </is>
      </c>
      <c r="J69" s="30" t="inlineStr">
        <is>
          <t>Joomla export 7 Oct</t>
        </is>
      </c>
      <c r="K69" s="30" t="n"/>
    </row>
    <row r="70" ht="22.35" customHeight="1" s="24">
      <c r="A70" s="28" t="n"/>
      <c r="B70" s="30" t="n"/>
      <c r="C70" s="30" t="inlineStr">
        <is>
          <t>PGBOX06</t>
        </is>
      </c>
      <c r="D70" s="30" t="inlineStr">
        <is>
          <t>Fruit &amp; Bubbly Gift Box</t>
        </is>
      </c>
      <c r="E70" s="30" t="inlineStr">
        <is>
          <t>(outside the five buckets)</t>
        </is>
      </c>
      <c r="F70" s="30" t="inlineStr">
        <is>
          <t>Wine products: 18+ notice</t>
        </is>
      </c>
      <c r="G70" s="34" t="inlineStr">
        <is>
          <t>Ashraf gate file / your rule</t>
        </is>
      </c>
      <c r="H70" s="30" t="inlineStr">
        <is>
          <t>Wine in the live recipe</t>
        </is>
      </c>
      <c r="I70" s="30" t="inlineStr">
        <is>
          <t>Live status Y. notice NOT in the current text. Legal wording first (as live), brand adaptation only after legal OK</t>
        </is>
      </c>
      <c r="J70" s="30" t="inlineStr">
        <is>
          <t>Joomla export 7 Oct</t>
        </is>
      </c>
      <c r="K70" s="30" t="n"/>
    </row>
    <row r="71" ht="22.35" customHeight="1" s="24">
      <c r="A71" s="28" t="n"/>
      <c r="B71" s="30" t="n"/>
      <c r="C71" s="30" t="inlineStr">
        <is>
          <t>PGBOX07</t>
        </is>
      </c>
      <c r="D71" s="30" t="inlineStr">
        <is>
          <t>Fruit &amp; White Wine Gift Box</t>
        </is>
      </c>
      <c r="E71" s="30" t="inlineStr">
        <is>
          <t>(outside the five buckets)</t>
        </is>
      </c>
      <c r="F71" s="30" t="inlineStr">
        <is>
          <t>Wine products: 18+ notice</t>
        </is>
      </c>
      <c r="G71" s="34" t="inlineStr">
        <is>
          <t>Ashraf gate file / your rule</t>
        </is>
      </c>
      <c r="H71" s="30" t="inlineStr">
        <is>
          <t>Wine in the live recipe</t>
        </is>
      </c>
      <c r="I71" s="30" t="inlineStr">
        <is>
          <t>Live status Y. notice NOT in the current text. Legal wording first (as live), brand adaptation only after legal OK</t>
        </is>
      </c>
      <c r="J71" s="30" t="inlineStr">
        <is>
          <t>Joomla export 7 Oct</t>
        </is>
      </c>
      <c r="K71" s="30" t="n"/>
    </row>
    <row r="72" ht="22.35" customHeight="1" s="24">
      <c r="A72" s="28" t="n"/>
      <c r="B72" s="30" t="n"/>
      <c r="C72" s="30" t="inlineStr">
        <is>
          <t>PGBOX08</t>
        </is>
      </c>
      <c r="D72" s="30" t="inlineStr">
        <is>
          <t>Fruit &amp; Red Wine Gift Box</t>
        </is>
      </c>
      <c r="E72" s="30" t="inlineStr">
        <is>
          <t>(outside the five buckets)</t>
        </is>
      </c>
      <c r="F72" s="30" t="inlineStr">
        <is>
          <t>Wine products: 18+ notice</t>
        </is>
      </c>
      <c r="G72" s="34" t="inlineStr">
        <is>
          <t>Ashraf gate file / your rule</t>
        </is>
      </c>
      <c r="H72" s="30" t="inlineStr">
        <is>
          <t>Wine in the live recipe</t>
        </is>
      </c>
      <c r="I72" s="30" t="inlineStr">
        <is>
          <t>Live status Y. notice NOT in the current text. Legal wording first (as live), brand adaptation only after legal OK</t>
        </is>
      </c>
      <c r="J72" s="30" t="inlineStr">
        <is>
          <t>Joomla export 7 Oct</t>
        </is>
      </c>
      <c r="K72" s="30" t="n"/>
    </row>
    <row r="73" ht="22.35" customHeight="1" s="24">
      <c r="A73" s="28" t="n"/>
      <c r="B73" s="30" t="n"/>
      <c r="C73" s="30" t="inlineStr">
        <is>
          <t>PGBOX09</t>
        </is>
      </c>
      <c r="D73" s="30" t="inlineStr">
        <is>
          <t>White Wine Cheese &amp; Crackers Gift Box</t>
        </is>
      </c>
      <c r="E73" s="30" t="inlineStr">
        <is>
          <t>(outside the five buckets)</t>
        </is>
      </c>
      <c r="F73" s="30" t="inlineStr">
        <is>
          <t>Wine products: 18+ notice</t>
        </is>
      </c>
      <c r="G73" s="34" t="inlineStr">
        <is>
          <t>Ashraf gate file / your rule</t>
        </is>
      </c>
      <c r="H73" s="30" t="inlineStr">
        <is>
          <t>Wine in the live recipe</t>
        </is>
      </c>
      <c r="I73" s="30" t="inlineStr">
        <is>
          <t>Live status Y. notice NOT in the current text. Legal wording first (as live), brand adaptation only after legal OK</t>
        </is>
      </c>
      <c r="J73" s="30" t="inlineStr">
        <is>
          <t>Joomla export 7 Oct</t>
        </is>
      </c>
      <c r="K73" s="30" t="n"/>
    </row>
    <row r="74" ht="22.35" customHeight="1" s="24">
      <c r="A74" s="28" t="n"/>
      <c r="B74" s="30" t="n"/>
      <c r="C74" s="30" t="inlineStr">
        <is>
          <t>PGBOX10</t>
        </is>
      </c>
      <c r="D74" s="30" t="inlineStr">
        <is>
          <t>Lindt &amp; Bubbly Gift Box</t>
        </is>
      </c>
      <c r="E74" s="30" t="inlineStr">
        <is>
          <t>(outside the five buckets)</t>
        </is>
      </c>
      <c r="F74" s="30" t="inlineStr">
        <is>
          <t>Wine products: 18+ notice</t>
        </is>
      </c>
      <c r="G74" s="34" t="inlineStr">
        <is>
          <t>Ashraf gate file / your rule</t>
        </is>
      </c>
      <c r="H74" s="30" t="inlineStr">
        <is>
          <t>Wine in the live recipe</t>
        </is>
      </c>
      <c r="I74" s="30" t="inlineStr">
        <is>
          <t>Live status Y. notice NOT in the current text. Legal wording first (as live), brand adaptation only after legal OK</t>
        </is>
      </c>
      <c r="J74" s="30" t="inlineStr">
        <is>
          <t>Joomla export 7 Oct</t>
        </is>
      </c>
      <c r="K74" s="30" t="n"/>
    </row>
    <row r="75" ht="22.35" customHeight="1" s="24">
      <c r="A75" s="28" t="n"/>
      <c r="B75" s="30" t="n"/>
      <c r="C75" s="30" t="inlineStr">
        <is>
          <t>WBA54-01</t>
        </is>
      </c>
      <c r="D75" s="30" t="inlineStr">
        <is>
          <t>Wine &amp; Gourmet Gift Basket</t>
        </is>
      </c>
      <c r="E75" s="30" t="inlineStr">
        <is>
          <t>(outside the five buckets)</t>
        </is>
      </c>
      <c r="F75" s="30" t="inlineStr">
        <is>
          <t>Wine products: 18+ notice</t>
        </is>
      </c>
      <c r="G75" s="34" t="inlineStr">
        <is>
          <t>Ashraf gate file / your rule</t>
        </is>
      </c>
      <c r="H75" s="30" t="inlineStr">
        <is>
          <t>Wine in the live recipe</t>
        </is>
      </c>
      <c r="I75" s="30" t="inlineStr">
        <is>
          <t>Live status Y. notice NOT in the current text. Legal wording first (as live), brand adaptation only after legal OK</t>
        </is>
      </c>
      <c r="J75" s="30" t="inlineStr">
        <is>
          <t>Joomla export 7 Oct</t>
        </is>
      </c>
      <c r="K75" s="30" t="n"/>
    </row>
    <row r="76" ht="22.35" customHeight="1" s="24">
      <c r="A76" s="28" t="n"/>
      <c r="B76" s="30" t="n"/>
      <c r="C76" s="30" t="inlineStr">
        <is>
          <t>WBAU10-02</t>
        </is>
      </c>
      <c r="D76" s="30" t="inlineStr">
        <is>
          <t>Classic Red Wine Basket</t>
        </is>
      </c>
      <c r="E76" s="30" t="inlineStr">
        <is>
          <t>(outside the five buckets)</t>
        </is>
      </c>
      <c r="F76" s="30" t="inlineStr">
        <is>
          <t>Wine products: 18+ notice</t>
        </is>
      </c>
      <c r="G76" s="34" t="inlineStr">
        <is>
          <t>Ashraf gate file / your rule</t>
        </is>
      </c>
      <c r="H76" s="30" t="inlineStr">
        <is>
          <t>Wine in the live recipe</t>
        </is>
      </c>
      <c r="I76" s="30" t="inlineStr">
        <is>
          <t>Live status Y. notice NOT in the current text. Legal wording first (as live), brand adaptation only after legal OK</t>
        </is>
      </c>
      <c r="J76" s="30" t="inlineStr">
        <is>
          <t>Joomla export 7 Oct</t>
        </is>
      </c>
      <c r="K76" s="30" t="n"/>
    </row>
    <row r="77" ht="22.35" customHeight="1" s="24">
      <c r="A77" s="28" t="n"/>
      <c r="B77" s="30" t="n"/>
      <c r="C77" s="30" t="inlineStr">
        <is>
          <t>WBAU10-03</t>
        </is>
      </c>
      <c r="D77" s="30" t="inlineStr">
        <is>
          <t>Wine Duo Basket</t>
        </is>
      </c>
      <c r="E77" s="30" t="inlineStr">
        <is>
          <t>(outside the five buckets)</t>
        </is>
      </c>
      <c r="F77" s="30" t="inlineStr">
        <is>
          <t>Wine products: 18+ notice</t>
        </is>
      </c>
      <c r="G77" s="34" t="inlineStr">
        <is>
          <t>Ashraf gate file / your rule</t>
        </is>
      </c>
      <c r="H77" s="30" t="inlineStr">
        <is>
          <t>Wine in the live recipe</t>
        </is>
      </c>
      <c r="I77" s="30" t="inlineStr">
        <is>
          <t>Live status Y. notice NOT in the current text. Legal wording first (as live), brand adaptation only after legal OK</t>
        </is>
      </c>
      <c r="J77" s="30" t="inlineStr">
        <is>
          <t>Joomla export 7 Oct</t>
        </is>
      </c>
      <c r="K77" s="30" t="n"/>
    </row>
    <row r="78" ht="22.35" customHeight="1" s="24">
      <c r="A78" s="28" t="n"/>
      <c r="B78" s="30" t="n"/>
      <c r="C78" s="30" t="inlineStr">
        <is>
          <t>WBAU10-03WB</t>
        </is>
      </c>
      <c r="D78" s="30" t="inlineStr">
        <is>
          <t>Deluxe Wine Duo Basket</t>
        </is>
      </c>
      <c r="E78" s="30" t="inlineStr">
        <is>
          <t>(outside the five buckets)</t>
        </is>
      </c>
      <c r="F78" s="30" t="inlineStr">
        <is>
          <t>Wine products: 18+ notice</t>
        </is>
      </c>
      <c r="G78" s="34" t="inlineStr">
        <is>
          <t>Ashraf gate file / your rule</t>
        </is>
      </c>
      <c r="H78" s="30" t="inlineStr">
        <is>
          <t>Wine in the live recipe</t>
        </is>
      </c>
      <c r="I78" s="30" t="inlineStr">
        <is>
          <t>Live status Y. notice NOT in the current text. Legal wording first (as live), brand adaptation only after legal OK</t>
        </is>
      </c>
      <c r="J78" s="30" t="inlineStr">
        <is>
          <t>Joomla export 7 Oct</t>
        </is>
      </c>
      <c r="K78" s="30" t="n"/>
    </row>
    <row r="79" ht="22.35" customHeight="1" s="24">
      <c r="A79" s="28" t="n"/>
      <c r="B79" s="30" t="n"/>
      <c r="C79" s="30" t="inlineStr">
        <is>
          <t>WBAU10-04</t>
        </is>
      </c>
      <c r="D79" s="30" t="inlineStr">
        <is>
          <t>White Wine Gourmet</t>
        </is>
      </c>
      <c r="E79" s="30" t="inlineStr">
        <is>
          <t>(outside the five buckets)</t>
        </is>
      </c>
      <c r="F79" s="30" t="inlineStr">
        <is>
          <t>Wine products: 18+ notice</t>
        </is>
      </c>
      <c r="G79" s="34" t="inlineStr">
        <is>
          <t>Ashraf gate file / your rule</t>
        </is>
      </c>
      <c r="H79" s="30" t="inlineStr">
        <is>
          <t>Wine in the live recipe</t>
        </is>
      </c>
      <c r="I79" s="30" t="inlineStr">
        <is>
          <t>Live status Y. notice NOT in the current text. Legal wording first (as live), brand adaptation only after legal OK</t>
        </is>
      </c>
      <c r="J79" s="30" t="inlineStr">
        <is>
          <t>Joomla export 7 Oct</t>
        </is>
      </c>
      <c r="K79" s="30" t="n"/>
    </row>
    <row r="80" ht="22.35" customHeight="1" s="24">
      <c r="A80" s="28" t="n"/>
      <c r="B80" s="30" t="n"/>
      <c r="C80" s="30" t="inlineStr">
        <is>
          <t>WBAU10-05</t>
        </is>
      </c>
      <c r="D80" s="30" t="inlineStr">
        <is>
          <t>Red Wine Gourmet</t>
        </is>
      </c>
      <c r="E80" s="30" t="inlineStr">
        <is>
          <t>(outside the five buckets)</t>
        </is>
      </c>
      <c r="F80" s="30" t="inlineStr">
        <is>
          <t>Wine products: 18+ notice</t>
        </is>
      </c>
      <c r="G80" s="34" t="inlineStr">
        <is>
          <t>Ashraf gate file / your rule</t>
        </is>
      </c>
      <c r="H80" s="30" t="inlineStr">
        <is>
          <t>Wine in the live recipe</t>
        </is>
      </c>
      <c r="I80" s="30" t="inlineStr">
        <is>
          <t>Live status Y. notice NOT in the current text. Legal wording first (as live), brand adaptation only after legal OK</t>
        </is>
      </c>
      <c r="J80" s="30" t="inlineStr">
        <is>
          <t>Joomla export 7 Oct</t>
        </is>
      </c>
      <c r="K80" s="30" t="n"/>
    </row>
    <row r="81" ht="22.35" customHeight="1" s="24">
      <c r="A81" s="28" t="n"/>
      <c r="B81" s="30" t="n"/>
      <c r="C81" s="30" t="inlineStr">
        <is>
          <t>WBAU10-06</t>
        </is>
      </c>
      <c r="D81" s="30" t="inlineStr">
        <is>
          <t>Elegant Wine Basket</t>
        </is>
      </c>
      <c r="E81" s="30" t="inlineStr">
        <is>
          <t>(outside the five buckets)</t>
        </is>
      </c>
      <c r="F81" s="30" t="inlineStr">
        <is>
          <t>Wine products: 18+ notice</t>
        </is>
      </c>
      <c r="G81" s="34" t="inlineStr">
        <is>
          <t>Ashraf gate file / your rule</t>
        </is>
      </c>
      <c r="H81" s="30" t="inlineStr">
        <is>
          <t>Wine in the live recipe</t>
        </is>
      </c>
      <c r="I81" s="30" t="inlineStr">
        <is>
          <t>Live status N. notice NOT in the current text. Legal wording first (as live), brand adaptation only after legal OK</t>
        </is>
      </c>
      <c r="J81" s="30" t="inlineStr">
        <is>
          <t>Joomla export 7 Oct</t>
        </is>
      </c>
      <c r="K81" s="30" t="n"/>
    </row>
    <row r="82" ht="22.35" customHeight="1" s="24">
      <c r="A82" s="28" t="n"/>
      <c r="B82" s="30" t="n"/>
      <c r="C82" s="30" t="inlineStr">
        <is>
          <t>WBAU10-07</t>
        </is>
      </c>
      <c r="D82" s="30" t="inlineStr">
        <is>
          <t>White Wine Finesse</t>
        </is>
      </c>
      <c r="E82" s="30" t="inlineStr">
        <is>
          <t>(outside the five buckets)</t>
        </is>
      </c>
      <c r="F82" s="30" t="inlineStr">
        <is>
          <t>Wine products: 18+ notice</t>
        </is>
      </c>
      <c r="G82" s="34" t="inlineStr">
        <is>
          <t>Ashraf gate file / your rule</t>
        </is>
      </c>
      <c r="H82" s="30" t="inlineStr">
        <is>
          <t>Wine in the live recipe</t>
        </is>
      </c>
      <c r="I82" s="30" t="inlineStr">
        <is>
          <t>Live status N. notice NOT in the current text. Legal wording first (as live), brand adaptation only after legal OK</t>
        </is>
      </c>
      <c r="J82" s="30" t="inlineStr">
        <is>
          <t>Joomla export 7 Oct</t>
        </is>
      </c>
      <c r="K82" s="30" t="n"/>
    </row>
    <row r="83" ht="22.35" customHeight="1" s="24">
      <c r="A83" s="28" t="n"/>
      <c r="B83" s="30" t="n"/>
      <c r="C83" s="30" t="inlineStr">
        <is>
          <t>WBAU10-11</t>
        </is>
      </c>
      <c r="D83" s="30" t="inlineStr">
        <is>
          <t>Wine Lovers Basket</t>
        </is>
      </c>
      <c r="E83" s="30" t="inlineStr">
        <is>
          <t>(outside the five buckets)</t>
        </is>
      </c>
      <c r="F83" s="30" t="inlineStr">
        <is>
          <t>Wine products: 18+ notice</t>
        </is>
      </c>
      <c r="G83" s="34" t="inlineStr">
        <is>
          <t>Ashraf gate file / your rule</t>
        </is>
      </c>
      <c r="H83" s="30" t="inlineStr">
        <is>
          <t>Wine in the live recipe</t>
        </is>
      </c>
      <c r="I83" s="30" t="inlineStr">
        <is>
          <t>Live status Y. notice NOT in the current text. Legal wording first (as live), brand adaptation only after legal OK</t>
        </is>
      </c>
      <c r="J83" s="30" t="inlineStr">
        <is>
          <t>Joomla export 7 Oct</t>
        </is>
      </c>
      <c r="K83" s="30" t="n"/>
    </row>
    <row r="84" ht="22.35" customHeight="1" s="24">
      <c r="A84" s="28" t="n"/>
      <c r="B84" s="30" t="n"/>
      <c r="C84" s="30" t="inlineStr">
        <is>
          <t>WBAU85-01</t>
        </is>
      </c>
      <c r="D84" s="30" t="inlineStr">
        <is>
          <t>Deluxe Red Wine &amp; Cheese Hamper</t>
        </is>
      </c>
      <c r="E84" s="30" t="inlineStr">
        <is>
          <t>(outside the five buckets)</t>
        </is>
      </c>
      <c r="F84" s="30" t="inlineStr">
        <is>
          <t>Wine products: 18+ notice</t>
        </is>
      </c>
      <c r="G84" s="34" t="inlineStr">
        <is>
          <t>Ashraf gate file / your rule</t>
        </is>
      </c>
      <c r="H84" s="30" t="inlineStr">
        <is>
          <t>Wine in the live recipe</t>
        </is>
      </c>
      <c r="I84" s="30" t="inlineStr">
        <is>
          <t>Live status Y. notice NOT in the current text. Legal wording first (as live), brand adaptation only after legal OK</t>
        </is>
      </c>
      <c r="J84" s="30" t="inlineStr">
        <is>
          <t>Joomla export 7 Oct</t>
        </is>
      </c>
      <c r="K84" s="30" t="n"/>
    </row>
    <row r="85" ht="22.35" customHeight="1" s="24">
      <c r="A85" s="28" t="n"/>
      <c r="B85" s="30" t="n"/>
      <c r="C85" s="30" t="inlineStr">
        <is>
          <t>WBLD-BB</t>
        </is>
      </c>
      <c r="D85" s="30" t="inlineStr">
        <is>
          <t>Lindt &amp; Bubbly</t>
        </is>
      </c>
      <c r="E85" s="30" t="inlineStr">
        <is>
          <t>(outside the five buckets)</t>
        </is>
      </c>
      <c r="F85" s="30" t="inlineStr">
        <is>
          <t>Wine products: 18+ notice</t>
        </is>
      </c>
      <c r="G85" s="34" t="inlineStr">
        <is>
          <t>Ashraf gate file / your rule</t>
        </is>
      </c>
      <c r="H85" s="30" t="inlineStr">
        <is>
          <t>Wine in the live recipe</t>
        </is>
      </c>
      <c r="I85" s="30" t="inlineStr">
        <is>
          <t>Live status N. no current text available. Legal wording first (as live), brand adaptation only after legal OK</t>
        </is>
      </c>
      <c r="J85" s="30" t="inlineStr">
        <is>
          <t>Joomla export 7 Oct</t>
        </is>
      </c>
      <c r="K85" s="30" t="n"/>
    </row>
    <row r="86" ht="22.35" customHeight="1" s="24">
      <c r="A86" s="28" t="n"/>
      <c r="B86" s="30" t="n"/>
      <c r="C86" s="30" t="inlineStr">
        <is>
          <t>WBLD-RW</t>
        </is>
      </c>
      <c r="D86" s="30" t="inlineStr">
        <is>
          <t>Lindt &amp; Red</t>
        </is>
      </c>
      <c r="E86" s="30" t="inlineStr">
        <is>
          <t>(outside the five buckets)</t>
        </is>
      </c>
      <c r="F86" s="30" t="inlineStr">
        <is>
          <t>Wine products: 18+ notice</t>
        </is>
      </c>
      <c r="G86" s="34" t="inlineStr">
        <is>
          <t>Ashraf gate file / your rule</t>
        </is>
      </c>
      <c r="H86" s="30" t="inlineStr">
        <is>
          <t>Wine in the live recipe</t>
        </is>
      </c>
      <c r="I86" s="30" t="inlineStr">
        <is>
          <t>Live status Y. notice NOT in the current text. Legal wording first (as live), brand adaptation only after legal OK</t>
        </is>
      </c>
      <c r="J86" s="30" t="inlineStr">
        <is>
          <t>Joomla export 7 Oct</t>
        </is>
      </c>
      <c r="K86" s="30" t="n"/>
    </row>
    <row r="87" ht="22.35" customHeight="1" s="24">
      <c r="A87" s="28" t="n"/>
      <c r="B87" s="30" t="n"/>
      <c r="C87" s="30" t="inlineStr">
        <is>
          <t>WBLD-WW</t>
        </is>
      </c>
      <c r="D87" s="30" t="inlineStr">
        <is>
          <t>Lindt &amp; White</t>
        </is>
      </c>
      <c r="E87" s="30" t="inlineStr">
        <is>
          <t>(outside the five buckets)</t>
        </is>
      </c>
      <c r="F87" s="30" t="inlineStr">
        <is>
          <t>Wine products: 18+ notice</t>
        </is>
      </c>
      <c r="G87" s="34" t="inlineStr">
        <is>
          <t>Ashraf gate file / your rule</t>
        </is>
      </c>
      <c r="H87" s="30" t="inlineStr">
        <is>
          <t>Wine in the live recipe</t>
        </is>
      </c>
      <c r="I87" s="30" t="inlineStr">
        <is>
          <t>Live status Y. notice NOT in the current text. Legal wording first (as live), brand adaptation only after legal OK</t>
        </is>
      </c>
      <c r="J87" s="30" t="inlineStr">
        <is>
          <t>Joomla export 7 Oct</t>
        </is>
      </c>
      <c r="K87" s="30" t="n"/>
    </row>
    <row r="88" ht="22.35" customHeight="1" s="24">
      <c r="A88" s="28" t="n"/>
      <c r="B88" s="30" t="n"/>
      <c r="C88" s="30" t="inlineStr">
        <is>
          <t>WBLD-WW-VW</t>
        </is>
      </c>
      <c r="D88" s="30" t="inlineStr">
        <is>
          <t>Lindt &amp; Chardonnay Basket</t>
        </is>
      </c>
      <c r="E88" s="30" t="inlineStr">
        <is>
          <t>(outside the five buckets)</t>
        </is>
      </c>
      <c r="F88" s="30" t="inlineStr">
        <is>
          <t>Wine products: 18+ notice</t>
        </is>
      </c>
      <c r="G88" s="34" t="inlineStr">
        <is>
          <t>Ashraf gate file / your rule</t>
        </is>
      </c>
      <c r="H88" s="30" t="inlineStr">
        <is>
          <t>Wine in the live recipe</t>
        </is>
      </c>
      <c r="I88" s="30" t="inlineStr">
        <is>
          <t>Live status Y. notice NOT in the current text. Legal wording first (as live), brand adaptation only after legal OK</t>
        </is>
      </c>
      <c r="J88" s="30" t="inlineStr">
        <is>
          <t>Joomla export 7 Oct</t>
        </is>
      </c>
      <c r="K88" s="30" t="n"/>
    </row>
    <row r="89" ht="22.35" customHeight="1" s="24">
      <c r="A89" s="28" t="n"/>
      <c r="B89" s="30" t="n"/>
      <c r="C89" s="30" t="inlineStr">
        <is>
          <t>AU1111-04</t>
        </is>
      </c>
      <c r="D89" s="30" t="inlineStr">
        <is>
          <t>24 Pink and White Roses</t>
        </is>
      </c>
      <c r="E89" s="30" t="inlineStr">
        <is>
          <t>Bouquets</t>
        </is>
      </c>
      <c r="F89" s="30" t="inlineStr">
        <is>
          <t>Ashraf gate item</t>
        </is>
      </c>
      <c r="G89" s="34" t="inlineStr">
        <is>
          <t>Ashraf gate file</t>
        </is>
      </c>
      <c r="H89" s="30" t="inlineStr">
        <is>
          <t>Gate: Approved split</t>
        </is>
      </c>
      <c r="I89" s="30" t="inlineStr">
        <is>
          <t>Half light pink / half white approved; ingredient carried, price unchanged. Master Standard still shows 24 white until updated (resolved)</t>
        </is>
      </c>
      <c r="J89" s="30" t="inlineStr">
        <is>
          <t>Ashraf gate file</t>
        </is>
      </c>
      <c r="K89" s="30" t="inlineStr">
        <is>
          <t>Benny (Jarrod from about 12 Oct)</t>
        </is>
      </c>
    </row>
    <row r="90" ht="22.35" customHeight="1" s="24">
      <c r="A90" s="28" t="n"/>
      <c r="B90" s="30" t="n"/>
      <c r="C90" s="30" t="inlineStr">
        <is>
          <t>AUFS-11</t>
        </is>
      </c>
      <c r="D90" s="30" t="inlineStr">
        <is>
          <t>Dozen Red Roses, Wine &amp; Truffles</t>
        </is>
      </c>
      <c r="E90" s="30" t="inlineStr">
        <is>
          <t>Roses</t>
        </is>
      </c>
      <c r="F90" s="30" t="inlineStr">
        <is>
          <t>Ashraf gate item</t>
        </is>
      </c>
      <c r="G90" s="34" t="inlineStr">
        <is>
          <t>Ashraf gate file</t>
        </is>
      </c>
      <c r="H90" s="30" t="inlineStr">
        <is>
          <t>Gate: Confirm Classic build</t>
        </is>
      </c>
      <c r="I90" s="30" t="inlineStr">
        <is>
          <t>Wine and truffles are in the master Standard; Jarrod Standard lists only roses, baby's breath and ruscus</t>
        </is>
      </c>
      <c r="J90" s="30" t="inlineStr">
        <is>
          <t>Ashraf gate file</t>
        </is>
      </c>
      <c r="K90" s="30" t="inlineStr">
        <is>
          <t>Benny (Jarrod from about 12 Oct)</t>
        </is>
      </c>
    </row>
    <row r="91" ht="22.35" customHeight="1" s="24">
      <c r="A91" s="28" t="n"/>
      <c r="B91" s="30" t="n"/>
      <c r="C91" s="30" t="inlineStr">
        <is>
          <t>AU0511-17</t>
        </is>
      </c>
      <c r="D91" s="30" t="inlineStr">
        <is>
          <t>Summer Blooms</t>
        </is>
      </c>
      <c r="E91" s="30" t="inlineStr">
        <is>
          <t>Bouquets</t>
        </is>
      </c>
      <c r="F91" s="30" t="inlineStr">
        <is>
          <t>Ashraf gate item</t>
        </is>
      </c>
      <c r="G91" s="34" t="inlineStr">
        <is>
          <t>Ashraf gate file</t>
        </is>
      </c>
      <c r="H91" s="30" t="inlineStr">
        <is>
          <t>Gate: Item not carried ($0) removed per rule I4</t>
        </is>
      </c>
      <c r="I91" s="30" t="inlineStr">
        <is>
          <t>2 x Lisianthus Orange: ING-1155 is $0 in the catalogue, so it is removed, not replaced</t>
        </is>
      </c>
      <c r="J91" s="30" t="inlineStr">
        <is>
          <t>Ashraf gate file</t>
        </is>
      </c>
      <c r="K91" s="30" t="inlineStr">
        <is>
          <t>Benny (Jarrod from about 12 Oct)</t>
        </is>
      </c>
    </row>
    <row r="92" ht="22.35" customHeight="1" s="24">
      <c r="A92" s="28" t="n"/>
      <c r="B92" s="30" t="n"/>
      <c r="C92" s="30" t="inlineStr">
        <is>
          <t>RBC-02C</t>
        </is>
      </c>
      <c r="D92" s="30" t="inlineStr">
        <is>
          <t>Bunches Purply Pink Collection III</t>
        </is>
      </c>
      <c r="E92" s="30" t="inlineStr">
        <is>
          <t>Bouquets</t>
        </is>
      </c>
      <c r="F92" s="30" t="inlineStr">
        <is>
          <t>Ashraf gate item</t>
        </is>
      </c>
      <c r="G92" s="34" t="inlineStr">
        <is>
          <t>Ashraf gate file</t>
        </is>
      </c>
      <c r="H92" s="30" t="inlineStr">
        <is>
          <t>Gate: Item not carried ($0) removed per rule I4</t>
        </is>
      </c>
      <c r="I92" s="30" t="inlineStr">
        <is>
          <t>3 x Carnations Purple: ING-1516 is $0 in the catalogue, so it is removed, not replaced</t>
        </is>
      </c>
      <c r="J92" s="30" t="inlineStr">
        <is>
          <t>Ashraf gate file</t>
        </is>
      </c>
      <c r="K92" s="30" t="inlineStr">
        <is>
          <t>Benny (Jarrod from about 12 Oct)</t>
        </is>
      </c>
    </row>
    <row r="93" ht="15" customHeight="1" s="24">
      <c r="A93" s="28" t="n"/>
      <c r="B93" s="30" t="n"/>
      <c r="C93" s="30" t="inlineStr">
        <is>
          <t>AUSTRT-02</t>
        </is>
      </c>
      <c r="D93" s="30" t="inlineStr">
        <is>
          <t>Ivory Grace Trio</t>
        </is>
      </c>
      <c r="E93" s="30" t="inlineStr">
        <is>
          <t>Bouquets</t>
        </is>
      </c>
      <c r="F93" s="30" t="inlineStr">
        <is>
          <t>Ashraf gate item</t>
        </is>
      </c>
      <c r="G93" s="34" t="inlineStr">
        <is>
          <t>Ashraf gate file</t>
        </is>
      </c>
      <c r="H93" s="30" t="inlineStr">
        <is>
          <t>Gate: Jar mention</t>
        </is>
      </c>
      <c r="I93" s="30" t="inlineStr">
        <is>
          <t>Mason Jar is in the master Standard; description must say "in a mason jar" (resolved)</t>
        </is>
      </c>
      <c r="J93" s="30" t="inlineStr">
        <is>
          <t>Ashraf gate file</t>
        </is>
      </c>
      <c r="K93" s="30" t="inlineStr">
        <is>
          <t>Alejandro</t>
        </is>
      </c>
    </row>
    <row r="94" ht="15" customHeight="1" s="24">
      <c r="A94" s="28" t="n"/>
      <c r="B94" s="30" t="n"/>
      <c r="C94" s="30" t="inlineStr">
        <is>
          <t>AUSTRT-03</t>
        </is>
      </c>
      <c r="D94" s="30" t="inlineStr">
        <is>
          <t>Blushing Rose Trio</t>
        </is>
      </c>
      <c r="E94" s="30" t="inlineStr">
        <is>
          <t>Bouquets</t>
        </is>
      </c>
      <c r="F94" s="30" t="inlineStr">
        <is>
          <t>Ashraf gate item</t>
        </is>
      </c>
      <c r="G94" s="34" t="inlineStr">
        <is>
          <t>Ashraf gate file</t>
        </is>
      </c>
      <c r="H94" s="30" t="inlineStr">
        <is>
          <t>Gate: Jar mention</t>
        </is>
      </c>
      <c r="I94" s="30" t="inlineStr">
        <is>
          <t>Mason Jar is in the master Standard; description must say "in a mason jar" (resolved)</t>
        </is>
      </c>
      <c r="J94" s="30" t="inlineStr">
        <is>
          <t>Ashraf gate file</t>
        </is>
      </c>
      <c r="K94" s="30" t="inlineStr">
        <is>
          <t>Alejandro</t>
        </is>
      </c>
    </row>
    <row r="95" ht="22.35" customHeight="1" s="24">
      <c r="A95" s="28" t="n"/>
      <c r="B95" s="30" t="n"/>
      <c r="C95" s="30" t="inlineStr">
        <is>
          <t>RBC-02C</t>
        </is>
      </c>
      <c r="D95" s="30" t="inlineStr">
        <is>
          <t>Bunches Purply Pink Collection III</t>
        </is>
      </c>
      <c r="E95" s="30" t="inlineStr">
        <is>
          <t>Bouquets</t>
        </is>
      </c>
      <c r="F95" s="30" t="inlineStr">
        <is>
          <t>Ashraf gate item</t>
        </is>
      </c>
      <c r="G95" s="34" t="inlineStr">
        <is>
          <t>Ashraf gate file</t>
        </is>
      </c>
      <c r="H95" s="30" t="inlineStr">
        <is>
          <t>Gate: Quantity differs from Jarrod</t>
        </is>
      </c>
      <c r="I95" s="30" t="inlineStr">
        <is>
          <t>Israeli ruscus is 2 in the master; Jarrod typed two lines of 2 (4)</t>
        </is>
      </c>
      <c r="J95" s="30" t="inlineStr">
        <is>
          <t>Ashraf gate file</t>
        </is>
      </c>
      <c r="K95" s="30" t="inlineStr">
        <is>
          <t>Benny (Jarrod from about 12 Oct)</t>
        </is>
      </c>
    </row>
    <row r="96" ht="22.35" customHeight="1" s="24">
      <c r="A96" s="28" t="n"/>
      <c r="B96" s="30" t="n"/>
      <c r="C96" s="30" t="inlineStr">
        <is>
          <t>AU15-50</t>
        </is>
      </c>
      <c r="D96" s="30" t="inlineStr">
        <is>
          <t>50 Blooms of Peruvian Lilies</t>
        </is>
      </c>
      <c r="E96" s="30" t="inlineStr">
        <is>
          <t>Bouquets</t>
        </is>
      </c>
      <c r="F96" s="30" t="inlineStr">
        <is>
          <t>Ashraf gate item</t>
        </is>
      </c>
      <c r="G96" s="34" t="inlineStr">
        <is>
          <t>Ashraf gate file</t>
        </is>
      </c>
      <c r="H96" s="30" t="inlineStr">
        <is>
          <t>Gate: Title blooms vs stems</t>
        </is>
      </c>
      <c r="I96" s="30" t="inlineStr">
        <is>
          <t>Title counts blooms, recipe counts stems; bridge wording needs blooms per stem from Alejandro/Benny</t>
        </is>
      </c>
      <c r="J96" s="30" t="inlineStr">
        <is>
          <t>Ashraf gate file</t>
        </is>
      </c>
      <c r="K96" s="30" t="n"/>
    </row>
    <row r="97" ht="22.35" customHeight="1" s="24">
      <c r="A97" s="28" t="n"/>
      <c r="B97" s="30" t="n"/>
      <c r="C97" s="30" t="inlineStr">
        <is>
          <t>MDA-01</t>
        </is>
      </c>
      <c r="D97" s="30" t="inlineStr">
        <is>
          <t>50 Blooms of Peruvian Lilies Set</t>
        </is>
      </c>
      <c r="E97" s="30" t="inlineStr">
        <is>
          <t>Bouquets</t>
        </is>
      </c>
      <c r="F97" s="30" t="inlineStr">
        <is>
          <t>Ashraf gate item</t>
        </is>
      </c>
      <c r="G97" s="34" t="inlineStr">
        <is>
          <t>Ashraf gate file</t>
        </is>
      </c>
      <c r="H97" s="30" t="inlineStr">
        <is>
          <t>Gate: Title blooms vs stems</t>
        </is>
      </c>
      <c r="I97" s="30" t="inlineStr">
        <is>
          <t>Title counts blooms, recipe counts stems; bridge wording needs blooms per stem from Alejandro/Benny</t>
        </is>
      </c>
      <c r="J97" s="30" t="inlineStr">
        <is>
          <t>Ashraf gate file</t>
        </is>
      </c>
      <c r="K97" s="30" t="n"/>
    </row>
    <row r="98" ht="22.35" customHeight="1" s="24">
      <c r="A98" s="28" t="n"/>
      <c r="B98" s="30" t="n"/>
      <c r="C98" s="30" t="inlineStr">
        <is>
          <t>MDA-03</t>
        </is>
      </c>
      <c r="D98" s="30" t="inlineStr">
        <is>
          <t>100 Peruvian Lilies Set</t>
        </is>
      </c>
      <c r="E98" s="30" t="inlineStr">
        <is>
          <t>Bouquets</t>
        </is>
      </c>
      <c r="F98" s="30" t="inlineStr">
        <is>
          <t>Ashraf gate item</t>
        </is>
      </c>
      <c r="G98" s="34" t="inlineStr">
        <is>
          <t>Ashraf gate file</t>
        </is>
      </c>
      <c r="H98" s="30" t="inlineStr">
        <is>
          <t>Gate: Title blooms vs stems</t>
        </is>
      </c>
      <c r="I98" s="30" t="inlineStr">
        <is>
          <t>Title counts blooms, recipe counts stems; bridge wording needs blooms per stem from Alejandro/Benny</t>
        </is>
      </c>
      <c r="J98" s="30" t="inlineStr">
        <is>
          <t>Ashraf gate file</t>
        </is>
      </c>
      <c r="K98" s="30" t="inlineStr">
        <is>
          <t>Alejandro, with Benny</t>
        </is>
      </c>
    </row>
    <row r="99" ht="22.35" customHeight="1" s="24">
      <c r="A99" s="28" t="n"/>
      <c r="B99" s="30" t="n"/>
      <c r="C99" s="30" t="inlineStr">
        <is>
          <t>MJ100-17</t>
        </is>
      </c>
      <c r="D99" s="30" t="inlineStr">
        <is>
          <t>Thirty Blooms of Alstroemeria in Mason Jar</t>
        </is>
      </c>
      <c r="E99" s="30" t="inlineStr">
        <is>
          <t>Mason Jar</t>
        </is>
      </c>
      <c r="F99" s="30" t="inlineStr">
        <is>
          <t>Ashraf gate item</t>
        </is>
      </c>
      <c r="G99" s="34" t="inlineStr">
        <is>
          <t>Ashraf gate file</t>
        </is>
      </c>
      <c r="H99" s="30" t="inlineStr">
        <is>
          <t>Gate: Title blooms vs stems</t>
        </is>
      </c>
      <c r="I99" s="30" t="inlineStr">
        <is>
          <t>Title counts blooms, recipe counts stems; bridge wording needs blooms per stem from Alejandro/Benny</t>
        </is>
      </c>
      <c r="J99" s="30" t="inlineStr">
        <is>
          <t>Ashraf gate file</t>
        </is>
      </c>
      <c r="K99" s="30" t="inlineStr">
        <is>
          <t>Benny (Jarrod from about 12 Oct)</t>
        </is>
      </c>
    </row>
    <row r="100" ht="15" customHeight="1" s="24">
      <c r="A100" s="28" t="n"/>
      <c r="B100" s="30" t="n"/>
      <c r="C100" s="30" t="inlineStr">
        <is>
          <t>AUSC-02</t>
        </is>
      </c>
      <c r="D100" s="30" t="inlineStr">
        <is>
          <t>Sweetheart Collection II</t>
        </is>
      </c>
      <c r="E100" s="30" t="inlineStr">
        <is>
          <t>Bouquets</t>
        </is>
      </c>
      <c r="F100" s="30" t="inlineStr">
        <is>
          <t>Ashraf gate item</t>
        </is>
      </c>
      <c r="G100" s="34" t="inlineStr">
        <is>
          <t>Ashraf gate file</t>
        </is>
      </c>
      <c r="H100" s="30" t="inlineStr">
        <is>
          <t>Gate: Vase mention</t>
        </is>
      </c>
      <c r="I100" s="30" t="inlineStr">
        <is>
          <t>Red Vase is in the master Standard; description must say "in a red vase" (resolved)</t>
        </is>
      </c>
      <c r="J100" s="30" t="inlineStr">
        <is>
          <t>Ashraf gate file</t>
        </is>
      </c>
      <c r="K100" s="30" t="inlineStr">
        <is>
          <t>Alejandro</t>
        </is>
      </c>
    </row>
    <row r="101" ht="15" customHeight="1" s="24">
      <c r="A101" s="28" t="n"/>
      <c r="B101" s="30" t="n"/>
      <c r="C101" s="30" t="inlineStr">
        <is>
          <t>AUSC-03</t>
        </is>
      </c>
      <c r="D101" s="30" t="inlineStr">
        <is>
          <t>Sweetheart Collection III</t>
        </is>
      </c>
      <c r="E101" s="30" t="inlineStr">
        <is>
          <t>Bouquets</t>
        </is>
      </c>
      <c r="F101" s="30" t="inlineStr">
        <is>
          <t>Ashraf gate item</t>
        </is>
      </c>
      <c r="G101" s="34" t="inlineStr">
        <is>
          <t>Ashraf gate file</t>
        </is>
      </c>
      <c r="H101" s="30" t="inlineStr">
        <is>
          <t>Gate: Vase mention</t>
        </is>
      </c>
      <c r="I101" s="30" t="inlineStr">
        <is>
          <t>Red Vase is in the master Standard; description must say "in a red vase" (resolved)</t>
        </is>
      </c>
      <c r="J101" s="30" t="inlineStr">
        <is>
          <t>Ashraf gate file</t>
        </is>
      </c>
      <c r="K101" s="30" t="inlineStr">
        <is>
          <t>Alejandro</t>
        </is>
      </c>
    </row>
    <row r="102" ht="15" customHeight="1" s="24">
      <c r="A102" s="28" t="n"/>
      <c r="B102" s="30" t="n"/>
      <c r="C102" s="30" t="inlineStr">
        <is>
          <t>AUSC-04</t>
        </is>
      </c>
      <c r="D102" s="30" t="inlineStr">
        <is>
          <t>Sweetheart Collection IV</t>
        </is>
      </c>
      <c r="E102" s="30" t="inlineStr">
        <is>
          <t>Bouquets</t>
        </is>
      </c>
      <c r="F102" s="30" t="inlineStr">
        <is>
          <t>Ashraf gate item</t>
        </is>
      </c>
      <c r="G102" s="34" t="inlineStr">
        <is>
          <t>Ashraf gate file</t>
        </is>
      </c>
      <c r="H102" s="30" t="inlineStr">
        <is>
          <t>Gate: Vase mention</t>
        </is>
      </c>
      <c r="I102" s="30" t="inlineStr">
        <is>
          <t>Red Vase is in the master Standard; description must say "in a red vase" (resolved)</t>
        </is>
      </c>
      <c r="J102" s="30" t="inlineStr">
        <is>
          <t>Ashraf gate file</t>
        </is>
      </c>
      <c r="K102" s="30" t="inlineStr">
        <is>
          <t>Alejandro</t>
        </is>
      </c>
    </row>
    <row r="103" ht="15" customHeight="1" s="24">
      <c r="A103" s="28" t="n"/>
      <c r="B103" s="30" t="n"/>
      <c r="C103" s="30" t="inlineStr">
        <is>
          <t>LF15-10C</t>
        </is>
      </c>
      <c r="D103" s="30" t="inlineStr">
        <is>
          <t>Hugs and Kisses III</t>
        </is>
      </c>
      <c r="E103" s="30" t="inlineStr">
        <is>
          <t>Bouquets</t>
        </is>
      </c>
      <c r="F103" s="30" t="inlineStr">
        <is>
          <t>Ashraf gate item</t>
        </is>
      </c>
      <c r="G103" s="34" t="inlineStr">
        <is>
          <t>Ashraf gate file</t>
        </is>
      </c>
      <c r="H103" s="30" t="inlineStr">
        <is>
          <t>Gate: Vase mention</t>
        </is>
      </c>
      <c r="I103" s="30" t="inlineStr">
        <is>
          <t>Red Vase is in the master Standard; description must say "in a red vase" (resolved)</t>
        </is>
      </c>
      <c r="J103" s="30" t="inlineStr">
        <is>
          <t>Ashraf gate file</t>
        </is>
      </c>
      <c r="K103" s="30" t="inlineStr">
        <is>
          <t>Alejandro</t>
        </is>
      </c>
    </row>
    <row r="104" ht="15" customHeight="1" s="24">
      <c r="A104" s="28" t="n"/>
      <c r="B104" s="30" t="n"/>
      <c r="C104" s="30" t="inlineStr">
        <is>
          <t>AU11-14</t>
        </is>
      </c>
      <c r="D104" s="30" t="inlineStr">
        <is>
          <t>Two Dozen Pink Roses</t>
        </is>
      </c>
      <c r="E104" s="30" t="inlineStr">
        <is>
          <t>Roses</t>
        </is>
      </c>
      <c r="F104" s="30" t="inlineStr">
        <is>
          <t>Ashraf gate item</t>
        </is>
      </c>
      <c r="G104" s="34" t="inlineStr">
        <is>
          <t>Ashraf gate file</t>
        </is>
      </c>
      <c r="H104" s="30" t="inlineStr">
        <is>
          <t>Gate: confirm product status</t>
        </is>
      </c>
      <c r="I104" s="30" t="inlineStr">
        <is>
          <t>Not on the live storefront (Joomla export 7 Oct shows status N); skip upload if no longer sold</t>
        </is>
      </c>
      <c r="J104" s="30" t="inlineStr">
        <is>
          <t>Ashraf gate file / Joomla export</t>
        </is>
      </c>
      <c r="K104" s="30" t="inlineStr">
        <is>
          <t>Alejandro</t>
        </is>
      </c>
    </row>
    <row r="105" ht="22.35" customHeight="1" s="24">
      <c r="A105" s="28" t="n"/>
      <c r="B105" s="30" t="n"/>
      <c r="C105" s="30" t="inlineStr">
        <is>
          <t>AUDNAT-01</t>
        </is>
      </c>
      <c r="D105" s="30" t="inlineStr">
        <is>
          <t>Native Flowers Bouquet Designer Collection I</t>
        </is>
      </c>
      <c r="E105" s="30" t="inlineStr">
        <is>
          <t>Designer Collection</t>
        </is>
      </c>
      <c r="F105" s="30" t="inlineStr">
        <is>
          <t>Ashraf gate item</t>
        </is>
      </c>
      <c r="G105" s="34" t="inlineStr">
        <is>
          <t>Ashraf gate file</t>
        </is>
      </c>
      <c r="H105" s="30" t="inlineStr">
        <is>
          <t>Gate: native claim to confirm</t>
        </is>
      </c>
      <c r="I105" s="30" t="inlineStr">
        <is>
          <t>"native" left out until Benny confirms no protea or leucadendron</t>
        </is>
      </c>
      <c r="J105" s="30" t="inlineStr">
        <is>
          <t>Ashraf gate file</t>
        </is>
      </c>
      <c r="K105" s="30" t="inlineStr">
        <is>
          <t>Benny</t>
        </is>
      </c>
    </row>
    <row r="106" ht="22.35" customHeight="1" s="24">
      <c r="A106" s="28" t="n"/>
      <c r="B106" s="30" t="n"/>
      <c r="C106" s="30" t="inlineStr">
        <is>
          <t>AUDNAT-02</t>
        </is>
      </c>
      <c r="D106" s="30" t="inlineStr">
        <is>
          <t>Native Flowers Bouquet Designer Collection II</t>
        </is>
      </c>
      <c r="E106" s="30" t="inlineStr">
        <is>
          <t>Designer Collection</t>
        </is>
      </c>
      <c r="F106" s="30" t="inlineStr">
        <is>
          <t>Ashraf gate item</t>
        </is>
      </c>
      <c r="G106" s="34" t="inlineStr">
        <is>
          <t>Ashraf gate file</t>
        </is>
      </c>
      <c r="H106" s="30" t="inlineStr">
        <is>
          <t>Gate: native claim to confirm</t>
        </is>
      </c>
      <c r="I106" s="30" t="inlineStr">
        <is>
          <t>"native" left out until Benny confirms no protea or leucadendron</t>
        </is>
      </c>
      <c r="J106" s="30" t="inlineStr">
        <is>
          <t>Ashraf gate file</t>
        </is>
      </c>
      <c r="K106" s="30" t="inlineStr">
        <is>
          <t>Benny</t>
        </is>
      </c>
    </row>
    <row r="107" ht="22.35" customHeight="1" s="24">
      <c r="A107" s="28" t="n"/>
      <c r="B107" s="30" t="n"/>
      <c r="C107" s="30" t="inlineStr">
        <is>
          <t>AUDNAT-03</t>
        </is>
      </c>
      <c r="D107" s="30" t="inlineStr">
        <is>
          <t>Native Flowers Bouquet Designer Collection III</t>
        </is>
      </c>
      <c r="E107" s="30" t="inlineStr">
        <is>
          <t>Designer Collection</t>
        </is>
      </c>
      <c r="F107" s="30" t="inlineStr">
        <is>
          <t>Ashraf gate item</t>
        </is>
      </c>
      <c r="G107" s="34" t="inlineStr">
        <is>
          <t>Ashraf gate file</t>
        </is>
      </c>
      <c r="H107" s="30" t="inlineStr">
        <is>
          <t>Gate: native claim to confirm</t>
        </is>
      </c>
      <c r="I107" s="30" t="inlineStr">
        <is>
          <t>"native" left out until Benny confirms no protea or leucadendron</t>
        </is>
      </c>
      <c r="J107" s="30" t="inlineStr">
        <is>
          <t>Ashraf gate file</t>
        </is>
      </c>
      <c r="K107" s="30" t="inlineStr">
        <is>
          <t>Benny</t>
        </is>
      </c>
    </row>
    <row r="108" ht="22.35" customHeight="1" s="24">
      <c r="A108" s="28" t="n"/>
      <c r="B108" s="30" t="n"/>
      <c r="C108" s="30" t="inlineStr">
        <is>
          <t>AUMJ-NW-005</t>
        </is>
      </c>
      <c r="D108" s="30" t="inlineStr">
        <is>
          <t>Native Flowers Bouquet in Mason Jar</t>
        </is>
      </c>
      <c r="E108" s="30" t="inlineStr">
        <is>
          <t>Mason Jar</t>
        </is>
      </c>
      <c r="F108" s="30" t="inlineStr">
        <is>
          <t>Ashraf gate item</t>
        </is>
      </c>
      <c r="G108" s="34" t="inlineStr">
        <is>
          <t>Ashraf gate file</t>
        </is>
      </c>
      <c r="H108" s="30" t="inlineStr">
        <is>
          <t>Gate: native claim to confirm</t>
        </is>
      </c>
      <c r="I108" s="30" t="inlineStr">
        <is>
          <t>"native" left out until Benny confirms no protea or leucadendron</t>
        </is>
      </c>
      <c r="J108" s="30" t="inlineStr">
        <is>
          <t>Ashraf gate file</t>
        </is>
      </c>
      <c r="K108" s="30" t="inlineStr">
        <is>
          <t>Benny</t>
        </is>
      </c>
    </row>
    <row r="109" ht="15" customHeight="1" s="24">
      <c r="A109" s="28" t="n"/>
      <c r="B109" s="30" t="n"/>
      <c r="C109" s="30" t="inlineStr">
        <is>
          <t>AU111-72</t>
        </is>
      </c>
      <c r="D109" s="30" t="inlineStr">
        <is>
          <t>Joy and Harmony</t>
        </is>
      </c>
      <c r="E109" s="30" t="inlineStr">
        <is>
          <t>Bouquets</t>
        </is>
      </c>
      <c r="F109" s="30" t="inlineStr">
        <is>
          <t>Ashraf gate item</t>
        </is>
      </c>
      <c r="G109" s="34" t="inlineStr">
        <is>
          <t>Ashraf gate file</t>
        </is>
      </c>
      <c r="H109" s="30" t="inlineStr">
        <is>
          <t>Gate: voice (all-white chrysanthemum)</t>
        </is>
      </c>
      <c r="I109" s="30" t="inlineStr">
        <is>
          <t>Neutral occasion line used; Ashraf decides</t>
        </is>
      </c>
      <c r="J109" s="30" t="inlineStr">
        <is>
          <t>Ashraf gate file</t>
        </is>
      </c>
      <c r="K109" s="30" t="inlineStr">
        <is>
          <t>Ashraf</t>
        </is>
      </c>
    </row>
    <row r="110" ht="15" customHeight="1" s="24">
      <c r="A110" s="28" t="n"/>
      <c r="B110" s="30" t="n"/>
      <c r="C110" s="30" t="inlineStr">
        <is>
          <t>AUMJ-NW-030</t>
        </is>
      </c>
      <c r="D110" s="30" t="inlineStr">
        <is>
          <t>Cloud Nine Bouquet in Mason Jar</t>
        </is>
      </c>
      <c r="E110" s="30" t="inlineStr">
        <is>
          <t>Mason Jar</t>
        </is>
      </c>
      <c r="F110" s="30" t="inlineStr">
        <is>
          <t>Ashraf gate item</t>
        </is>
      </c>
      <c r="G110" s="34" t="inlineStr">
        <is>
          <t>Ashraf gate file</t>
        </is>
      </c>
      <c r="H110" s="30" t="inlineStr">
        <is>
          <t>Gate: voice (all-white chrysanthemum)</t>
        </is>
      </c>
      <c r="I110" s="30" t="inlineStr">
        <is>
          <t>Neutral occasion line used; Ashraf decides</t>
        </is>
      </c>
      <c r="J110" s="30" t="inlineStr">
        <is>
          <t>Ashraf gate file</t>
        </is>
      </c>
      <c r="K110" s="30" t="inlineStr">
        <is>
          <t>Ashraf</t>
        </is>
      </c>
    </row>
    <row r="111" ht="15" customHeight="1" s="24">
      <c r="A111" s="28" t="n"/>
      <c r="B111" s="30" t="n"/>
      <c r="C111" s="30" t="inlineStr">
        <is>
          <t>AUSC-01</t>
        </is>
      </c>
      <c r="D111" s="30" t="inlineStr">
        <is>
          <t>Sweetheart Collection I</t>
        </is>
      </c>
      <c r="E111" s="30" t="inlineStr">
        <is>
          <t>Bouquets</t>
        </is>
      </c>
      <c r="F111" s="30" t="inlineStr">
        <is>
          <t>Current text vs recipe</t>
        </is>
      </c>
      <c r="G111" s="33" t="inlineStr">
        <is>
          <t>Pre-existing (live text)</t>
        </is>
      </c>
      <c r="H111" s="30" t="inlineStr">
        <is>
          <t>Current text: Current description is empty</t>
        </is>
      </c>
      <c r="I111" s="30" t="inlineStr">
        <is>
          <t>Description is empty.</t>
        </is>
      </c>
      <c r="J111" s="30" t="inlineStr">
        <is>
          <t>Current description vs recipe</t>
        </is>
      </c>
      <c r="K111" s="30" t="n"/>
    </row>
    <row r="112" ht="22.35" customHeight="1" s="24">
      <c r="A112" s="28" t="n"/>
      <c r="B112" s="30" t="n"/>
      <c r="C112" s="30" t="inlineStr">
        <is>
          <t>MJ102-53</t>
        </is>
      </c>
      <c r="D112" s="30" t="inlineStr">
        <is>
          <t>Make a Wish in Mason Jar Birthday Bundle</t>
        </is>
      </c>
      <c r="E112" s="30" t="inlineStr">
        <is>
          <t>Mason Jar</t>
        </is>
      </c>
      <c r="F112" s="30" t="inlineStr">
        <is>
          <t>Current text vs recipe</t>
        </is>
      </c>
      <c r="G112" s="33" t="inlineStr">
        <is>
          <t>Pre-existing (live text)</t>
        </is>
      </c>
      <c r="H112" s="30" t="inlineStr">
        <is>
          <t>Current text: Gift/container in recipe not mentioned: balloon</t>
        </is>
      </c>
      <c r="I112" s="30" t="inlineStr">
        <is>
          <t>Recipe includes balloon but the description doesn't mention it.</t>
        </is>
      </c>
      <c r="J112" s="30" t="inlineStr">
        <is>
          <t>Current description vs recipe</t>
        </is>
      </c>
      <c r="K112" s="30" t="n"/>
    </row>
    <row r="113" ht="22.35" customHeight="1" s="24">
      <c r="A113" s="28" t="n"/>
      <c r="B113" s="30" t="n"/>
      <c r="C113" s="30" t="inlineStr">
        <is>
          <t>AUBC-01</t>
        </is>
      </c>
      <c r="D113" s="30" t="inlineStr">
        <is>
          <t>Birthday Combo I</t>
        </is>
      </c>
      <c r="E113" s="30" t="inlineStr">
        <is>
          <t>Bouquets</t>
        </is>
      </c>
      <c r="F113" s="30" t="inlineStr">
        <is>
          <t>Current text vs recipe</t>
        </is>
      </c>
      <c r="G113" s="33" t="inlineStr">
        <is>
          <t>Pre-existing (live text)</t>
        </is>
      </c>
      <c r="H113" s="30" t="inlineStr">
        <is>
          <t>Current text: Gift/container in recipe not mentioned: basket</t>
        </is>
      </c>
      <c r="I113" s="30" t="inlineStr">
        <is>
          <t>Recipe includes basket but the description doesn't mention it.</t>
        </is>
      </c>
      <c r="J113" s="30" t="inlineStr">
        <is>
          <t>Current description vs recipe</t>
        </is>
      </c>
      <c r="K113" s="30" t="n"/>
    </row>
    <row r="114" ht="22.35" customHeight="1" s="24">
      <c r="A114" s="28" t="n"/>
      <c r="B114" s="30" t="n"/>
      <c r="C114" s="30" t="inlineStr">
        <is>
          <t>AUBC-02</t>
        </is>
      </c>
      <c r="D114" s="30" t="inlineStr">
        <is>
          <t>Birthday Combo II</t>
        </is>
      </c>
      <c r="E114" s="30" t="inlineStr">
        <is>
          <t>Bouquets</t>
        </is>
      </c>
      <c r="F114" s="30" t="inlineStr">
        <is>
          <t>Current text vs recipe</t>
        </is>
      </c>
      <c r="G114" s="33" t="inlineStr">
        <is>
          <t>Pre-existing (live text)</t>
        </is>
      </c>
      <c r="H114" s="30" t="inlineStr">
        <is>
          <t>Current text: Gift/container in recipe not mentioned: basket</t>
        </is>
      </c>
      <c r="I114" s="30" t="inlineStr">
        <is>
          <t>Recipe includes basket but the description doesn't mention it.</t>
        </is>
      </c>
      <c r="J114" s="30" t="inlineStr">
        <is>
          <t>Current description vs recipe</t>
        </is>
      </c>
      <c r="K114" s="30" t="n"/>
    </row>
    <row r="115" ht="22.35" customHeight="1" s="24">
      <c r="A115" s="28" t="n"/>
      <c r="B115" s="30" t="n"/>
      <c r="C115" s="30" t="inlineStr">
        <is>
          <t>AUBC-04</t>
        </is>
      </c>
      <c r="D115" s="30" t="inlineStr">
        <is>
          <t>Birthday Combo IV</t>
        </is>
      </c>
      <c r="E115" s="30" t="inlineStr">
        <is>
          <t>Bouquets</t>
        </is>
      </c>
      <c r="F115" s="30" t="inlineStr">
        <is>
          <t>Current text vs recipe</t>
        </is>
      </c>
      <c r="G115" s="33" t="inlineStr">
        <is>
          <t>Pre-existing (live text)</t>
        </is>
      </c>
      <c r="H115" s="30" t="inlineStr">
        <is>
          <t>Current text: Gift/container in recipe not mentioned: basket</t>
        </is>
      </c>
      <c r="I115" s="30" t="inlineStr">
        <is>
          <t>Recipe includes basket but the description doesn't mention it.</t>
        </is>
      </c>
      <c r="J115" s="30" t="inlineStr">
        <is>
          <t>Current description vs recipe</t>
        </is>
      </c>
      <c r="K115" s="30" t="n"/>
    </row>
    <row r="116" ht="22.35" customHeight="1" s="24">
      <c r="A116" s="28" t="n"/>
      <c r="B116" s="30" t="n"/>
      <c r="C116" s="30" t="inlineStr">
        <is>
          <t>FBAU76-60</t>
        </is>
      </c>
      <c r="D116" s="30" t="inlineStr">
        <is>
          <t>Fruits &amp; Chocolates</t>
        </is>
      </c>
      <c r="E116" s="30" t="inlineStr">
        <is>
          <t>Bouquets</t>
        </is>
      </c>
      <c r="F116" s="30" t="inlineStr">
        <is>
          <t>Current text vs recipe</t>
        </is>
      </c>
      <c r="G116" s="33" t="inlineStr">
        <is>
          <t>Pre-existing (live text)</t>
        </is>
      </c>
      <c r="H116" s="30" t="inlineStr">
        <is>
          <t>Current text: Gift/container in recipe not mentioned: basket</t>
        </is>
      </c>
      <c r="I116" s="30" t="inlineStr">
        <is>
          <t>Recipe includes basket but the description doesn't mention it.</t>
        </is>
      </c>
      <c r="J116" s="30" t="inlineStr">
        <is>
          <t>Current description vs recipe</t>
        </is>
      </c>
      <c r="K116" s="30" t="n"/>
    </row>
    <row r="117" ht="22.35" customHeight="1" s="24">
      <c r="A117" s="28" t="n"/>
      <c r="B117" s="30" t="n"/>
      <c r="C117" s="30" t="inlineStr">
        <is>
          <t>AUFS-05</t>
        </is>
      </c>
      <c r="D117" s="30" t="inlineStr">
        <is>
          <t>Dozen Mixed Roses Combo</t>
        </is>
      </c>
      <c r="E117" s="30" t="inlineStr">
        <is>
          <t>Bouquets</t>
        </is>
      </c>
      <c r="F117" s="30" t="inlineStr">
        <is>
          <t>Current text vs recipe</t>
        </is>
      </c>
      <c r="G117" s="33" t="inlineStr">
        <is>
          <t>Pre-existing (live text)</t>
        </is>
      </c>
      <c r="H117" s="30" t="inlineStr">
        <is>
          <t>Current text: Gift/container in recipe not mentioned: chocolates</t>
        </is>
      </c>
      <c r="I117" s="30" t="inlineStr">
        <is>
          <t>Recipe includes chocolates but the description doesn't mention it.</t>
        </is>
      </c>
      <c r="J117" s="30" t="inlineStr">
        <is>
          <t>Current description vs recipe</t>
        </is>
      </c>
      <c r="K117" s="30" t="n"/>
    </row>
    <row r="118" ht="22.35" customHeight="1" s="24">
      <c r="A118" s="28" t="n"/>
      <c r="B118" s="30" t="n"/>
      <c r="C118" s="30" t="inlineStr">
        <is>
          <t>AUFS-12</t>
        </is>
      </c>
      <c r="D118" s="30" t="inlineStr">
        <is>
          <t>Dozen Mixed Roses Super Combo</t>
        </is>
      </c>
      <c r="E118" s="30" t="inlineStr">
        <is>
          <t>Bouquets</t>
        </is>
      </c>
      <c r="F118" s="30" t="inlineStr">
        <is>
          <t>Current text vs recipe</t>
        </is>
      </c>
      <c r="G118" s="33" t="inlineStr">
        <is>
          <t>Pre-existing (live text)</t>
        </is>
      </c>
      <c r="H118" s="30" t="inlineStr">
        <is>
          <t>Current text: Gift/container in recipe not mentioned: chocolates</t>
        </is>
      </c>
      <c r="I118" s="30" t="inlineStr">
        <is>
          <t>Recipe includes chocolates but the description doesn't mention it.</t>
        </is>
      </c>
      <c r="J118" s="30" t="inlineStr">
        <is>
          <t>Current description vs recipe</t>
        </is>
      </c>
      <c r="K118" s="30" t="n"/>
    </row>
    <row r="119" ht="22.35" customHeight="1" s="24">
      <c r="A119" s="28" t="n"/>
      <c r="B119" s="30" t="n"/>
      <c r="C119" s="30" t="inlineStr">
        <is>
          <t>AURP-B29</t>
        </is>
      </c>
      <c r="D119" s="30" t="inlineStr">
        <is>
          <t>The Birthday Bundle</t>
        </is>
      </c>
      <c r="E119" s="30" t="inlineStr">
        <is>
          <t>Bouquets</t>
        </is>
      </c>
      <c r="F119" s="30" t="inlineStr">
        <is>
          <t>Current text vs recipe</t>
        </is>
      </c>
      <c r="G119" s="33" t="inlineStr">
        <is>
          <t>Pre-existing (live text)</t>
        </is>
      </c>
      <c r="H119" s="30" t="inlineStr">
        <is>
          <t>Current text: Gift/container in recipe not mentioned: chocolates</t>
        </is>
      </c>
      <c r="I119" s="30" t="inlineStr">
        <is>
          <t>Recipe includes chocolates but the description doesn't mention it.</t>
        </is>
      </c>
      <c r="J119" s="30" t="inlineStr">
        <is>
          <t>Current description vs recipe</t>
        </is>
      </c>
      <c r="K119" s="30" t="n"/>
    </row>
    <row r="120" ht="22.35" customHeight="1" s="24">
      <c r="A120" s="28" t="n"/>
      <c r="B120" s="30" t="n"/>
      <c r="C120" s="30" t="inlineStr">
        <is>
          <t>AUSC-03</t>
        </is>
      </c>
      <c r="D120" s="30" t="inlineStr">
        <is>
          <t>Sweetheart Collection III</t>
        </is>
      </c>
      <c r="E120" s="30" t="inlineStr">
        <is>
          <t>Bouquets</t>
        </is>
      </c>
      <c r="F120" s="30" t="inlineStr">
        <is>
          <t>Current text vs recipe</t>
        </is>
      </c>
      <c r="G120" s="33" t="inlineStr">
        <is>
          <t>Pre-existing (live text)</t>
        </is>
      </c>
      <c r="H120" s="30" t="inlineStr">
        <is>
          <t>Current text: Gift/container in recipe not mentioned: chocolates</t>
        </is>
      </c>
      <c r="I120" s="30" t="inlineStr">
        <is>
          <t>Recipe includes chocolates but the description doesn't mention it.</t>
        </is>
      </c>
      <c r="J120" s="30" t="inlineStr">
        <is>
          <t>Current description vs recipe</t>
        </is>
      </c>
      <c r="K120" s="30" t="n"/>
    </row>
    <row r="121" ht="22.35" customHeight="1" s="24">
      <c r="A121" s="28" t="n"/>
      <c r="B121" s="30" t="n"/>
      <c r="C121" s="30" t="inlineStr">
        <is>
          <t>AUSC-04</t>
        </is>
      </c>
      <c r="D121" s="30" t="inlineStr">
        <is>
          <t>Sweetheart Collection IV</t>
        </is>
      </c>
      <c r="E121" s="30" t="inlineStr">
        <is>
          <t>Bouquets</t>
        </is>
      </c>
      <c r="F121" s="30" t="inlineStr">
        <is>
          <t>Current text vs recipe</t>
        </is>
      </c>
      <c r="G121" s="33" t="inlineStr">
        <is>
          <t>Pre-existing (live text)</t>
        </is>
      </c>
      <c r="H121" s="30" t="inlineStr">
        <is>
          <t>Current text: Gift/container in recipe not mentioned: chocolates</t>
        </is>
      </c>
      <c r="I121" s="30" t="inlineStr">
        <is>
          <t>Recipe includes chocolates but the description doesn't mention it.</t>
        </is>
      </c>
      <c r="J121" s="30" t="inlineStr">
        <is>
          <t>Current description vs recipe</t>
        </is>
      </c>
      <c r="K121" s="30" t="n"/>
    </row>
    <row r="122" ht="22.35" customHeight="1" s="24">
      <c r="A122" s="28" t="n"/>
      <c r="B122" s="30" t="n"/>
      <c r="C122" s="30" t="inlineStr">
        <is>
          <t>LF15-10C</t>
        </is>
      </c>
      <c r="D122" s="30" t="inlineStr">
        <is>
          <t>Hugs and Kisses III</t>
        </is>
      </c>
      <c r="E122" s="30" t="inlineStr">
        <is>
          <t>Bouquets</t>
        </is>
      </c>
      <c r="F122" s="30" t="inlineStr">
        <is>
          <t>Current text vs recipe</t>
        </is>
      </c>
      <c r="G122" s="33" t="inlineStr">
        <is>
          <t>Pre-existing (live text)</t>
        </is>
      </c>
      <c r="H122" s="30" t="inlineStr">
        <is>
          <t>Current text: Gift/container in recipe not mentioned: chocolates</t>
        </is>
      </c>
      <c r="I122" s="30" t="inlineStr">
        <is>
          <t>Recipe includes chocolates but the description doesn't mention it.</t>
        </is>
      </c>
      <c r="J122" s="30" t="inlineStr">
        <is>
          <t>Current description vs recipe</t>
        </is>
      </c>
      <c r="K122" s="30" t="n"/>
    </row>
    <row r="123" ht="22.35" customHeight="1" s="24">
      <c r="A123" s="28" t="n"/>
      <c r="B123" s="30" t="n"/>
      <c r="C123" s="30" t="inlineStr">
        <is>
          <t>LF15-10D</t>
        </is>
      </c>
      <c r="D123" s="30" t="inlineStr">
        <is>
          <t>Hugs and Kisses IV</t>
        </is>
      </c>
      <c r="E123" s="30" t="inlineStr">
        <is>
          <t>Bouquets</t>
        </is>
      </c>
      <c r="F123" s="30" t="inlineStr">
        <is>
          <t>Current text vs recipe</t>
        </is>
      </c>
      <c r="G123" s="33" t="inlineStr">
        <is>
          <t>Pre-existing (live text)</t>
        </is>
      </c>
      <c r="H123" s="30" t="inlineStr">
        <is>
          <t>Current text: Gift/container in recipe not mentioned: chocolates</t>
        </is>
      </c>
      <c r="I123" s="30" t="inlineStr">
        <is>
          <t>Recipe includes chocolates but the description doesn't mention it.</t>
        </is>
      </c>
      <c r="J123" s="30" t="inlineStr">
        <is>
          <t>Current description vs recipe</t>
        </is>
      </c>
      <c r="K123" s="30" t="n"/>
    </row>
    <row r="124" ht="22.35" customHeight="1" s="24">
      <c r="A124" s="28" t="n"/>
      <c r="B124" s="30" t="n"/>
      <c r="C124" s="30" t="inlineStr">
        <is>
          <t>MJ102-53</t>
        </is>
      </c>
      <c r="D124" s="30" t="inlineStr">
        <is>
          <t>Make a Wish in Mason Jar Birthday Bundle</t>
        </is>
      </c>
      <c r="E124" s="30" t="inlineStr">
        <is>
          <t>Mason Jar</t>
        </is>
      </c>
      <c r="F124" s="30" t="inlineStr">
        <is>
          <t>Current text vs recipe</t>
        </is>
      </c>
      <c r="G124" s="33" t="inlineStr">
        <is>
          <t>Pre-existing (live text)</t>
        </is>
      </c>
      <c r="H124" s="30" t="inlineStr">
        <is>
          <t>Current text: Gift/container in recipe not mentioned: chocolates</t>
        </is>
      </c>
      <c r="I124" s="30" t="inlineStr">
        <is>
          <t>Recipe includes chocolates but the description doesn't mention it.</t>
        </is>
      </c>
      <c r="J124" s="30" t="inlineStr">
        <is>
          <t>Current description vs recipe</t>
        </is>
      </c>
      <c r="K124" s="30" t="n"/>
    </row>
    <row r="125" ht="22.35" customHeight="1" s="24">
      <c r="A125" s="28" t="n"/>
      <c r="B125" s="30" t="n"/>
      <c r="C125" s="30" t="inlineStr">
        <is>
          <t>SB-04</t>
        </is>
      </c>
      <c r="D125" s="30" t="inlineStr">
        <is>
          <t>Sweet Blossoms Collection IV</t>
        </is>
      </c>
      <c r="E125" s="30" t="inlineStr">
        <is>
          <t>Bouquets</t>
        </is>
      </c>
      <c r="F125" s="30" t="inlineStr">
        <is>
          <t>Current text vs recipe</t>
        </is>
      </c>
      <c r="G125" s="33" t="inlineStr">
        <is>
          <t>Pre-existing (live text)</t>
        </is>
      </c>
      <c r="H125" s="30" t="inlineStr">
        <is>
          <t>Current text: Gift/container in recipe not mentioned: chocolates</t>
        </is>
      </c>
      <c r="I125" s="30" t="inlineStr">
        <is>
          <t>Recipe includes chocolates but the description doesn't mention it.</t>
        </is>
      </c>
      <c r="J125" s="30" t="inlineStr">
        <is>
          <t>Current description vs recipe</t>
        </is>
      </c>
      <c r="K125" s="30" t="n"/>
    </row>
    <row r="126" ht="22.35" customHeight="1" s="24">
      <c r="A126" s="28" t="n"/>
      <c r="B126" s="30" t="n"/>
      <c r="C126" s="30" t="inlineStr">
        <is>
          <t>SHR-04</t>
        </is>
      </c>
      <c r="D126" s="30" t="inlineStr">
        <is>
          <t>18 Sweetheart Roses I</t>
        </is>
      </c>
      <c r="E126" s="30" t="inlineStr">
        <is>
          <t>Roses</t>
        </is>
      </c>
      <c r="F126" s="30" t="inlineStr">
        <is>
          <t>Current text vs recipe</t>
        </is>
      </c>
      <c r="G126" s="33" t="inlineStr">
        <is>
          <t>Pre-existing (live text)</t>
        </is>
      </c>
      <c r="H126" s="30" t="inlineStr">
        <is>
          <t>Current text: Gift/container in recipe not mentioned: chocolates</t>
        </is>
      </c>
      <c r="I126" s="30" t="inlineStr">
        <is>
          <t>Recipe includes chocolates but the description doesn't mention it.</t>
        </is>
      </c>
      <c r="J126" s="30" t="inlineStr">
        <is>
          <t>Current description vs recipe</t>
        </is>
      </c>
      <c r="K126" s="30" t="n"/>
    </row>
    <row r="127" ht="22.35" customHeight="1" s="24">
      <c r="A127" s="28" t="n"/>
      <c r="B127" s="30" t="n"/>
      <c r="C127" s="30" t="inlineStr">
        <is>
          <t>AUSTRT-02</t>
        </is>
      </c>
      <c r="D127" s="30" t="inlineStr">
        <is>
          <t>Ivory Grace Trio</t>
        </is>
      </c>
      <c r="E127" s="30" t="inlineStr">
        <is>
          <t>Bouquets</t>
        </is>
      </c>
      <c r="F127" s="30" t="inlineStr">
        <is>
          <t>Current text vs recipe</t>
        </is>
      </c>
      <c r="G127" s="33" t="inlineStr">
        <is>
          <t>Pre-existing (live text)</t>
        </is>
      </c>
      <c r="H127" s="30" t="inlineStr">
        <is>
          <t>Current text: Gift/container in recipe not mentioned: mason jar</t>
        </is>
      </c>
      <c r="I127" s="30" t="inlineStr">
        <is>
          <t>Recipe includes mason jar but the description doesn't mention it.</t>
        </is>
      </c>
      <c r="J127" s="30" t="inlineStr">
        <is>
          <t>Current description vs recipe</t>
        </is>
      </c>
      <c r="K127" s="30" t="n"/>
    </row>
    <row r="128" ht="22.35" customHeight="1" s="24">
      <c r="A128" s="28" t="n"/>
      <c r="B128" s="30" t="n"/>
      <c r="C128" s="30" t="inlineStr">
        <is>
          <t>AUSTRT-03</t>
        </is>
      </c>
      <c r="D128" s="30" t="inlineStr">
        <is>
          <t>Blushing Rose Trio</t>
        </is>
      </c>
      <c r="E128" s="30" t="inlineStr">
        <is>
          <t>Bouquets</t>
        </is>
      </c>
      <c r="F128" s="30" t="inlineStr">
        <is>
          <t>Current text vs recipe</t>
        </is>
      </c>
      <c r="G128" s="33" t="inlineStr">
        <is>
          <t>Pre-existing (live text)</t>
        </is>
      </c>
      <c r="H128" s="30" t="inlineStr">
        <is>
          <t>Current text: Gift/container in recipe not mentioned: mason jar</t>
        </is>
      </c>
      <c r="I128" s="30" t="inlineStr">
        <is>
          <t>Recipe includes mason jar but the description doesn't mention it.</t>
        </is>
      </c>
      <c r="J128" s="30" t="inlineStr">
        <is>
          <t>Current description vs recipe</t>
        </is>
      </c>
      <c r="K128" s="30" t="n"/>
    </row>
    <row r="129" ht="22.35" customHeight="1" s="24">
      <c r="A129" s="28" t="n"/>
      <c r="B129" s="30" t="n"/>
      <c r="C129" s="30" t="inlineStr">
        <is>
          <t>AUSTRT-04</t>
        </is>
      </c>
      <c r="D129" s="30" t="inlineStr">
        <is>
          <t>Ruby Rose Trio</t>
        </is>
      </c>
      <c r="E129" s="30" t="inlineStr">
        <is>
          <t>Mason Jar</t>
        </is>
      </c>
      <c r="F129" s="30" t="inlineStr">
        <is>
          <t>Current text vs recipe</t>
        </is>
      </c>
      <c r="G129" s="33" t="inlineStr">
        <is>
          <t>Pre-existing (live text)</t>
        </is>
      </c>
      <c r="H129" s="30" t="inlineStr">
        <is>
          <t>Current text: Gift/container in recipe not mentioned: mason jar</t>
        </is>
      </c>
      <c r="I129" s="30" t="inlineStr">
        <is>
          <t>Recipe includes mason jar but the description doesn't mention it.</t>
        </is>
      </c>
      <c r="J129" s="30" t="inlineStr">
        <is>
          <t>Current description vs recipe</t>
        </is>
      </c>
      <c r="K129" s="30" t="n"/>
    </row>
    <row r="130" ht="22.35" customHeight="1" s="24">
      <c r="A130" s="28" t="n"/>
      <c r="B130" s="30" t="n"/>
      <c r="C130" s="30" t="inlineStr">
        <is>
          <t>AU13-47</t>
        </is>
      </c>
      <c r="D130" s="30" t="inlineStr">
        <is>
          <t>Dozen Boxed Red Roses Combo III</t>
        </is>
      </c>
      <c r="E130" s="30" t="inlineStr">
        <is>
          <t>Add-Ons</t>
        </is>
      </c>
      <c r="F130" s="30" t="inlineStr">
        <is>
          <t>Current text vs recipe</t>
        </is>
      </c>
      <c r="G130" s="33" t="inlineStr">
        <is>
          <t>Pre-existing (live text)</t>
        </is>
      </c>
      <c r="H130" s="30" t="inlineStr">
        <is>
          <t>Current text: Gift/container in recipe not mentioned: teddy bear</t>
        </is>
      </c>
      <c r="I130" s="30" t="inlineStr">
        <is>
          <t>Recipe includes teddy bear but the description doesn't mention it.</t>
        </is>
      </c>
      <c r="J130" s="30" t="inlineStr">
        <is>
          <t>Current description vs recipe</t>
        </is>
      </c>
      <c r="K130" s="30" t="n"/>
    </row>
    <row r="131" ht="22.35" customHeight="1" s="24">
      <c r="A131" s="28" t="n"/>
      <c r="B131" s="30" t="n"/>
      <c r="C131" s="30" t="inlineStr">
        <is>
          <t>AUBC-04</t>
        </is>
      </c>
      <c r="D131" s="30" t="inlineStr">
        <is>
          <t>Birthday Combo IV</t>
        </is>
      </c>
      <c r="E131" s="30" t="inlineStr">
        <is>
          <t>Bouquets</t>
        </is>
      </c>
      <c r="F131" s="30" t="inlineStr">
        <is>
          <t>Current text vs recipe</t>
        </is>
      </c>
      <c r="G131" s="33" t="inlineStr">
        <is>
          <t>Pre-existing (live text)</t>
        </is>
      </c>
      <c r="H131" s="30" t="inlineStr">
        <is>
          <t>Current text: Gift/container in recipe not mentioned: teddy bear</t>
        </is>
      </c>
      <c r="I131" s="30" t="inlineStr">
        <is>
          <t>Recipe includes teddy bear but the description doesn't mention it.</t>
        </is>
      </c>
      <c r="J131" s="30" t="inlineStr">
        <is>
          <t>Current description vs recipe</t>
        </is>
      </c>
      <c r="K131" s="30" t="n"/>
    </row>
    <row r="132" ht="22.35" customHeight="1" s="24">
      <c r="A132" s="28" t="n"/>
      <c r="B132" s="30" t="n"/>
      <c r="C132" s="30" t="inlineStr">
        <is>
          <t>AUFS-12</t>
        </is>
      </c>
      <c r="D132" s="30" t="inlineStr">
        <is>
          <t>Dozen Mixed Roses Super Combo</t>
        </is>
      </c>
      <c r="E132" s="30" t="inlineStr">
        <is>
          <t>Bouquets</t>
        </is>
      </c>
      <c r="F132" s="30" t="inlineStr">
        <is>
          <t>Current text vs recipe</t>
        </is>
      </c>
      <c r="G132" s="33" t="inlineStr">
        <is>
          <t>Pre-existing (live text)</t>
        </is>
      </c>
      <c r="H132" s="30" t="inlineStr">
        <is>
          <t>Current text: Gift/container in recipe not mentioned: teddy bear</t>
        </is>
      </c>
      <c r="I132" s="30" t="inlineStr">
        <is>
          <t>Recipe includes teddy bear but the description doesn't mention it.</t>
        </is>
      </c>
      <c r="J132" s="30" t="inlineStr">
        <is>
          <t>Current description vs recipe</t>
        </is>
      </c>
      <c r="K132" s="30" t="n"/>
    </row>
    <row r="133" ht="22.35" customHeight="1" s="24">
      <c r="A133" s="28" t="n"/>
      <c r="B133" s="30" t="n"/>
      <c r="C133" s="30" t="inlineStr">
        <is>
          <t>AUSC-02</t>
        </is>
      </c>
      <c r="D133" s="30" t="inlineStr">
        <is>
          <t>Sweetheart Collection II</t>
        </is>
      </c>
      <c r="E133" s="30" t="inlineStr">
        <is>
          <t>Bouquets</t>
        </is>
      </c>
      <c r="F133" s="30" t="inlineStr">
        <is>
          <t>Current text vs recipe</t>
        </is>
      </c>
      <c r="G133" s="33" t="inlineStr">
        <is>
          <t>Pre-existing (live text)</t>
        </is>
      </c>
      <c r="H133" s="30" t="inlineStr">
        <is>
          <t>Current text: Gift/container in recipe not mentioned: teddy bear</t>
        </is>
      </c>
      <c r="I133" s="30" t="inlineStr">
        <is>
          <t>Recipe includes teddy bear but the description doesn't mention it.</t>
        </is>
      </c>
      <c r="J133" s="30" t="inlineStr">
        <is>
          <t>Current description vs recipe</t>
        </is>
      </c>
      <c r="K133" s="30" t="n"/>
    </row>
    <row r="134" ht="22.35" customHeight="1" s="24">
      <c r="A134" s="28" t="n"/>
      <c r="B134" s="30" t="n"/>
      <c r="C134" s="30" t="inlineStr">
        <is>
          <t>AUSC-04</t>
        </is>
      </c>
      <c r="D134" s="30" t="inlineStr">
        <is>
          <t>Sweetheart Collection IV</t>
        </is>
      </c>
      <c r="E134" s="30" t="inlineStr">
        <is>
          <t>Bouquets</t>
        </is>
      </c>
      <c r="F134" s="30" t="inlineStr">
        <is>
          <t>Current text vs recipe</t>
        </is>
      </c>
      <c r="G134" s="33" t="inlineStr">
        <is>
          <t>Pre-existing (live text)</t>
        </is>
      </c>
      <c r="H134" s="30" t="inlineStr">
        <is>
          <t>Current text: Gift/container in recipe not mentioned: teddy bear</t>
        </is>
      </c>
      <c r="I134" s="30" t="inlineStr">
        <is>
          <t>Recipe includes teddy bear but the description doesn't mention it.</t>
        </is>
      </c>
      <c r="J134" s="30" t="inlineStr">
        <is>
          <t>Current description vs recipe</t>
        </is>
      </c>
      <c r="K134" s="30" t="n"/>
    </row>
    <row r="135" ht="22.35" customHeight="1" s="24">
      <c r="A135" s="28" t="n"/>
      <c r="B135" s="30" t="n"/>
      <c r="C135" s="30" t="inlineStr">
        <is>
          <t>DCB-01C</t>
        </is>
      </c>
      <c r="D135" s="30" t="inlineStr">
        <is>
          <t>Birthday Designer Collection I Combo</t>
        </is>
      </c>
      <c r="E135" s="30" t="inlineStr">
        <is>
          <t>Designer Collection</t>
        </is>
      </c>
      <c r="F135" s="30" t="inlineStr">
        <is>
          <t>Current text vs recipe</t>
        </is>
      </c>
      <c r="G135" s="33" t="inlineStr">
        <is>
          <t>Pre-existing (live text)</t>
        </is>
      </c>
      <c r="H135" s="30" t="inlineStr">
        <is>
          <t>Current text: Gift/container in recipe not mentioned: teddy bear</t>
        </is>
      </c>
      <c r="I135" s="30" t="inlineStr">
        <is>
          <t>Recipe includes teddy bear but the description doesn't mention it.</t>
        </is>
      </c>
      <c r="J135" s="30" t="inlineStr">
        <is>
          <t>Current description vs recipe</t>
        </is>
      </c>
      <c r="K135" s="30" t="n"/>
    </row>
    <row r="136" ht="22.35" customHeight="1" s="24">
      <c r="A136" s="28" t="n"/>
      <c r="B136" s="30" t="n"/>
      <c r="C136" s="30" t="inlineStr">
        <is>
          <t>LF15-10B</t>
        </is>
      </c>
      <c r="D136" s="30" t="inlineStr">
        <is>
          <t>Hugs and Kisses II</t>
        </is>
      </c>
      <c r="E136" s="30" t="inlineStr">
        <is>
          <t>Bouquets</t>
        </is>
      </c>
      <c r="F136" s="30" t="inlineStr">
        <is>
          <t>Current text vs recipe</t>
        </is>
      </c>
      <c r="G136" s="33" t="inlineStr">
        <is>
          <t>Pre-existing (live text)</t>
        </is>
      </c>
      <c r="H136" s="30" t="inlineStr">
        <is>
          <t>Current text: Gift/container in recipe not mentioned: teddy bear</t>
        </is>
      </c>
      <c r="I136" s="30" t="inlineStr">
        <is>
          <t>Recipe includes teddy bear but the description doesn't mention it.</t>
        </is>
      </c>
      <c r="J136" s="30" t="inlineStr">
        <is>
          <t>Current description vs recipe</t>
        </is>
      </c>
      <c r="K136" s="30" t="n"/>
    </row>
    <row r="137" ht="22.35" customHeight="1" s="24">
      <c r="A137" s="28" t="n"/>
      <c r="B137" s="30" t="n"/>
      <c r="C137" s="30" t="inlineStr">
        <is>
          <t>LF15-10D</t>
        </is>
      </c>
      <c r="D137" s="30" t="inlineStr">
        <is>
          <t>Hugs and Kisses IV</t>
        </is>
      </c>
      <c r="E137" s="30" t="inlineStr">
        <is>
          <t>Bouquets</t>
        </is>
      </c>
      <c r="F137" s="30" t="inlineStr">
        <is>
          <t>Current text vs recipe</t>
        </is>
      </c>
      <c r="G137" s="33" t="inlineStr">
        <is>
          <t>Pre-existing (live text)</t>
        </is>
      </c>
      <c r="H137" s="30" t="inlineStr">
        <is>
          <t>Current text: Gift/container in recipe not mentioned: teddy bear</t>
        </is>
      </c>
      <c r="I137" s="30" t="inlineStr">
        <is>
          <t>Recipe includes teddy bear but the description doesn't mention it.</t>
        </is>
      </c>
      <c r="J137" s="30" t="inlineStr">
        <is>
          <t>Current description vs recipe</t>
        </is>
      </c>
      <c r="K137" s="30" t="n"/>
    </row>
    <row r="138" ht="22.35" customHeight="1" s="24">
      <c r="A138" s="28" t="n"/>
      <c r="B138" s="30" t="n"/>
      <c r="C138" s="30" t="inlineStr">
        <is>
          <t>MDA-01</t>
        </is>
      </c>
      <c r="D138" s="30" t="inlineStr">
        <is>
          <t>50 Blooms of Peruvian Lilies Set</t>
        </is>
      </c>
      <c r="E138" s="30" t="inlineStr">
        <is>
          <t>Bouquets</t>
        </is>
      </c>
      <c r="F138" s="30" t="inlineStr">
        <is>
          <t>Current text vs recipe</t>
        </is>
      </c>
      <c r="G138" s="33" t="inlineStr">
        <is>
          <t>Pre-existing (live text)</t>
        </is>
      </c>
      <c r="H138" s="30" t="inlineStr">
        <is>
          <t>Current text: Gift/container in recipe not mentioned: teddy bear</t>
        </is>
      </c>
      <c r="I138" s="30" t="inlineStr">
        <is>
          <t>Recipe includes teddy bear but the description doesn't mention it.</t>
        </is>
      </c>
      <c r="J138" s="30" t="inlineStr">
        <is>
          <t>Current description vs recipe</t>
        </is>
      </c>
      <c r="K138" s="30" t="n"/>
    </row>
    <row r="139" ht="22.35" customHeight="1" s="24">
      <c r="A139" s="28" t="n"/>
      <c r="B139" s="30" t="n"/>
      <c r="C139" s="30" t="inlineStr">
        <is>
          <t>MDA-03</t>
        </is>
      </c>
      <c r="D139" s="30" t="inlineStr">
        <is>
          <t>100 Peruvian Lilies Set</t>
        </is>
      </c>
      <c r="E139" s="30" t="inlineStr">
        <is>
          <t>Bouquets</t>
        </is>
      </c>
      <c r="F139" s="30" t="inlineStr">
        <is>
          <t>Current text vs recipe</t>
        </is>
      </c>
      <c r="G139" s="33" t="inlineStr">
        <is>
          <t>Pre-existing (live text)</t>
        </is>
      </c>
      <c r="H139" s="30" t="inlineStr">
        <is>
          <t>Current text: Gift/container in recipe not mentioned: teddy bear</t>
        </is>
      </c>
      <c r="I139" s="30" t="inlineStr">
        <is>
          <t>Recipe includes teddy bear but the description doesn't mention it.</t>
        </is>
      </c>
      <c r="J139" s="30" t="inlineStr">
        <is>
          <t>Current description vs recipe</t>
        </is>
      </c>
      <c r="K139" s="30" t="n"/>
    </row>
    <row r="140" ht="22.35" customHeight="1" s="24">
      <c r="A140" s="28" t="n"/>
      <c r="B140" s="30" t="n"/>
      <c r="C140" s="30" t="inlineStr">
        <is>
          <t>RDC-02</t>
        </is>
      </c>
      <c r="D140" s="30" t="inlineStr">
        <is>
          <t>Rainbow Daisy Collection II</t>
        </is>
      </c>
      <c r="E140" s="30" t="inlineStr">
        <is>
          <t>Bouquets</t>
        </is>
      </c>
      <c r="F140" s="30" t="inlineStr">
        <is>
          <t>Current text vs recipe</t>
        </is>
      </c>
      <c r="G140" s="33" t="inlineStr">
        <is>
          <t>Pre-existing (live text)</t>
        </is>
      </c>
      <c r="H140" s="30" t="inlineStr">
        <is>
          <t>Current text: Gift/container in recipe not mentioned: teddy bear</t>
        </is>
      </c>
      <c r="I140" s="30" t="inlineStr">
        <is>
          <t>Recipe includes teddy bear but the description doesn't mention it.</t>
        </is>
      </c>
      <c r="J140" s="30" t="inlineStr">
        <is>
          <t>Current description vs recipe</t>
        </is>
      </c>
      <c r="K140" s="30" t="n"/>
    </row>
    <row r="141" ht="22.35" customHeight="1" s="24">
      <c r="A141" s="28" t="n"/>
      <c r="B141" s="30" t="n"/>
      <c r="C141" s="30" t="inlineStr">
        <is>
          <t>AUHS-03</t>
        </is>
      </c>
      <c r="D141" s="30" t="inlineStr">
        <is>
          <t>Blooming Heart Roses</t>
        </is>
      </c>
      <c r="E141" s="30" t="inlineStr">
        <is>
          <t>Bouquets</t>
        </is>
      </c>
      <c r="F141" s="30" t="inlineStr">
        <is>
          <t>Current text vs recipe</t>
        </is>
      </c>
      <c r="G141" s="33" t="inlineStr">
        <is>
          <t>Pre-existing (live text)</t>
        </is>
      </c>
      <c r="H141" s="30" t="inlineStr">
        <is>
          <t>Current text: Gift/container in recipe not mentioned: vase</t>
        </is>
      </c>
      <c r="I141" s="30" t="inlineStr">
        <is>
          <t>Recipe includes vase but the description doesn't mention it.</t>
        </is>
      </c>
      <c r="J141" s="30" t="inlineStr">
        <is>
          <t>Current description vs recipe</t>
        </is>
      </c>
      <c r="K141" s="30" t="n"/>
    </row>
    <row r="142" ht="22.35" customHeight="1" s="24">
      <c r="A142" s="28" t="n"/>
      <c r="B142" s="30" t="n"/>
      <c r="C142" s="30" t="inlineStr">
        <is>
          <t>AUSC-02</t>
        </is>
      </c>
      <c r="D142" s="30" t="inlineStr">
        <is>
          <t>Sweetheart Collection II</t>
        </is>
      </c>
      <c r="E142" s="30" t="inlineStr">
        <is>
          <t>Bouquets</t>
        </is>
      </c>
      <c r="F142" s="30" t="inlineStr">
        <is>
          <t>Current text vs recipe</t>
        </is>
      </c>
      <c r="G142" s="33" t="inlineStr">
        <is>
          <t>Pre-existing (live text)</t>
        </is>
      </c>
      <c r="H142" s="30" t="inlineStr">
        <is>
          <t>Current text: Gift/container in recipe not mentioned: vase</t>
        </is>
      </c>
      <c r="I142" s="30" t="inlineStr">
        <is>
          <t>Recipe includes vase but the description doesn't mention it.</t>
        </is>
      </c>
      <c r="J142" s="30" t="inlineStr">
        <is>
          <t>Current description vs recipe</t>
        </is>
      </c>
      <c r="K142" s="30" t="n"/>
    </row>
    <row r="143" ht="22.35" customHeight="1" s="24">
      <c r="A143" s="28" t="n"/>
      <c r="B143" s="30" t="n"/>
      <c r="C143" s="30" t="inlineStr">
        <is>
          <t>AUSC-03</t>
        </is>
      </c>
      <c r="D143" s="30" t="inlineStr">
        <is>
          <t>Sweetheart Collection III</t>
        </is>
      </c>
      <c r="E143" s="30" t="inlineStr">
        <is>
          <t>Bouquets</t>
        </is>
      </c>
      <c r="F143" s="30" t="inlineStr">
        <is>
          <t>Current text vs recipe</t>
        </is>
      </c>
      <c r="G143" s="33" t="inlineStr">
        <is>
          <t>Pre-existing (live text)</t>
        </is>
      </c>
      <c r="H143" s="30" t="inlineStr">
        <is>
          <t>Current text: Gift/container in recipe not mentioned: vase</t>
        </is>
      </c>
      <c r="I143" s="30" t="inlineStr">
        <is>
          <t>Recipe includes vase but the description doesn't mention it.</t>
        </is>
      </c>
      <c r="J143" s="30" t="inlineStr">
        <is>
          <t>Current description vs recipe</t>
        </is>
      </c>
      <c r="K143" s="30" t="n"/>
    </row>
    <row r="144" ht="22.35" customHeight="1" s="24">
      <c r="A144" s="28" t="n"/>
      <c r="B144" s="30" t="n"/>
      <c r="C144" s="30" t="inlineStr">
        <is>
          <t>AUSC-04</t>
        </is>
      </c>
      <c r="D144" s="30" t="inlineStr">
        <is>
          <t>Sweetheart Collection IV</t>
        </is>
      </c>
      <c r="E144" s="30" t="inlineStr">
        <is>
          <t>Bouquets</t>
        </is>
      </c>
      <c r="F144" s="30" t="inlineStr">
        <is>
          <t>Current text vs recipe</t>
        </is>
      </c>
      <c r="G144" s="33" t="inlineStr">
        <is>
          <t>Pre-existing (live text)</t>
        </is>
      </c>
      <c r="H144" s="30" t="inlineStr">
        <is>
          <t>Current text: Gift/container in recipe not mentioned: vase</t>
        </is>
      </c>
      <c r="I144" s="30" t="inlineStr">
        <is>
          <t>Recipe includes vase but the description doesn't mention it.</t>
        </is>
      </c>
      <c r="J144" s="30" t="inlineStr">
        <is>
          <t>Current description vs recipe</t>
        </is>
      </c>
      <c r="K144" s="30" t="n"/>
    </row>
    <row r="145" ht="22.35" customHeight="1" s="24">
      <c r="A145" s="28" t="n"/>
      <c r="B145" s="30" t="n"/>
      <c r="C145" s="30" t="inlineStr">
        <is>
          <t>LF15-10C</t>
        </is>
      </c>
      <c r="D145" s="30" t="inlineStr">
        <is>
          <t>Hugs and Kisses III</t>
        </is>
      </c>
      <c r="E145" s="30" t="inlineStr">
        <is>
          <t>Bouquets</t>
        </is>
      </c>
      <c r="F145" s="30" t="inlineStr">
        <is>
          <t>Current text vs recipe</t>
        </is>
      </c>
      <c r="G145" s="33" t="inlineStr">
        <is>
          <t>Pre-existing (live text)</t>
        </is>
      </c>
      <c r="H145" s="30" t="inlineStr">
        <is>
          <t>Current text: Gift/container in recipe not mentioned: vase</t>
        </is>
      </c>
      <c r="I145" s="30" t="inlineStr">
        <is>
          <t>Recipe includes vase but the description doesn't mention it.</t>
        </is>
      </c>
      <c r="J145" s="30" t="inlineStr">
        <is>
          <t>Current description vs recipe</t>
        </is>
      </c>
      <c r="K145" s="30" t="n"/>
    </row>
    <row r="146" ht="22.35" customHeight="1" s="24">
      <c r="A146" s="28" t="n"/>
      <c r="B146" s="30" t="n"/>
      <c r="C146" s="30" t="inlineStr">
        <is>
          <t>SHR-04</t>
        </is>
      </c>
      <c r="D146" s="30" t="inlineStr">
        <is>
          <t>18 Sweetheart Roses I</t>
        </is>
      </c>
      <c r="E146" s="30" t="inlineStr">
        <is>
          <t>Roses</t>
        </is>
      </c>
      <c r="F146" s="30" t="inlineStr">
        <is>
          <t>Current text vs recipe</t>
        </is>
      </c>
      <c r="G146" s="33" t="inlineStr">
        <is>
          <t>Pre-existing (live text)</t>
        </is>
      </c>
      <c r="H146" s="30" t="inlineStr">
        <is>
          <t>Current text: Gift/container in recipe not mentioned: vase</t>
        </is>
      </c>
      <c r="I146" s="30" t="inlineStr">
        <is>
          <t>Recipe includes vase but the description doesn't mention it.</t>
        </is>
      </c>
      <c r="J146" s="30" t="inlineStr">
        <is>
          <t>Current description vs recipe</t>
        </is>
      </c>
      <c r="K146" s="30" t="n"/>
    </row>
    <row r="147" ht="22.35" customHeight="1" s="24">
      <c r="A147" s="28" t="n"/>
      <c r="B147" s="30" t="n"/>
      <c r="C147" s="30" t="inlineStr">
        <is>
          <t>AUFS-12</t>
        </is>
      </c>
      <c r="D147" s="30" t="inlineStr">
        <is>
          <t>Dozen Mixed Roses Super Combo</t>
        </is>
      </c>
      <c r="E147" s="30" t="inlineStr">
        <is>
          <t>Bouquets</t>
        </is>
      </c>
      <c r="F147" s="30" t="inlineStr">
        <is>
          <t>Current text vs recipe</t>
        </is>
      </c>
      <c r="G147" s="33" t="inlineStr">
        <is>
          <t>Pre-existing (live text)</t>
        </is>
      </c>
      <c r="H147" s="30" t="inlineStr">
        <is>
          <t>Current text: Gift/container in recipe not mentioned: wine</t>
        </is>
      </c>
      <c r="I147" s="30" t="inlineStr">
        <is>
          <t>Recipe includes wine but the description doesn't mention it.</t>
        </is>
      </c>
      <c r="J147" s="30" t="inlineStr">
        <is>
          <t>Current description vs recipe</t>
        </is>
      </c>
      <c r="K147" s="30" t="n"/>
    </row>
    <row r="148" ht="22.35" customHeight="1" s="24">
      <c r="A148" s="28" t="n"/>
      <c r="B148" s="30" t="n"/>
      <c r="C148" s="30" t="inlineStr">
        <is>
          <t>AU116-30</t>
        </is>
      </c>
      <c r="D148" s="30" t="inlineStr">
        <is>
          <t>Fairest Sentiments</t>
        </is>
      </c>
      <c r="E148" s="30" t="inlineStr">
        <is>
          <t>Sympathy</t>
        </is>
      </c>
      <c r="F148" s="30" t="inlineStr">
        <is>
          <t>Current text vs recipe</t>
        </is>
      </c>
      <c r="G148" s="33" t="inlineStr">
        <is>
          <t>Pre-existing (live text)</t>
        </is>
      </c>
      <c r="H148" s="30" t="inlineStr">
        <is>
          <t>Current text: Main flower of the recipe not mentioned</t>
        </is>
      </c>
      <c r="I148" s="30" t="inlineStr">
        <is>
          <t>Main flower not mentioned: 5 roses (25% of stems).</t>
        </is>
      </c>
      <c r="J148" s="30" t="inlineStr">
        <is>
          <t>Current description vs recipe</t>
        </is>
      </c>
      <c r="K148" s="30" t="n"/>
    </row>
    <row r="149" ht="22.35" customHeight="1" s="24">
      <c r="A149" s="28" t="n"/>
      <c r="B149" s="30" t="n"/>
      <c r="C149" s="30" t="inlineStr">
        <is>
          <t>AU116-30</t>
        </is>
      </c>
      <c r="D149" s="30" t="inlineStr">
        <is>
          <t>Fairest Sentiments</t>
        </is>
      </c>
      <c r="E149" s="30" t="inlineStr">
        <is>
          <t>Sympathy</t>
        </is>
      </c>
      <c r="F149" s="30" t="inlineStr">
        <is>
          <t>Current text vs recipe</t>
        </is>
      </c>
      <c r="G149" s="33" t="inlineStr">
        <is>
          <t>Pre-existing (live text)</t>
        </is>
      </c>
      <c r="H149" s="30" t="inlineStr">
        <is>
          <t>Current text: Main flower of the recipe not mentioned</t>
        </is>
      </c>
      <c r="I149" s="30" t="inlineStr">
        <is>
          <t>Main flower not mentioned: 7 chrysanthemums (35% of stems).</t>
        </is>
      </c>
      <c r="J149" s="30" t="inlineStr">
        <is>
          <t>Current description vs recipe</t>
        </is>
      </c>
      <c r="K149" s="30" t="n"/>
    </row>
    <row r="150" ht="22.35" customHeight="1" s="24">
      <c r="A150" s="28" t="n"/>
      <c r="B150" s="30" t="n"/>
      <c r="C150" s="30" t="inlineStr">
        <is>
          <t>AUGF16-83</t>
        </is>
      </c>
      <c r="D150" s="30" t="inlineStr">
        <is>
          <t>Simply Sweet</t>
        </is>
      </c>
      <c r="E150" s="30" t="inlineStr">
        <is>
          <t>Bouquets</t>
        </is>
      </c>
      <c r="F150" s="30" t="inlineStr">
        <is>
          <t>Current text vs recipe</t>
        </is>
      </c>
      <c r="G150" s="33" t="inlineStr">
        <is>
          <t>Pre-existing (live text)</t>
        </is>
      </c>
      <c r="H150" s="30" t="inlineStr">
        <is>
          <t>Current text: Main flower of the recipe not mentioned</t>
        </is>
      </c>
      <c r="I150" s="30" t="inlineStr">
        <is>
          <t>Main flower not mentioned: 2 gerberas (25% of stems).</t>
        </is>
      </c>
      <c r="J150" s="30" t="inlineStr">
        <is>
          <t>Current description vs recipe</t>
        </is>
      </c>
      <c r="K150" s="30" t="n"/>
    </row>
    <row r="151" ht="22.35" customHeight="1" s="24">
      <c r="A151" s="28" t="n"/>
      <c r="B151" s="30" t="n"/>
      <c r="C151" s="30" t="inlineStr">
        <is>
          <t>AUMJ-NW-006</t>
        </is>
      </c>
      <c r="D151" s="30" t="inlineStr">
        <is>
          <t>Daisy Daze Bouquet in Mason Jar</t>
        </is>
      </c>
      <c r="E151" s="30" t="inlineStr">
        <is>
          <t>Mason Jar</t>
        </is>
      </c>
      <c r="F151" s="30" t="inlineStr">
        <is>
          <t>Current text vs recipe</t>
        </is>
      </c>
      <c r="G151" s="33" t="inlineStr">
        <is>
          <t>Pre-existing (live text)</t>
        </is>
      </c>
      <c r="H151" s="30" t="inlineStr">
        <is>
          <t>Current text: Main flower of the recipe not mentioned</t>
        </is>
      </c>
      <c r="I151" s="30" t="inlineStr">
        <is>
          <t>Main flower not mentioned: 5 carnations (62% of stems).</t>
        </is>
      </c>
      <c r="J151" s="30" t="inlineStr">
        <is>
          <t>Current description vs recipe</t>
        </is>
      </c>
      <c r="K151" s="30" t="n"/>
    </row>
    <row r="152" ht="22.35" customHeight="1" s="24">
      <c r="A152" s="28" t="n"/>
      <c r="B152" s="30" t="n"/>
      <c r="C152" s="30" t="inlineStr">
        <is>
          <t>MJ100-111</t>
        </is>
      </c>
      <c r="D152" s="30" t="inlineStr">
        <is>
          <t>Enchanted Cottage in Mason Jar</t>
        </is>
      </c>
      <c r="E152" s="30" t="inlineStr">
        <is>
          <t>Mason Jar</t>
        </is>
      </c>
      <c r="F152" s="30" t="inlineStr">
        <is>
          <t>Current text vs recipe</t>
        </is>
      </c>
      <c r="G152" s="33" t="inlineStr">
        <is>
          <t>Pre-existing (live text)</t>
        </is>
      </c>
      <c r="H152" s="30" t="inlineStr">
        <is>
          <t>Current text: Main flower of the recipe not mentioned</t>
        </is>
      </c>
      <c r="I152" s="30" t="inlineStr">
        <is>
          <t>Main flower not mentioned: 3 carnations (27% of stems).</t>
        </is>
      </c>
      <c r="J152" s="30" t="inlineStr">
        <is>
          <t>Current description vs recipe</t>
        </is>
      </c>
      <c r="K152" s="30" t="n"/>
    </row>
    <row r="153" ht="22.35" customHeight="1" s="24">
      <c r="A153" s="28" t="n"/>
      <c r="B153" s="30" t="n"/>
      <c r="C153" s="30" t="inlineStr">
        <is>
          <t>RBC-02C</t>
        </is>
      </c>
      <c r="D153" s="30" t="inlineStr">
        <is>
          <t>Bunches Purply Pink Collection III</t>
        </is>
      </c>
      <c r="E153" s="30" t="inlineStr">
        <is>
          <t>Bouquets</t>
        </is>
      </c>
      <c r="F153" s="30" t="inlineStr">
        <is>
          <t>Current text vs recipe</t>
        </is>
      </c>
      <c r="G153" s="33" t="inlineStr">
        <is>
          <t>Pre-existing (live text)</t>
        </is>
      </c>
      <c r="H153" s="30" t="inlineStr">
        <is>
          <t>Current text: Main flower of the recipe not mentioned</t>
        </is>
      </c>
      <c r="I153" s="30" t="inlineStr">
        <is>
          <t>Main flower not mentioned: 6 roses (46% of stems).</t>
        </is>
      </c>
      <c r="J153" s="30" t="inlineStr">
        <is>
          <t>Current description vs recipe</t>
        </is>
      </c>
      <c r="K153" s="30" t="n"/>
    </row>
    <row r="154" ht="22.35" customHeight="1" s="24">
      <c r="A154" s="28" t="n"/>
      <c r="B154" s="30" t="n"/>
      <c r="C154" s="30" t="inlineStr">
        <is>
          <t>AUGF16-83</t>
        </is>
      </c>
      <c r="D154" s="30" t="inlineStr">
        <is>
          <t>Simply Sweet</t>
        </is>
      </c>
      <c r="E154" s="30" t="inlineStr">
        <is>
          <t>Bouquets</t>
        </is>
      </c>
      <c r="F154" s="30" t="inlineStr">
        <is>
          <t>Current text vs recipe</t>
        </is>
      </c>
      <c r="G154" s="33" t="inlineStr">
        <is>
          <t>Pre-existing (live text)</t>
        </is>
      </c>
      <c r="H154" s="30" t="inlineStr">
        <is>
          <t>Current text: Mentions something not in the recipe: alstroemeria</t>
        </is>
      </c>
      <c r="I154" s="30" t="inlineStr">
        <is>
          <t>Mentions alstroemeria — not in the Classic recipe.</t>
        </is>
      </c>
      <c r="J154" s="30" t="inlineStr">
        <is>
          <t>Current description vs recipe</t>
        </is>
      </c>
      <c r="K154" s="30" t="n"/>
    </row>
    <row r="155" ht="22.35" customHeight="1" s="24">
      <c r="A155" s="28" t="n"/>
      <c r="B155" s="30" t="n"/>
      <c r="C155" s="30" t="inlineStr">
        <is>
          <t>AUGF16-83</t>
        </is>
      </c>
      <c r="D155" s="30" t="inlineStr">
        <is>
          <t>Simply Sweet</t>
        </is>
      </c>
      <c r="E155" s="30" t="inlineStr">
        <is>
          <t>Bouquets</t>
        </is>
      </c>
      <c r="F155" s="30" t="inlineStr">
        <is>
          <t>Current text vs recipe</t>
        </is>
      </c>
      <c r="G155" s="33" t="inlineStr">
        <is>
          <t>Pre-existing (live text)</t>
        </is>
      </c>
      <c r="H155" s="30" t="inlineStr">
        <is>
          <t>Current text: Mentions something not in the recipe: carnations</t>
        </is>
      </c>
      <c r="I155" s="30" t="inlineStr">
        <is>
          <t>Mentions carnations — not in the Classic recipe.</t>
        </is>
      </c>
      <c r="J155" s="30" t="inlineStr">
        <is>
          <t>Current description vs recipe</t>
        </is>
      </c>
      <c r="K155" s="30" t="n"/>
    </row>
    <row r="156" ht="22.35" customHeight="1" s="24">
      <c r="A156" s="28" t="n"/>
      <c r="B156" s="30" t="n"/>
      <c r="C156" s="30" t="inlineStr">
        <is>
          <t>AUGF16-83</t>
        </is>
      </c>
      <c r="D156" s="30" t="inlineStr">
        <is>
          <t>Simply Sweet</t>
        </is>
      </c>
      <c r="E156" s="30" t="inlineStr">
        <is>
          <t>Bouquets</t>
        </is>
      </c>
      <c r="F156" s="30" t="inlineStr">
        <is>
          <t>Current text vs recipe</t>
        </is>
      </c>
      <c r="G156" s="33" t="inlineStr">
        <is>
          <t>Pre-existing (live text)</t>
        </is>
      </c>
      <c r="H156" s="30" t="inlineStr">
        <is>
          <t>Current text: Mentions something not in the recipe: chrysanthemums</t>
        </is>
      </c>
      <c r="I156" s="30" t="inlineStr">
        <is>
          <t>Mentions chrysanthemums — not in the Classic recipe.</t>
        </is>
      </c>
      <c r="J156" s="30" t="inlineStr">
        <is>
          <t>Current description vs recipe</t>
        </is>
      </c>
      <c r="K156" s="30" t="n"/>
    </row>
    <row r="157" ht="22.35" customHeight="1" s="24">
      <c r="A157" s="28" t="n"/>
      <c r="B157" s="30" t="n"/>
      <c r="C157" s="30" t="inlineStr">
        <is>
          <t>AUSGF16-110</t>
        </is>
      </c>
      <c r="D157" s="30" t="inlineStr">
        <is>
          <t>Pastel Harmony</t>
        </is>
      </c>
      <c r="E157" s="30" t="inlineStr">
        <is>
          <t>Bouquets</t>
        </is>
      </c>
      <c r="F157" s="30" t="inlineStr">
        <is>
          <t>Current text vs recipe</t>
        </is>
      </c>
      <c r="G157" s="33" t="inlineStr">
        <is>
          <t>Pre-existing (live text)</t>
        </is>
      </c>
      <c r="H157" s="30" t="inlineStr">
        <is>
          <t>Current text: Mentions something not in the recipe: chrysanthemums</t>
        </is>
      </c>
      <c r="I157" s="30" t="inlineStr">
        <is>
          <t>Mentions chrysanthemums — not in the Classic recipe.</t>
        </is>
      </c>
      <c r="J157" s="30" t="inlineStr">
        <is>
          <t>Current description vs recipe</t>
        </is>
      </c>
      <c r="K157" s="30" t="n"/>
    </row>
    <row r="158" ht="22.35" customHeight="1" s="24">
      <c r="A158" s="28" t="n"/>
      <c r="B158" s="30" t="n"/>
      <c r="C158" s="30" t="inlineStr">
        <is>
          <t>AU100-71</t>
        </is>
      </c>
      <c r="D158" s="30" t="inlineStr">
        <is>
          <t>Full Heart</t>
        </is>
      </c>
      <c r="E158" s="30" t="inlineStr">
        <is>
          <t>Sympathy</t>
        </is>
      </c>
      <c r="F158" s="30" t="inlineStr">
        <is>
          <t>Current text vs recipe</t>
        </is>
      </c>
      <c r="G158" s="33" t="inlineStr">
        <is>
          <t>Pre-existing (live text)</t>
        </is>
      </c>
      <c r="H158" s="30" t="inlineStr">
        <is>
          <t>Current text: Mentions something not in the recipe: eucalyptus</t>
        </is>
      </c>
      <c r="I158" s="30" t="inlineStr">
        <is>
          <t>Mentions eucalyptus — not in the Classic recipe.</t>
        </is>
      </c>
      <c r="J158" s="30" t="inlineStr">
        <is>
          <t>Current description vs recipe</t>
        </is>
      </c>
      <c r="K158" s="30" t="n"/>
    </row>
    <row r="159" ht="22.35" customHeight="1" s="24">
      <c r="A159" s="28" t="n"/>
      <c r="B159" s="30" t="n"/>
      <c r="C159" s="30" t="inlineStr">
        <is>
          <t>MJ100-20</t>
        </is>
      </c>
      <c r="D159" s="30" t="inlineStr">
        <is>
          <t>Beautiful in Blue in Mason Jar</t>
        </is>
      </c>
      <c r="E159" s="30" t="inlineStr">
        <is>
          <t>Mason Jar</t>
        </is>
      </c>
      <c r="F159" s="30" t="inlineStr">
        <is>
          <t>Current text vs recipe</t>
        </is>
      </c>
      <c r="G159" s="33" t="inlineStr">
        <is>
          <t>Pre-existing (live text)</t>
        </is>
      </c>
      <c r="H159" s="30" t="inlineStr">
        <is>
          <t>Current text: Mentions something not in the recipe: eucalyptus</t>
        </is>
      </c>
      <c r="I159" s="30" t="inlineStr">
        <is>
          <t>Mentions eucalyptus — not in the Classic recipe.</t>
        </is>
      </c>
      <c r="J159" s="30" t="inlineStr">
        <is>
          <t>Current description vs recipe</t>
        </is>
      </c>
      <c r="K159" s="30" t="n"/>
    </row>
    <row r="160" ht="22.35" customHeight="1" s="24">
      <c r="A160" s="28" t="n"/>
      <c r="B160" s="30" t="n"/>
      <c r="C160" s="30" t="inlineStr">
        <is>
          <t>RBC-02C</t>
        </is>
      </c>
      <c r="D160" s="30" t="inlineStr">
        <is>
          <t>Bunches Purply Pink Collection III</t>
        </is>
      </c>
      <c r="E160" s="30" t="inlineStr">
        <is>
          <t>Bouquets</t>
        </is>
      </c>
      <c r="F160" s="30" t="inlineStr">
        <is>
          <t>Current text vs recipe</t>
        </is>
      </c>
      <c r="G160" s="33" t="inlineStr">
        <is>
          <t>Pre-existing (live text)</t>
        </is>
      </c>
      <c r="H160" s="30" t="inlineStr">
        <is>
          <t>Current text: Mentions something not in the recipe: gerberas</t>
        </is>
      </c>
      <c r="I160" s="30" t="inlineStr">
        <is>
          <t>Mentions gerberas — not in the Classic recipe.</t>
        </is>
      </c>
      <c r="J160" s="30" t="inlineStr">
        <is>
          <t>Current description vs recipe</t>
        </is>
      </c>
      <c r="K160" s="30" t="n"/>
    </row>
    <row r="161" ht="22.35" customHeight="1" s="24">
      <c r="A161" s="28" t="n"/>
      <c r="B161" s="30" t="n"/>
      <c r="C161" s="30" t="inlineStr">
        <is>
          <t>AU100-557</t>
        </is>
      </c>
      <c r="D161" s="30" t="inlineStr">
        <is>
          <t>Pink Tribute Spray</t>
        </is>
      </c>
      <c r="E161" s="30" t="inlineStr">
        <is>
          <t>Sympathy</t>
        </is>
      </c>
      <c r="F161" s="30" t="inlineStr">
        <is>
          <t>Current text vs recipe</t>
        </is>
      </c>
      <c r="G161" s="33" t="inlineStr">
        <is>
          <t>Pre-existing (live text)</t>
        </is>
      </c>
      <c r="H161" s="30" t="inlineStr">
        <is>
          <t>Current text: Mentions something not in the recipe: gladioli</t>
        </is>
      </c>
      <c r="I161" s="30" t="inlineStr">
        <is>
          <t>Mentions gladioli — not in the Classic recipe.</t>
        </is>
      </c>
      <c r="J161" s="30" t="inlineStr">
        <is>
          <t>Current description vs recipe</t>
        </is>
      </c>
      <c r="K161" s="30" t="n"/>
    </row>
    <row r="162" ht="22.35" customHeight="1" s="24">
      <c r="A162" s="28" t="n"/>
      <c r="B162" s="30" t="n"/>
      <c r="C162" s="30" t="inlineStr">
        <is>
          <t>AU100-577</t>
        </is>
      </c>
      <c r="D162" s="30" t="inlineStr">
        <is>
          <t>Garden of Grandeur Casket Spray</t>
        </is>
      </c>
      <c r="E162" s="30" t="inlineStr">
        <is>
          <t>Sympathy</t>
        </is>
      </c>
      <c r="F162" s="30" t="inlineStr">
        <is>
          <t>Current text vs recipe</t>
        </is>
      </c>
      <c r="G162" s="33" t="inlineStr">
        <is>
          <t>Pre-existing (live text)</t>
        </is>
      </c>
      <c r="H162" s="30" t="inlineStr">
        <is>
          <t>Current text: Mentions something not in the recipe: gladioli</t>
        </is>
      </c>
      <c r="I162" s="30" t="inlineStr">
        <is>
          <t>Mentions gladioli — not in the Classic recipe.</t>
        </is>
      </c>
      <c r="J162" s="30" t="inlineStr">
        <is>
          <t>Current description vs recipe</t>
        </is>
      </c>
      <c r="K162" s="30" t="n"/>
    </row>
    <row r="163" ht="22.35" customHeight="1" s="24">
      <c r="A163" s="28" t="n"/>
      <c r="B163" s="30" t="n"/>
      <c r="C163" s="30" t="inlineStr">
        <is>
          <t>AU100-599</t>
        </is>
      </c>
      <c r="D163" s="30" t="inlineStr">
        <is>
          <t>Deep in Our Hearts Spray</t>
        </is>
      </c>
      <c r="E163" s="30" t="inlineStr">
        <is>
          <t>Sympathy</t>
        </is>
      </c>
      <c r="F163" s="30" t="inlineStr">
        <is>
          <t>Current text vs recipe</t>
        </is>
      </c>
      <c r="G163" s="33" t="inlineStr">
        <is>
          <t>Pre-existing (live text)</t>
        </is>
      </c>
      <c r="H163" s="30" t="inlineStr">
        <is>
          <t>Current text: Mentions something not in the recipe: gladioli</t>
        </is>
      </c>
      <c r="I163" s="30" t="inlineStr">
        <is>
          <t>Mentions gladioli — not in the Classic recipe.</t>
        </is>
      </c>
      <c r="J163" s="30" t="inlineStr">
        <is>
          <t>Current description vs recipe</t>
        </is>
      </c>
      <c r="K163" s="30" t="n"/>
    </row>
    <row r="164" ht="22.35" customHeight="1" s="24">
      <c r="A164" s="28" t="n"/>
      <c r="B164" s="30" t="n"/>
      <c r="C164" s="30" t="inlineStr">
        <is>
          <t>AU112-28</t>
        </is>
      </c>
      <c r="D164" s="30" t="inlineStr">
        <is>
          <t>Radiant Care Spray</t>
        </is>
      </c>
      <c r="E164" s="30" t="inlineStr">
        <is>
          <t>Sympathy</t>
        </is>
      </c>
      <c r="F164" s="30" t="inlineStr">
        <is>
          <t>Current text vs recipe</t>
        </is>
      </c>
      <c r="G164" s="33" t="inlineStr">
        <is>
          <t>Pre-existing (live text)</t>
        </is>
      </c>
      <c r="H164" s="30" t="inlineStr">
        <is>
          <t>Current text: Mentions something not in the recipe: gladioli</t>
        </is>
      </c>
      <c r="I164" s="30" t="inlineStr">
        <is>
          <t>Mentions gladioli — not in the Classic recipe.</t>
        </is>
      </c>
      <c r="J164" s="30" t="inlineStr">
        <is>
          <t>Current description vs recipe</t>
        </is>
      </c>
      <c r="K164" s="30" t="n"/>
    </row>
    <row r="165" ht="22.35" customHeight="1" s="24">
      <c r="A165" s="28" t="n"/>
      <c r="B165" s="30" t="n"/>
      <c r="C165" s="30" t="inlineStr">
        <is>
          <t>LF100-395</t>
        </is>
      </c>
      <c r="D165" s="30" t="inlineStr">
        <is>
          <t>Pure Devotion Funeral Flower Package</t>
        </is>
      </c>
      <c r="E165" s="30" t="inlineStr">
        <is>
          <t>Sympathy</t>
        </is>
      </c>
      <c r="F165" s="30" t="inlineStr">
        <is>
          <t>Current text vs recipe</t>
        </is>
      </c>
      <c r="G165" s="33" t="inlineStr">
        <is>
          <t>Pre-existing (live text)</t>
        </is>
      </c>
      <c r="H165" s="30" t="inlineStr">
        <is>
          <t>Current text: Mentions something not in the recipe: gladioli</t>
        </is>
      </c>
      <c r="I165" s="30" t="inlineStr">
        <is>
          <t>Mentions gladioli — not in the Classic recipe.</t>
        </is>
      </c>
      <c r="J165" s="30" t="inlineStr">
        <is>
          <t>Current description vs recipe</t>
        </is>
      </c>
      <c r="K165" s="30" t="n"/>
    </row>
    <row r="166" ht="22.35" customHeight="1" s="24">
      <c r="A166" s="28" t="n"/>
      <c r="B166" s="30" t="n"/>
      <c r="C166" s="30" t="inlineStr">
        <is>
          <t>LF100-595</t>
        </is>
      </c>
      <c r="D166" s="30" t="inlineStr">
        <is>
          <t>Warm Regards Funeral Flower Package</t>
        </is>
      </c>
      <c r="E166" s="30" t="inlineStr">
        <is>
          <t>Sympathy</t>
        </is>
      </c>
      <c r="F166" s="30" t="inlineStr">
        <is>
          <t>Current text vs recipe</t>
        </is>
      </c>
      <c r="G166" s="33" t="inlineStr">
        <is>
          <t>Pre-existing (live text)</t>
        </is>
      </c>
      <c r="H166" s="30" t="inlineStr">
        <is>
          <t>Current text: Mentions something not in the recipe: gladioli</t>
        </is>
      </c>
      <c r="I166" s="30" t="inlineStr">
        <is>
          <t>Mentions gladioli — not in the Classic recipe.</t>
        </is>
      </c>
      <c r="J166" s="30" t="inlineStr">
        <is>
          <t>Current description vs recipe</t>
        </is>
      </c>
      <c r="K166" s="30" t="n"/>
    </row>
    <row r="167" ht="22.35" customHeight="1" s="24">
      <c r="A167" s="28" t="n"/>
      <c r="B167" s="30" t="n"/>
      <c r="C167" s="30" t="inlineStr">
        <is>
          <t>AU112-12</t>
        </is>
      </c>
      <c r="D167" s="30" t="inlineStr">
        <is>
          <t>Beautiful in Blue</t>
        </is>
      </c>
      <c r="E167" s="30" t="inlineStr">
        <is>
          <t>Sympathy</t>
        </is>
      </c>
      <c r="F167" s="30" t="inlineStr">
        <is>
          <t>Current text vs recipe</t>
        </is>
      </c>
      <c r="G167" s="33" t="inlineStr">
        <is>
          <t>Pre-existing (live text)</t>
        </is>
      </c>
      <c r="H167" s="30" t="inlineStr">
        <is>
          <t>Current text: Mentions something not in the recipe: hydrangea</t>
        </is>
      </c>
      <c r="I167" s="30" t="inlineStr">
        <is>
          <t>Mentions hydrangea — not in the Classic recipe.</t>
        </is>
      </c>
      <c r="J167" s="30" t="inlineStr">
        <is>
          <t>Current description vs recipe</t>
        </is>
      </c>
      <c r="K167" s="30" t="n"/>
    </row>
    <row r="168" ht="22.35" customHeight="1" s="24">
      <c r="A168" s="28" t="n"/>
      <c r="B168" s="30" t="n"/>
      <c r="C168" s="30" t="inlineStr">
        <is>
          <t>AUMJ-NW-011</t>
        </is>
      </c>
      <c r="D168" s="30" t="inlineStr">
        <is>
          <t>Best Birthday Ever Bouquet in Mason Jar</t>
        </is>
      </c>
      <c r="E168" s="30" t="inlineStr">
        <is>
          <t>Mason Jar</t>
        </is>
      </c>
      <c r="F168" s="30" t="inlineStr">
        <is>
          <t>Current text vs recipe</t>
        </is>
      </c>
      <c r="G168" s="33" t="inlineStr">
        <is>
          <t>Pre-existing (live text)</t>
        </is>
      </c>
      <c r="H168" s="30" t="inlineStr">
        <is>
          <t>Current text: Mentions something not in the recipe: hydrangea</t>
        </is>
      </c>
      <c r="I168" s="30" t="inlineStr">
        <is>
          <t>Mentions hydrangea — not in the Classic recipe.</t>
        </is>
      </c>
      <c r="J168" s="30" t="inlineStr">
        <is>
          <t>Current description vs recipe</t>
        </is>
      </c>
      <c r="K168" s="30" t="n"/>
    </row>
    <row r="169" ht="22.35" customHeight="1" s="24">
      <c r="A169" s="28" t="n"/>
      <c r="B169" s="30" t="n"/>
      <c r="C169" s="30" t="inlineStr">
        <is>
          <t>AUMJ-NW-023</t>
        </is>
      </c>
      <c r="D169" s="30" t="inlineStr">
        <is>
          <t>Cure the Blues Bouquet in Mason Jar</t>
        </is>
      </c>
      <c r="E169" s="30" t="inlineStr">
        <is>
          <t>Mason Jar</t>
        </is>
      </c>
      <c r="F169" s="30" t="inlineStr">
        <is>
          <t>Current text vs recipe</t>
        </is>
      </c>
      <c r="G169" s="33" t="inlineStr">
        <is>
          <t>Pre-existing (live text)</t>
        </is>
      </c>
      <c r="H169" s="30" t="inlineStr">
        <is>
          <t>Current text: Mentions something not in the recipe: hydrangea</t>
        </is>
      </c>
      <c r="I169" s="30" t="inlineStr">
        <is>
          <t>Mentions hydrangea — not in the Classic recipe.</t>
        </is>
      </c>
      <c r="J169" s="30" t="inlineStr">
        <is>
          <t>Current description vs recipe</t>
        </is>
      </c>
      <c r="K169" s="30" t="n"/>
    </row>
    <row r="170" ht="22.35" customHeight="1" s="24">
      <c r="A170" s="28" t="n"/>
      <c r="B170" s="30" t="n"/>
      <c r="C170" s="30" t="inlineStr">
        <is>
          <t>AU112-12</t>
        </is>
      </c>
      <c r="D170" s="30" t="inlineStr">
        <is>
          <t>Beautiful in Blue</t>
        </is>
      </c>
      <c r="E170" s="30" t="inlineStr">
        <is>
          <t>Sympathy</t>
        </is>
      </c>
      <c r="F170" s="30" t="inlineStr">
        <is>
          <t>Current text vs recipe</t>
        </is>
      </c>
      <c r="G170" s="33" t="inlineStr">
        <is>
          <t>Pre-existing (live text)</t>
        </is>
      </c>
      <c r="H170" s="30" t="inlineStr">
        <is>
          <t>Current text: Mentions something not in the recipe: lilies</t>
        </is>
      </c>
      <c r="I170" s="30" t="inlineStr">
        <is>
          <t>Mentions lilies — not in the Classic recipe.</t>
        </is>
      </c>
      <c r="J170" s="30" t="inlineStr">
        <is>
          <t>Current description vs recipe</t>
        </is>
      </c>
      <c r="K170" s="30" t="n"/>
    </row>
    <row r="171" ht="22.35" customHeight="1" s="24">
      <c r="A171" s="28" t="n"/>
      <c r="B171" s="30" t="n"/>
      <c r="C171" s="30" t="inlineStr">
        <is>
          <t>AU112-24</t>
        </is>
      </c>
      <c r="D171" s="30" t="inlineStr">
        <is>
          <t>Fabulous Bouquet</t>
        </is>
      </c>
      <c r="E171" s="30" t="inlineStr">
        <is>
          <t>Bouquets</t>
        </is>
      </c>
      <c r="F171" s="30" t="inlineStr">
        <is>
          <t>Current text vs recipe</t>
        </is>
      </c>
      <c r="G171" s="33" t="inlineStr">
        <is>
          <t>Pre-existing (live text)</t>
        </is>
      </c>
      <c r="H171" s="30" t="inlineStr">
        <is>
          <t>Current text: Mentions something not in the recipe: lilies</t>
        </is>
      </c>
      <c r="I171" s="30" t="inlineStr">
        <is>
          <t>Mentions lilies — not in the Classic recipe.</t>
        </is>
      </c>
      <c r="J171" s="30" t="inlineStr">
        <is>
          <t>Current description vs recipe</t>
        </is>
      </c>
      <c r="K171" s="30" t="n"/>
    </row>
    <row r="172" ht="22.35" customHeight="1" s="24">
      <c r="A172" s="28" t="n"/>
      <c r="B172" s="30" t="n"/>
      <c r="C172" s="30" t="inlineStr">
        <is>
          <t>AU116-30</t>
        </is>
      </c>
      <c r="D172" s="30" t="inlineStr">
        <is>
          <t>Fairest Sentiments</t>
        </is>
      </c>
      <c r="E172" s="30" t="inlineStr">
        <is>
          <t>Sympathy</t>
        </is>
      </c>
      <c r="F172" s="30" t="inlineStr">
        <is>
          <t>Current text vs recipe</t>
        </is>
      </c>
      <c r="G172" s="33" t="inlineStr">
        <is>
          <t>Pre-existing (live text)</t>
        </is>
      </c>
      <c r="H172" s="30" t="inlineStr">
        <is>
          <t>Current text: Mentions something not in the recipe: lilies</t>
        </is>
      </c>
      <c r="I172" s="30" t="inlineStr">
        <is>
          <t>Mentions lilies — not in the Classic recipe.</t>
        </is>
      </c>
      <c r="J172" s="30" t="inlineStr">
        <is>
          <t>Current description vs recipe</t>
        </is>
      </c>
      <c r="K172" s="30" t="n"/>
    </row>
    <row r="173" ht="22.35" customHeight="1" s="24">
      <c r="A173" s="28" t="n"/>
      <c r="B173" s="30" t="n"/>
      <c r="C173" s="30" t="inlineStr">
        <is>
          <t>AU189-01</t>
        </is>
      </c>
      <c r="D173" s="30" t="inlineStr">
        <is>
          <t>Classic Sympathy Wreath</t>
        </is>
      </c>
      <c r="E173" s="30" t="inlineStr">
        <is>
          <t>Sympathy</t>
        </is>
      </c>
      <c r="F173" s="30" t="inlineStr">
        <is>
          <t>Current text vs recipe</t>
        </is>
      </c>
      <c r="G173" s="33" t="inlineStr">
        <is>
          <t>Pre-existing (live text)</t>
        </is>
      </c>
      <c r="H173" s="30" t="inlineStr">
        <is>
          <t>Current text: Mentions something not in the recipe: lilies</t>
        </is>
      </c>
      <c r="I173" s="30" t="inlineStr">
        <is>
          <t>Mentions lilies — not in the Classic recipe.</t>
        </is>
      </c>
      <c r="J173" s="30" t="inlineStr">
        <is>
          <t>Current description vs recipe</t>
        </is>
      </c>
      <c r="K173" s="30" t="n"/>
    </row>
    <row r="174" ht="22.35" customHeight="1" s="24">
      <c r="A174" s="28" t="n"/>
      <c r="B174" s="30" t="n"/>
      <c r="C174" s="30" t="inlineStr">
        <is>
          <t>MJ100-10</t>
        </is>
      </c>
      <c r="D174" s="30" t="inlineStr">
        <is>
          <t>Sweet Summer In Mason Jar</t>
        </is>
      </c>
      <c r="E174" s="30" t="inlineStr">
        <is>
          <t>Mason Jar</t>
        </is>
      </c>
      <c r="F174" s="30" t="inlineStr">
        <is>
          <t>Current text vs recipe</t>
        </is>
      </c>
      <c r="G174" s="33" t="inlineStr">
        <is>
          <t>Pre-existing (live text)</t>
        </is>
      </c>
      <c r="H174" s="30" t="inlineStr">
        <is>
          <t>Current text: Mentions something not in the recipe: lilies</t>
        </is>
      </c>
      <c r="I174" s="30" t="inlineStr">
        <is>
          <t>Mentions lilies — not in the Classic recipe.</t>
        </is>
      </c>
      <c r="J174" s="30" t="inlineStr">
        <is>
          <t>Current description vs recipe</t>
        </is>
      </c>
      <c r="K174" s="30" t="n"/>
    </row>
    <row r="175" ht="22.35" customHeight="1" s="24">
      <c r="A175" s="28" t="n"/>
      <c r="B175" s="30" t="n"/>
      <c r="C175" s="30" t="inlineStr">
        <is>
          <t>MJ100-20</t>
        </is>
      </c>
      <c r="D175" s="30" t="inlineStr">
        <is>
          <t>Beautiful in Blue in Mason Jar</t>
        </is>
      </c>
      <c r="E175" s="30" t="inlineStr">
        <is>
          <t>Mason Jar</t>
        </is>
      </c>
      <c r="F175" s="30" t="inlineStr">
        <is>
          <t>Current text vs recipe</t>
        </is>
      </c>
      <c r="G175" s="33" t="inlineStr">
        <is>
          <t>Pre-existing (live text)</t>
        </is>
      </c>
      <c r="H175" s="30" t="inlineStr">
        <is>
          <t>Current text: Mentions something not in the recipe: lilies</t>
        </is>
      </c>
      <c r="I175" s="30" t="inlineStr">
        <is>
          <t>Mentions lilies — not in the Classic recipe.</t>
        </is>
      </c>
      <c r="J175" s="30" t="inlineStr">
        <is>
          <t>Current description vs recipe</t>
        </is>
      </c>
      <c r="K175" s="30" t="n"/>
    </row>
    <row r="176" ht="22.35" customHeight="1" s="24">
      <c r="A176" s="28" t="n"/>
      <c r="B176" s="30" t="n"/>
      <c r="C176" s="30" t="inlineStr">
        <is>
          <t>AUGF16-83</t>
        </is>
      </c>
      <c r="D176" s="30" t="inlineStr">
        <is>
          <t>Simply Sweet</t>
        </is>
      </c>
      <c r="E176" s="30" t="inlineStr">
        <is>
          <t>Bouquets</t>
        </is>
      </c>
      <c r="F176" s="30" t="inlineStr">
        <is>
          <t>Current text vs recipe</t>
        </is>
      </c>
      <c r="G176" s="33" t="inlineStr">
        <is>
          <t>Pre-existing (live text)</t>
        </is>
      </c>
      <c r="H176" s="30" t="inlineStr">
        <is>
          <t>Current text: Mentions something not in the recipe: limonium</t>
        </is>
      </c>
      <c r="I176" s="30" t="inlineStr">
        <is>
          <t>Mentions limonium — not in the Classic recipe.</t>
        </is>
      </c>
      <c r="J176" s="30" t="inlineStr">
        <is>
          <t>Current description vs recipe</t>
        </is>
      </c>
      <c r="K176" s="30" t="n"/>
    </row>
    <row r="177" ht="22.35" customHeight="1" s="24">
      <c r="A177" s="28" t="n"/>
      <c r="B177" s="30" t="n"/>
      <c r="C177" s="30" t="inlineStr">
        <is>
          <t>MJ100-17</t>
        </is>
      </c>
      <c r="D177" s="30" t="inlineStr">
        <is>
          <t>Thirty Blooms of Alstroemeria in Mason Jar</t>
        </is>
      </c>
      <c r="E177" s="30" t="inlineStr">
        <is>
          <t>Mason Jar</t>
        </is>
      </c>
      <c r="F177" s="30" t="inlineStr">
        <is>
          <t>Current text vs recipe</t>
        </is>
      </c>
      <c r="G177" s="33" t="inlineStr">
        <is>
          <t>Pre-existing (live text)</t>
        </is>
      </c>
      <c r="H177" s="30" t="inlineStr">
        <is>
          <t>Current text: Mentions something not in the recipe: mason jar</t>
        </is>
      </c>
      <c r="I177" s="30" t="inlineStr">
        <is>
          <t>Mentions mason jar — not in the Classic recipe.</t>
        </is>
      </c>
      <c r="J177" s="30" t="inlineStr">
        <is>
          <t>Current description vs recipe</t>
        </is>
      </c>
      <c r="K177" s="30" t="n"/>
    </row>
    <row r="178" ht="22.35" customHeight="1" s="24">
      <c r="A178" s="28" t="n"/>
      <c r="B178" s="30" t="n"/>
      <c r="C178" s="30" t="inlineStr">
        <is>
          <t>MJ102-53</t>
        </is>
      </c>
      <c r="D178" s="30" t="inlineStr">
        <is>
          <t>Make a Wish in Mason Jar Birthday Bundle</t>
        </is>
      </c>
      <c r="E178" s="30" t="inlineStr">
        <is>
          <t>Mason Jar</t>
        </is>
      </c>
      <c r="F178" s="30" t="inlineStr">
        <is>
          <t>Current text vs recipe</t>
        </is>
      </c>
      <c r="G178" s="33" t="inlineStr">
        <is>
          <t>Pre-existing (live text)</t>
        </is>
      </c>
      <c r="H178" s="30" t="inlineStr">
        <is>
          <t>Current text: Mentions something not in the recipe: mason jar</t>
        </is>
      </c>
      <c r="I178" s="30" t="inlineStr">
        <is>
          <t>Mentions mason jar — not in the Classic recipe.</t>
        </is>
      </c>
      <c r="J178" s="30" t="inlineStr">
        <is>
          <t>Current description vs recipe</t>
        </is>
      </c>
      <c r="K178" s="30" t="n"/>
    </row>
    <row r="179" ht="22.35" customHeight="1" s="24">
      <c r="A179" s="28" t="n"/>
      <c r="B179" s="30" t="n"/>
      <c r="C179" s="30" t="inlineStr">
        <is>
          <t>MJ11-57</t>
        </is>
      </c>
      <c r="D179" s="30" t="inlineStr">
        <is>
          <t>Half Dozen Assorted Roses in Mason Jar</t>
        </is>
      </c>
      <c r="E179" s="30" t="inlineStr">
        <is>
          <t>Mason Jar</t>
        </is>
      </c>
      <c r="F179" s="30" t="inlineStr">
        <is>
          <t>Current text vs recipe</t>
        </is>
      </c>
      <c r="G179" s="33" t="inlineStr">
        <is>
          <t>Pre-existing (live text)</t>
        </is>
      </c>
      <c r="H179" s="30" t="inlineStr">
        <is>
          <t>Current text: Mentions something not in the recipe: mason jar</t>
        </is>
      </c>
      <c r="I179" s="30" t="inlineStr">
        <is>
          <t>Mentions mason jar — not in the Classic recipe.</t>
        </is>
      </c>
      <c r="J179" s="30" t="inlineStr">
        <is>
          <t>Current description vs recipe</t>
        </is>
      </c>
      <c r="K179" s="30" t="n"/>
    </row>
    <row r="180" ht="22.35" customHeight="1" s="24">
      <c r="A180" s="28" t="n"/>
      <c r="B180" s="30" t="n"/>
      <c r="C180" s="30" t="inlineStr">
        <is>
          <t>AU100-557</t>
        </is>
      </c>
      <c r="D180" s="30" t="inlineStr">
        <is>
          <t>Pink Tribute Spray</t>
        </is>
      </c>
      <c r="E180" s="30" t="inlineStr">
        <is>
          <t>Sympathy</t>
        </is>
      </c>
      <c r="F180" s="30" t="inlineStr">
        <is>
          <t>Current text vs recipe</t>
        </is>
      </c>
      <c r="G180" s="33" t="inlineStr">
        <is>
          <t>Pre-existing (live text)</t>
        </is>
      </c>
      <c r="H180" s="30" t="inlineStr">
        <is>
          <t>Current text: Wrong flower count: alstroemeria</t>
        </is>
      </c>
      <c r="I180" s="30" t="inlineStr">
        <is>
          <t>Says 44 alstroemeria — Classic recipe has 10.</t>
        </is>
      </c>
      <c r="J180" s="30" t="inlineStr">
        <is>
          <t>Current description vs recipe</t>
        </is>
      </c>
      <c r="K180" s="30" t="n"/>
    </row>
    <row r="181" ht="22.35" customHeight="1" s="24">
      <c r="A181" s="28" t="n"/>
      <c r="B181" s="30" t="n"/>
      <c r="C181" s="30" t="inlineStr">
        <is>
          <t>AU111-57</t>
        </is>
      </c>
      <c r="D181" s="30" t="inlineStr">
        <is>
          <t>Fuchsia Bouquet</t>
        </is>
      </c>
      <c r="E181" s="30" t="inlineStr">
        <is>
          <t>Bouquets</t>
        </is>
      </c>
      <c r="F181" s="30" t="inlineStr">
        <is>
          <t>Current text vs recipe</t>
        </is>
      </c>
      <c r="G181" s="33" t="inlineStr">
        <is>
          <t>Pre-existing (live text)</t>
        </is>
      </c>
      <c r="H181" s="30" t="inlineStr">
        <is>
          <t>Current text: Wrong flower count: alstroemeria</t>
        </is>
      </c>
      <c r="I181" s="30" t="inlineStr">
        <is>
          <t>Says 18 alstroemeria — Classic recipe has 3.</t>
        </is>
      </c>
      <c r="J181" s="30" t="inlineStr">
        <is>
          <t>Current description vs recipe</t>
        </is>
      </c>
      <c r="K181" s="30" t="n"/>
    </row>
    <row r="182" ht="22.35" customHeight="1" s="24">
      <c r="A182" s="28" t="n"/>
      <c r="B182" s="30" t="n"/>
      <c r="C182" s="30" t="inlineStr">
        <is>
          <t>AU1111-06</t>
        </is>
      </c>
      <c r="D182" s="30" t="inlineStr">
        <is>
          <t>Gerberomeria</t>
        </is>
      </c>
      <c r="E182" s="30" t="inlineStr">
        <is>
          <t>Bouquets</t>
        </is>
      </c>
      <c r="F182" s="30" t="inlineStr">
        <is>
          <t>Current text vs recipe</t>
        </is>
      </c>
      <c r="G182" s="33" t="inlineStr">
        <is>
          <t>Pre-existing (live text)</t>
        </is>
      </c>
      <c r="H182" s="30" t="inlineStr">
        <is>
          <t>Current text: Wrong flower count: alstroemeria</t>
        </is>
      </c>
      <c r="I182" s="30" t="inlineStr">
        <is>
          <t>Says 32 alstroemeria — Classic recipe has 6.</t>
        </is>
      </c>
      <c r="J182" s="30" t="inlineStr">
        <is>
          <t>Current description vs recipe</t>
        </is>
      </c>
      <c r="K182" s="30" t="n"/>
    </row>
    <row r="183" ht="22.35" customHeight="1" s="24">
      <c r="A183" s="28" t="n"/>
      <c r="B183" s="30" t="n"/>
      <c r="C183" s="30" t="inlineStr">
        <is>
          <t>AU116-10</t>
        </is>
      </c>
      <c r="D183" s="30" t="inlineStr">
        <is>
          <t>Sublime Sentiments</t>
        </is>
      </c>
      <c r="E183" s="30" t="inlineStr">
        <is>
          <t>Sympathy</t>
        </is>
      </c>
      <c r="F183" s="30" t="inlineStr">
        <is>
          <t>Current text vs recipe</t>
        </is>
      </c>
      <c r="G183" s="33" t="inlineStr">
        <is>
          <t>Pre-existing (live text)</t>
        </is>
      </c>
      <c r="H183" s="30" t="inlineStr">
        <is>
          <t>Current text: Wrong flower count: alstroemeria</t>
        </is>
      </c>
      <c r="I183" s="30" t="inlineStr">
        <is>
          <t>Says 24 alstroemeria — Classic recipe has 4.</t>
        </is>
      </c>
      <c r="J183" s="30" t="inlineStr">
        <is>
          <t>Current description vs recipe</t>
        </is>
      </c>
      <c r="K183" s="30" t="n"/>
    </row>
    <row r="184" ht="22.35" customHeight="1" s="24">
      <c r="A184" s="28" t="n"/>
      <c r="B184" s="30" t="n"/>
      <c r="C184" s="30" t="inlineStr">
        <is>
          <t>AU200-20</t>
        </is>
      </c>
      <c r="D184" s="30" t="inlineStr">
        <is>
          <t>Alstroemeria Brights</t>
        </is>
      </c>
      <c r="E184" s="30" t="inlineStr">
        <is>
          <t>Bouquets</t>
        </is>
      </c>
      <c r="F184" s="30" t="inlineStr">
        <is>
          <t>Current text vs recipe</t>
        </is>
      </c>
      <c r="G184" s="33" t="inlineStr">
        <is>
          <t>Pre-existing (live text)</t>
        </is>
      </c>
      <c r="H184" s="30" t="inlineStr">
        <is>
          <t>Current text: Wrong flower count: alstroemeria</t>
        </is>
      </c>
      <c r="I184" s="30" t="inlineStr">
        <is>
          <t>Says 45 alstroemeria — Classic recipe has 9.</t>
        </is>
      </c>
      <c r="J184" s="30" t="inlineStr">
        <is>
          <t>Current description vs recipe</t>
        </is>
      </c>
      <c r="K184" s="30" t="n"/>
    </row>
    <row r="185" ht="22.35" customHeight="1" s="24">
      <c r="A185" s="28" t="n"/>
      <c r="B185" s="30" t="n"/>
      <c r="C185" s="30" t="inlineStr">
        <is>
          <t>AU22-10</t>
        </is>
      </c>
      <c r="D185" s="30" t="inlineStr">
        <is>
          <t>Pink Pleasure</t>
        </is>
      </c>
      <c r="E185" s="30" t="inlineStr">
        <is>
          <t>Bouquets</t>
        </is>
      </c>
      <c r="F185" s="30" t="inlineStr">
        <is>
          <t>Current text vs recipe</t>
        </is>
      </c>
      <c r="G185" s="33" t="inlineStr">
        <is>
          <t>Pre-existing (live text)</t>
        </is>
      </c>
      <c r="H185" s="30" t="inlineStr">
        <is>
          <t>Current text: Wrong flower count: alstroemeria</t>
        </is>
      </c>
      <c r="I185" s="30" t="inlineStr">
        <is>
          <t>Says 22 alstroemeria — Classic recipe has 4.</t>
        </is>
      </c>
      <c r="J185" s="30" t="inlineStr">
        <is>
          <t>Current description vs recipe</t>
        </is>
      </c>
      <c r="K185" s="30" t="n"/>
    </row>
    <row r="186" ht="22.35" customHeight="1" s="24">
      <c r="A186" s="28" t="n"/>
      <c r="B186" s="30" t="n"/>
      <c r="C186" s="30" t="inlineStr">
        <is>
          <t>AU222-09</t>
        </is>
      </c>
      <c r="D186" s="30" t="inlineStr">
        <is>
          <t>Autumn Garden</t>
        </is>
      </c>
      <c r="E186" s="30" t="inlineStr">
        <is>
          <t>Bouquets</t>
        </is>
      </c>
      <c r="F186" s="30" t="inlineStr">
        <is>
          <t>Current text vs recipe</t>
        </is>
      </c>
      <c r="G186" s="33" t="inlineStr">
        <is>
          <t>Pre-existing (live text)</t>
        </is>
      </c>
      <c r="H186" s="30" t="inlineStr">
        <is>
          <t>Current text: Wrong flower count: alstroemeria</t>
        </is>
      </c>
      <c r="I186" s="30" t="inlineStr">
        <is>
          <t>Says 9 alstroemeria — Classic recipe has 2.</t>
        </is>
      </c>
      <c r="J186" s="30" t="inlineStr">
        <is>
          <t>Current description vs recipe</t>
        </is>
      </c>
      <c r="K186" s="30" t="n"/>
    </row>
    <row r="187" ht="22.35" customHeight="1" s="24">
      <c r="A187" s="28" t="n"/>
      <c r="B187" s="30" t="n"/>
      <c r="C187" s="30" t="inlineStr">
        <is>
          <t>AU222-19</t>
        </is>
      </c>
      <c r="D187" s="30" t="inlineStr">
        <is>
          <t>Ravishing Radiance</t>
        </is>
      </c>
      <c r="E187" s="30" t="inlineStr">
        <is>
          <t>Bouquets</t>
        </is>
      </c>
      <c r="F187" s="30" t="inlineStr">
        <is>
          <t>Current text vs recipe</t>
        </is>
      </c>
      <c r="G187" s="33" t="inlineStr">
        <is>
          <t>Pre-existing (live text)</t>
        </is>
      </c>
      <c r="H187" s="30" t="inlineStr">
        <is>
          <t>Current text: Wrong flower count: alstroemeria</t>
        </is>
      </c>
      <c r="I187" s="30" t="inlineStr">
        <is>
          <t>Says 9 alstroemeria — Classic recipe has 2.</t>
        </is>
      </c>
      <c r="J187" s="30" t="inlineStr">
        <is>
          <t>Current description vs recipe</t>
        </is>
      </c>
      <c r="K187" s="30" t="n"/>
    </row>
    <row r="188" ht="22.35" customHeight="1" s="24">
      <c r="A188" s="28" t="n"/>
      <c r="B188" s="30" t="n"/>
      <c r="C188" s="30" t="inlineStr">
        <is>
          <t>AUGF16-60</t>
        </is>
      </c>
      <c r="D188" s="30" t="inlineStr">
        <is>
          <t>Sunshine Bliss</t>
        </is>
      </c>
      <c r="E188" s="30" t="inlineStr">
        <is>
          <t>Bouquets</t>
        </is>
      </c>
      <c r="F188" s="30" t="inlineStr">
        <is>
          <t>Current text vs recipe</t>
        </is>
      </c>
      <c r="G188" s="33" t="inlineStr">
        <is>
          <t>Pre-existing (live text)</t>
        </is>
      </c>
      <c r="H188" s="30" t="inlineStr">
        <is>
          <t>Current text: Wrong flower count: alstroemeria</t>
        </is>
      </c>
      <c r="I188" s="30" t="inlineStr">
        <is>
          <t>Says 17 alstroemeria — Classic recipe has 4.</t>
        </is>
      </c>
      <c r="J188" s="30" t="inlineStr">
        <is>
          <t>Current description vs recipe</t>
        </is>
      </c>
      <c r="K188" s="30" t="n"/>
    </row>
    <row r="189" ht="22.35" customHeight="1" s="24">
      <c r="A189" s="28" t="n"/>
      <c r="B189" s="30" t="n"/>
      <c r="C189" s="30" t="inlineStr">
        <is>
          <t>AUMJ-NW-007</t>
        </is>
      </c>
      <c r="D189" s="30" t="inlineStr">
        <is>
          <t>Pick-Me-Up Bouquet in Mason Jar</t>
        </is>
      </c>
      <c r="E189" s="30" t="inlineStr">
        <is>
          <t>Mason Jar</t>
        </is>
      </c>
      <c r="F189" s="30" t="inlineStr">
        <is>
          <t>Current text vs recipe</t>
        </is>
      </c>
      <c r="G189" s="33" t="inlineStr">
        <is>
          <t>Pre-existing (live text)</t>
        </is>
      </c>
      <c r="H189" s="30" t="inlineStr">
        <is>
          <t>Current text: Wrong flower count: alstroemeria</t>
        </is>
      </c>
      <c r="I189" s="30" t="inlineStr">
        <is>
          <t>Says 9 alstroemeria — Classic recipe has 3.</t>
        </is>
      </c>
      <c r="J189" s="30" t="inlineStr">
        <is>
          <t>Current description vs recipe</t>
        </is>
      </c>
      <c r="K189" s="30" t="n"/>
    </row>
    <row r="190" ht="22.35" customHeight="1" s="24">
      <c r="A190" s="28" t="n"/>
      <c r="B190" s="30" t="n"/>
      <c r="C190" s="30" t="inlineStr">
        <is>
          <t>AUMJ-NW-018</t>
        </is>
      </c>
      <c r="D190" s="30" t="inlineStr">
        <is>
          <t>Summer Lovin’ Bouquet in Mason Jar</t>
        </is>
      </c>
      <c r="E190" s="30" t="inlineStr">
        <is>
          <t>Mason Jar</t>
        </is>
      </c>
      <c r="F190" s="30" t="inlineStr">
        <is>
          <t>Current text vs recipe</t>
        </is>
      </c>
      <c r="G190" s="33" t="inlineStr">
        <is>
          <t>Pre-existing (live text)</t>
        </is>
      </c>
      <c r="H190" s="30" t="inlineStr">
        <is>
          <t>Current text: Wrong flower count: alstroemeria</t>
        </is>
      </c>
      <c r="I190" s="30" t="inlineStr">
        <is>
          <t>Says 9 alstroemeria — Classic recipe has 1.</t>
        </is>
      </c>
      <c r="J190" s="30" t="inlineStr">
        <is>
          <t>Current description vs recipe</t>
        </is>
      </c>
      <c r="K190" s="30" t="n"/>
    </row>
    <row r="191" ht="22.35" customHeight="1" s="24">
      <c r="A191" s="28" t="n"/>
      <c r="B191" s="30" t="n"/>
      <c r="C191" s="30" t="inlineStr">
        <is>
          <t>AUMJ-NW-019</t>
        </is>
      </c>
      <c r="D191" s="30" t="inlineStr">
        <is>
          <t>Garden Party Bouquet in Mason Jar</t>
        </is>
      </c>
      <c r="E191" s="30" t="inlineStr">
        <is>
          <t>Mason Jar</t>
        </is>
      </c>
      <c r="F191" s="30" t="inlineStr">
        <is>
          <t>Current text vs recipe</t>
        </is>
      </c>
      <c r="G191" s="33" t="inlineStr">
        <is>
          <t>Pre-existing (live text)</t>
        </is>
      </c>
      <c r="H191" s="30" t="inlineStr">
        <is>
          <t>Current text: Wrong flower count: alstroemeria</t>
        </is>
      </c>
      <c r="I191" s="30" t="inlineStr">
        <is>
          <t>Says 14 alstroemeria — Classic recipe has 2.</t>
        </is>
      </c>
      <c r="J191" s="30" t="inlineStr">
        <is>
          <t>Current description vs recipe</t>
        </is>
      </c>
      <c r="K191" s="30" t="n"/>
    </row>
    <row r="192" ht="22.35" customHeight="1" s="24">
      <c r="A192" s="28" t="n"/>
      <c r="B192" s="30" t="n"/>
      <c r="C192" s="30" t="inlineStr">
        <is>
          <t>AUMJ-NW-020</t>
        </is>
      </c>
      <c r="D192" s="30" t="inlineStr">
        <is>
          <t>Spring Fling Bouquet in Mason Jar</t>
        </is>
      </c>
      <c r="E192" s="30" t="inlineStr">
        <is>
          <t>Mason Jar</t>
        </is>
      </c>
      <c r="F192" s="30" t="inlineStr">
        <is>
          <t>Current text vs recipe</t>
        </is>
      </c>
      <c r="G192" s="33" t="inlineStr">
        <is>
          <t>Pre-existing (live text)</t>
        </is>
      </c>
      <c r="H192" s="30" t="inlineStr">
        <is>
          <t>Current text: Wrong flower count: alstroemeria</t>
        </is>
      </c>
      <c r="I192" s="30" t="inlineStr">
        <is>
          <t>Says 18 alstroemeria — Classic recipe has 3.</t>
        </is>
      </c>
      <c r="J192" s="30" t="inlineStr">
        <is>
          <t>Current description vs recipe</t>
        </is>
      </c>
      <c r="K192" s="30" t="n"/>
    </row>
    <row r="193" ht="22.35" customHeight="1" s="24">
      <c r="A193" s="28" t="n"/>
      <c r="B193" s="30" t="n"/>
      <c r="C193" s="30" t="inlineStr">
        <is>
          <t>AUMJ-NW-030</t>
        </is>
      </c>
      <c r="D193" s="30" t="inlineStr">
        <is>
          <t>Cloud Nine Bouquet in Mason Jar</t>
        </is>
      </c>
      <c r="E193" s="30" t="inlineStr">
        <is>
          <t>Mason Jar</t>
        </is>
      </c>
      <c r="F193" s="30" t="inlineStr">
        <is>
          <t>Current text vs recipe</t>
        </is>
      </c>
      <c r="G193" s="33" t="inlineStr">
        <is>
          <t>Pre-existing (live text)</t>
        </is>
      </c>
      <c r="H193" s="30" t="inlineStr">
        <is>
          <t>Current text: Wrong flower count: alstroemeria</t>
        </is>
      </c>
      <c r="I193" s="30" t="inlineStr">
        <is>
          <t>Says 16 alstroemeria — Classic recipe has 1.</t>
        </is>
      </c>
      <c r="J193" s="30" t="inlineStr">
        <is>
          <t>Current description vs recipe</t>
        </is>
      </c>
      <c r="K193" s="30" t="n"/>
    </row>
    <row r="194" ht="22.35" customHeight="1" s="24">
      <c r="A194" s="28" t="n"/>
      <c r="B194" s="30" t="n"/>
      <c r="C194" s="30" t="inlineStr">
        <is>
          <t>HF-01</t>
        </is>
      </c>
      <c r="D194" s="30" t="inlineStr">
        <is>
          <t>Hearts Delight</t>
        </is>
      </c>
      <c r="E194" s="30" t="inlineStr">
        <is>
          <t>Bouquets</t>
        </is>
      </c>
      <c r="F194" s="30" t="inlineStr">
        <is>
          <t>Current text vs recipe</t>
        </is>
      </c>
      <c r="G194" s="33" t="inlineStr">
        <is>
          <t>Pre-existing (live text)</t>
        </is>
      </c>
      <c r="H194" s="30" t="inlineStr">
        <is>
          <t>Current text: Wrong flower count: alstroemeria</t>
        </is>
      </c>
      <c r="I194" s="30" t="inlineStr">
        <is>
          <t>Says 16 alstroemeria — Classic recipe has 3.</t>
        </is>
      </c>
      <c r="J194" s="30" t="inlineStr">
        <is>
          <t>Current description vs recipe</t>
        </is>
      </c>
      <c r="K194" s="30" t="n"/>
    </row>
    <row r="195" ht="22.35" customHeight="1" s="24">
      <c r="A195" s="28" t="n"/>
      <c r="B195" s="30" t="n"/>
      <c r="C195" s="30" t="inlineStr">
        <is>
          <t>MDM25-13</t>
        </is>
      </c>
      <c r="D195" s="30" t="inlineStr">
        <is>
          <t>Blushing Muse Bouquet</t>
        </is>
      </c>
      <c r="E195" s="30" t="inlineStr">
        <is>
          <t>Bouquets</t>
        </is>
      </c>
      <c r="F195" s="30" t="inlineStr">
        <is>
          <t>Current text vs recipe</t>
        </is>
      </c>
      <c r="G195" s="33" t="inlineStr">
        <is>
          <t>Pre-existing (live text)</t>
        </is>
      </c>
      <c r="H195" s="30" t="inlineStr">
        <is>
          <t>Current text: Wrong flower count: alstroemeria</t>
        </is>
      </c>
      <c r="I195" s="30" t="inlineStr">
        <is>
          <t>Says 7 alstroemeria — Classic recipe has 1.</t>
        </is>
      </c>
      <c r="J195" s="30" t="inlineStr">
        <is>
          <t>Current description vs recipe</t>
        </is>
      </c>
      <c r="K195" s="30" t="n"/>
    </row>
    <row r="196" ht="22.35" customHeight="1" s="24">
      <c r="A196" s="28" t="n"/>
      <c r="B196" s="30" t="n"/>
      <c r="C196" s="30" t="inlineStr">
        <is>
          <t>MJ100-04</t>
        </is>
      </c>
      <c r="D196" s="30" t="inlineStr">
        <is>
          <t>What a Treat in Mason Jar</t>
        </is>
      </c>
      <c r="E196" s="30" t="inlineStr">
        <is>
          <t>Mason Jar</t>
        </is>
      </c>
      <c r="F196" s="30" t="inlineStr">
        <is>
          <t>Current text vs recipe</t>
        </is>
      </c>
      <c r="G196" s="33" t="inlineStr">
        <is>
          <t>Pre-existing (live text)</t>
        </is>
      </c>
      <c r="H196" s="30" t="inlineStr">
        <is>
          <t>Current text: Wrong flower count: alstroemeria</t>
        </is>
      </c>
      <c r="I196" s="30" t="inlineStr">
        <is>
          <t>Says 5 alstroemeria — Classic recipe has 2.</t>
        </is>
      </c>
      <c r="J196" s="30" t="inlineStr">
        <is>
          <t>Current description vs recipe</t>
        </is>
      </c>
      <c r="K196" s="30" t="n"/>
    </row>
    <row r="197" ht="22.35" customHeight="1" s="24">
      <c r="A197" s="28" t="n"/>
      <c r="B197" s="30" t="n"/>
      <c r="C197" s="30" t="inlineStr">
        <is>
          <t>MJ22-10</t>
        </is>
      </c>
      <c r="D197" s="30" t="inlineStr">
        <is>
          <t>Shades of Pink in Mason Jar</t>
        </is>
      </c>
      <c r="E197" s="30" t="inlineStr">
        <is>
          <t>Mason Jar</t>
        </is>
      </c>
      <c r="F197" s="30" t="inlineStr">
        <is>
          <t>Current text vs recipe</t>
        </is>
      </c>
      <c r="G197" s="33" t="inlineStr">
        <is>
          <t>Pre-existing (live text)</t>
        </is>
      </c>
      <c r="H197" s="30" t="inlineStr">
        <is>
          <t>Current text: Wrong flower count: alstroemeria</t>
        </is>
      </c>
      <c r="I197" s="30" t="inlineStr">
        <is>
          <t>Says 10 alstroemeria — Classic recipe has 3.</t>
        </is>
      </c>
      <c r="J197" s="30" t="inlineStr">
        <is>
          <t>Current description vs recipe</t>
        </is>
      </c>
      <c r="K197" s="30" t="n"/>
    </row>
    <row r="198" ht="15" customHeight="1" s="24">
      <c r="A198" s="28" t="n"/>
      <c r="B198" s="30" t="n"/>
      <c r="C198" s="30" t="inlineStr">
        <is>
          <t>AU100-557</t>
        </is>
      </c>
      <c r="D198" s="30" t="inlineStr">
        <is>
          <t>Pink Tribute Spray</t>
        </is>
      </c>
      <c r="E198" s="30" t="inlineStr">
        <is>
          <t>Sympathy</t>
        </is>
      </c>
      <c r="F198" s="30" t="inlineStr">
        <is>
          <t>Current text vs recipe</t>
        </is>
      </c>
      <c r="G198" s="33" t="inlineStr">
        <is>
          <t>Pre-existing (live text)</t>
        </is>
      </c>
      <c r="H198" s="30" t="inlineStr">
        <is>
          <t>Current text: Wrong flower count: carnations</t>
        </is>
      </c>
      <c r="I198" s="30" t="inlineStr">
        <is>
          <t>Says 78 carnations — Classic recipe has 24.</t>
        </is>
      </c>
      <c r="J198" s="30" t="inlineStr">
        <is>
          <t>Current description vs recipe</t>
        </is>
      </c>
      <c r="K198" s="30" t="n"/>
    </row>
    <row r="199" ht="15" customHeight="1" s="24">
      <c r="A199" s="28" t="n"/>
      <c r="B199" s="30" t="n"/>
      <c r="C199" s="30" t="inlineStr">
        <is>
          <t>AU100-571</t>
        </is>
      </c>
      <c r="D199" s="30" t="inlineStr">
        <is>
          <t>Hope &amp; Honour Cross</t>
        </is>
      </c>
      <c r="E199" s="30" t="inlineStr">
        <is>
          <t>Sympathy</t>
        </is>
      </c>
      <c r="F199" s="30" t="inlineStr">
        <is>
          <t>Current text vs recipe</t>
        </is>
      </c>
      <c r="G199" s="33" t="inlineStr">
        <is>
          <t>Pre-existing (live text)</t>
        </is>
      </c>
      <c r="H199" s="30" t="inlineStr">
        <is>
          <t>Current text: Wrong flower count: carnations</t>
        </is>
      </c>
      <c r="I199" s="30" t="inlineStr">
        <is>
          <t>Says 26 carnations — Classic recipe has 6.</t>
        </is>
      </c>
      <c r="J199" s="30" t="inlineStr">
        <is>
          <t>Current description vs recipe</t>
        </is>
      </c>
      <c r="K199" s="30" t="n"/>
    </row>
    <row r="200" ht="15" customHeight="1" s="24">
      <c r="A200" s="28" t="n"/>
      <c r="B200" s="30" t="n"/>
      <c r="C200" s="30" t="inlineStr">
        <is>
          <t>AU100-582</t>
        </is>
      </c>
      <c r="D200" s="30" t="inlineStr">
        <is>
          <t>Rose Garden Heart</t>
        </is>
      </c>
      <c r="E200" s="30" t="inlineStr">
        <is>
          <t>Sympathy</t>
        </is>
      </c>
      <c r="F200" s="30" t="inlineStr">
        <is>
          <t>Current text vs recipe</t>
        </is>
      </c>
      <c r="G200" s="33" t="inlineStr">
        <is>
          <t>Pre-existing (live text)</t>
        </is>
      </c>
      <c r="H200" s="30" t="inlineStr">
        <is>
          <t>Current text: Wrong flower count: carnations</t>
        </is>
      </c>
      <c r="I200" s="30" t="inlineStr">
        <is>
          <t>Says 63 carnations — Classic recipe has 14.</t>
        </is>
      </c>
      <c r="J200" s="30" t="inlineStr">
        <is>
          <t>Current description vs recipe</t>
        </is>
      </c>
      <c r="K200" s="30" t="n"/>
    </row>
    <row r="201" ht="15" customHeight="1" s="24">
      <c r="A201" s="28" t="n"/>
      <c r="B201" s="30" t="n"/>
      <c r="C201" s="30" t="inlineStr">
        <is>
          <t>AU111-57</t>
        </is>
      </c>
      <c r="D201" s="30" t="inlineStr">
        <is>
          <t>Fuchsia Bouquet</t>
        </is>
      </c>
      <c r="E201" s="30" t="inlineStr">
        <is>
          <t>Bouquets</t>
        </is>
      </c>
      <c r="F201" s="30" t="inlineStr">
        <is>
          <t>Current text vs recipe</t>
        </is>
      </c>
      <c r="G201" s="33" t="inlineStr">
        <is>
          <t>Pre-existing (live text)</t>
        </is>
      </c>
      <c r="H201" s="30" t="inlineStr">
        <is>
          <t>Current text: Wrong flower count: carnations</t>
        </is>
      </c>
      <c r="I201" s="30" t="inlineStr">
        <is>
          <t>Says 14 carnations — Classic recipe has 2.</t>
        </is>
      </c>
      <c r="J201" s="30" t="inlineStr">
        <is>
          <t>Current description vs recipe</t>
        </is>
      </c>
      <c r="K201" s="30" t="n"/>
    </row>
    <row r="202" ht="15" customHeight="1" s="24">
      <c r="A202" s="28" t="n"/>
      <c r="B202" s="30" t="n"/>
      <c r="C202" s="30" t="inlineStr">
        <is>
          <t>AU112-22</t>
        </is>
      </c>
      <c r="D202" s="30" t="inlineStr">
        <is>
          <t>Romantic Getaway</t>
        </is>
      </c>
      <c r="E202" s="30" t="inlineStr">
        <is>
          <t>Bouquets</t>
        </is>
      </c>
      <c r="F202" s="30" t="inlineStr">
        <is>
          <t>Current text vs recipe</t>
        </is>
      </c>
      <c r="G202" s="33" t="inlineStr">
        <is>
          <t>Pre-existing (live text)</t>
        </is>
      </c>
      <c r="H202" s="30" t="inlineStr">
        <is>
          <t>Current text: Wrong flower count: carnations</t>
        </is>
      </c>
      <c r="I202" s="30" t="inlineStr">
        <is>
          <t>Says 18 carnations — Classic recipe has 4.</t>
        </is>
      </c>
      <c r="J202" s="30" t="inlineStr">
        <is>
          <t>Current description vs recipe</t>
        </is>
      </c>
      <c r="K202" s="30" t="n"/>
    </row>
    <row r="203" ht="15" customHeight="1" s="24">
      <c r="A203" s="28" t="n"/>
      <c r="B203" s="30" t="n"/>
      <c r="C203" s="30" t="inlineStr">
        <is>
          <t>AU189-07</t>
        </is>
      </c>
      <c r="D203" s="30" t="inlineStr">
        <is>
          <t>Red &amp; White Wreath</t>
        </is>
      </c>
      <c r="E203" s="30" t="inlineStr">
        <is>
          <t>Sympathy</t>
        </is>
      </c>
      <c r="F203" s="30" t="inlineStr">
        <is>
          <t>Current text vs recipe</t>
        </is>
      </c>
      <c r="G203" s="33" t="inlineStr">
        <is>
          <t>Pre-existing (live text)</t>
        </is>
      </c>
      <c r="H203" s="30" t="inlineStr">
        <is>
          <t>Current text: Wrong flower count: carnations</t>
        </is>
      </c>
      <c r="I203" s="30" t="inlineStr">
        <is>
          <t>Says 132 carnations — Classic recipe has 30.</t>
        </is>
      </c>
      <c r="J203" s="30" t="inlineStr">
        <is>
          <t>Current description vs recipe</t>
        </is>
      </c>
      <c r="K203" s="30" t="n"/>
    </row>
    <row r="204" ht="15" customHeight="1" s="24">
      <c r="A204" s="28" t="n"/>
      <c r="B204" s="30" t="n"/>
      <c r="C204" s="30" t="inlineStr">
        <is>
          <t>AU216-63</t>
        </is>
      </c>
      <c r="D204" s="30" t="inlineStr">
        <is>
          <t>Colourful Inspiration</t>
        </is>
      </c>
      <c r="E204" s="30" t="inlineStr">
        <is>
          <t>Bouquets</t>
        </is>
      </c>
      <c r="F204" s="30" t="inlineStr">
        <is>
          <t>Current text vs recipe</t>
        </is>
      </c>
      <c r="G204" s="33" t="inlineStr">
        <is>
          <t>Pre-existing (live text)</t>
        </is>
      </c>
      <c r="H204" s="30" t="inlineStr">
        <is>
          <t>Current text: Wrong flower count: carnations</t>
        </is>
      </c>
      <c r="I204" s="30" t="inlineStr">
        <is>
          <t>Says 38 carnations — Classic recipe has 8.</t>
        </is>
      </c>
      <c r="J204" s="30" t="inlineStr">
        <is>
          <t>Current description vs recipe</t>
        </is>
      </c>
      <c r="K204" s="30" t="n"/>
    </row>
    <row r="205" ht="15" customHeight="1" s="24">
      <c r="A205" s="28" t="n"/>
      <c r="B205" s="30" t="n"/>
      <c r="C205" s="30" t="inlineStr">
        <is>
          <t>AU222-19</t>
        </is>
      </c>
      <c r="D205" s="30" t="inlineStr">
        <is>
          <t>Ravishing Radiance</t>
        </is>
      </c>
      <c r="E205" s="30" t="inlineStr">
        <is>
          <t>Bouquets</t>
        </is>
      </c>
      <c r="F205" s="30" t="inlineStr">
        <is>
          <t>Current text vs recipe</t>
        </is>
      </c>
      <c r="G205" s="33" t="inlineStr">
        <is>
          <t>Pre-existing (live text)</t>
        </is>
      </c>
      <c r="H205" s="30" t="inlineStr">
        <is>
          <t>Current text: Wrong flower count: carnations</t>
        </is>
      </c>
      <c r="I205" s="30" t="inlineStr">
        <is>
          <t>Says 18 carnations — Classic recipe has 4.</t>
        </is>
      </c>
      <c r="J205" s="30" t="inlineStr">
        <is>
          <t>Current description vs recipe</t>
        </is>
      </c>
      <c r="K205" s="30" t="n"/>
    </row>
    <row r="206" ht="15" customHeight="1" s="24">
      <c r="A206" s="28" t="n"/>
      <c r="B206" s="30" t="n"/>
      <c r="C206" s="30" t="inlineStr">
        <is>
          <t>AU81-81</t>
        </is>
      </c>
      <c r="D206" s="30" t="inlineStr">
        <is>
          <t>Always and Forever</t>
        </is>
      </c>
      <c r="E206" s="30" t="inlineStr">
        <is>
          <t>Bouquets</t>
        </is>
      </c>
      <c r="F206" s="30" t="inlineStr">
        <is>
          <t>Current text vs recipe</t>
        </is>
      </c>
      <c r="G206" s="33" t="inlineStr">
        <is>
          <t>Pre-existing (live text)</t>
        </is>
      </c>
      <c r="H206" s="30" t="inlineStr">
        <is>
          <t>Current text: Wrong flower count: carnations</t>
        </is>
      </c>
      <c r="I206" s="30" t="inlineStr">
        <is>
          <t>Says 29 carnations — Classic recipe has 6.</t>
        </is>
      </c>
      <c r="J206" s="30" t="inlineStr">
        <is>
          <t>Current description vs recipe</t>
        </is>
      </c>
      <c r="K206" s="30" t="n"/>
    </row>
    <row r="207" ht="15" customHeight="1" s="24">
      <c r="A207" s="28" t="n"/>
      <c r="B207" s="30" t="n"/>
      <c r="C207" s="30" t="inlineStr">
        <is>
          <t>AUMJ-NW-001</t>
        </is>
      </c>
      <c r="D207" s="30" t="inlineStr">
        <is>
          <t>Purple Rain Bouquet in Mason Jar</t>
        </is>
      </c>
      <c r="E207" s="30" t="inlineStr">
        <is>
          <t>Mason Jar</t>
        </is>
      </c>
      <c r="F207" s="30" t="inlineStr">
        <is>
          <t>Current text vs recipe</t>
        </is>
      </c>
      <c r="G207" s="33" t="inlineStr">
        <is>
          <t>Pre-existing (live text)</t>
        </is>
      </c>
      <c r="H207" s="30" t="inlineStr">
        <is>
          <t>Current text: Wrong flower count: carnations</t>
        </is>
      </c>
      <c r="I207" s="30" t="inlineStr">
        <is>
          <t>Says 23 carnations — Classic recipe has 3.</t>
        </is>
      </c>
      <c r="J207" s="30" t="inlineStr">
        <is>
          <t>Current description vs recipe</t>
        </is>
      </c>
      <c r="K207" s="30" t="n"/>
    </row>
    <row r="208" ht="22.35" customHeight="1" s="24">
      <c r="A208" s="28" t="n"/>
      <c r="B208" s="30" t="n"/>
      <c r="C208" s="30" t="inlineStr">
        <is>
          <t>AUMJ-NW-004</t>
        </is>
      </c>
      <c r="D208" s="30" t="inlineStr">
        <is>
          <t>Sending Solace Bouquet in Mason Jar</t>
        </is>
      </c>
      <c r="E208" s="30" t="inlineStr">
        <is>
          <t>Mason Jar</t>
        </is>
      </c>
      <c r="F208" s="30" t="inlineStr">
        <is>
          <t>Current text vs recipe</t>
        </is>
      </c>
      <c r="G208" s="33" t="inlineStr">
        <is>
          <t>Pre-existing (live text)</t>
        </is>
      </c>
      <c r="H208" s="30" t="inlineStr">
        <is>
          <t>Current text: Wrong flower count: carnations</t>
        </is>
      </c>
      <c r="I208" s="30" t="inlineStr">
        <is>
          <t>Says 9 carnations — Classic recipe has 2.</t>
        </is>
      </c>
      <c r="J208" s="30" t="inlineStr">
        <is>
          <t>Current description vs recipe</t>
        </is>
      </c>
      <c r="K208" s="30" t="n"/>
    </row>
    <row r="209" ht="15" customHeight="1" s="24">
      <c r="A209" s="28" t="n"/>
      <c r="B209" s="30" t="n"/>
      <c r="C209" s="30" t="inlineStr">
        <is>
          <t>AUMJ-NW-007</t>
        </is>
      </c>
      <c r="D209" s="30" t="inlineStr">
        <is>
          <t>Pick-Me-Up Bouquet in Mason Jar</t>
        </is>
      </c>
      <c r="E209" s="30" t="inlineStr">
        <is>
          <t>Mason Jar</t>
        </is>
      </c>
      <c r="F209" s="30" t="inlineStr">
        <is>
          <t>Current text vs recipe</t>
        </is>
      </c>
      <c r="G209" s="33" t="inlineStr">
        <is>
          <t>Pre-existing (live text)</t>
        </is>
      </c>
      <c r="H209" s="30" t="inlineStr">
        <is>
          <t>Current text: Wrong flower count: carnations</t>
        </is>
      </c>
      <c r="I209" s="30" t="inlineStr">
        <is>
          <t>Says 9 carnations — Classic recipe has 3.</t>
        </is>
      </c>
      <c r="J209" s="30" t="inlineStr">
        <is>
          <t>Current description vs recipe</t>
        </is>
      </c>
      <c r="K209" s="30" t="n"/>
    </row>
    <row r="210" ht="22.35" customHeight="1" s="24">
      <c r="A210" s="28" t="n"/>
      <c r="B210" s="30" t="n"/>
      <c r="C210" s="30" t="inlineStr">
        <is>
          <t>AUMJ-NW-011</t>
        </is>
      </c>
      <c r="D210" s="30" t="inlineStr">
        <is>
          <t>Best Birthday Ever Bouquet in Mason Jar</t>
        </is>
      </c>
      <c r="E210" s="30" t="inlineStr">
        <is>
          <t>Mason Jar</t>
        </is>
      </c>
      <c r="F210" s="30" t="inlineStr">
        <is>
          <t>Current text vs recipe</t>
        </is>
      </c>
      <c r="G210" s="33" t="inlineStr">
        <is>
          <t>Pre-existing (live text)</t>
        </is>
      </c>
      <c r="H210" s="30" t="inlineStr">
        <is>
          <t>Current text: Wrong flower count: carnations</t>
        </is>
      </c>
      <c r="I210" s="30" t="inlineStr">
        <is>
          <t>Says 9 carnations — Classic recipe has 2.</t>
        </is>
      </c>
      <c r="J210" s="30" t="inlineStr">
        <is>
          <t>Current description vs recipe</t>
        </is>
      </c>
      <c r="K210" s="30" t="n"/>
    </row>
    <row r="211" ht="22.35" customHeight="1" s="24">
      <c r="A211" s="28" t="n"/>
      <c r="B211" s="30" t="n"/>
      <c r="C211" s="30" t="inlineStr">
        <is>
          <t>AUMJ-NW-018</t>
        </is>
      </c>
      <c r="D211" s="30" t="inlineStr">
        <is>
          <t>Summer Lovin’ Bouquet in Mason Jar</t>
        </is>
      </c>
      <c r="E211" s="30" t="inlineStr">
        <is>
          <t>Mason Jar</t>
        </is>
      </c>
      <c r="F211" s="30" t="inlineStr">
        <is>
          <t>Current text vs recipe</t>
        </is>
      </c>
      <c r="G211" s="33" t="inlineStr">
        <is>
          <t>Pre-existing (live text)</t>
        </is>
      </c>
      <c r="H211" s="30" t="inlineStr">
        <is>
          <t>Current text: Wrong flower count: carnations</t>
        </is>
      </c>
      <c r="I211" s="30" t="inlineStr">
        <is>
          <t>Says 9 carnations — Classic recipe has 1.</t>
        </is>
      </c>
      <c r="J211" s="30" t="inlineStr">
        <is>
          <t>Current description vs recipe</t>
        </is>
      </c>
      <c r="K211" s="30" t="n"/>
    </row>
    <row r="212" ht="15" customHeight="1" s="24">
      <c r="A212" s="28" t="n"/>
      <c r="B212" s="30" t="n"/>
      <c r="C212" s="30" t="inlineStr">
        <is>
          <t>AUMJ-NW-019</t>
        </is>
      </c>
      <c r="D212" s="30" t="inlineStr">
        <is>
          <t>Garden Party Bouquet in Mason Jar</t>
        </is>
      </c>
      <c r="E212" s="30" t="inlineStr">
        <is>
          <t>Mason Jar</t>
        </is>
      </c>
      <c r="F212" s="30" t="inlineStr">
        <is>
          <t>Current text vs recipe</t>
        </is>
      </c>
      <c r="G212" s="33" t="inlineStr">
        <is>
          <t>Pre-existing (live text)</t>
        </is>
      </c>
      <c r="H212" s="30" t="inlineStr">
        <is>
          <t>Current text: Wrong flower count: carnations</t>
        </is>
      </c>
      <c r="I212" s="30" t="inlineStr">
        <is>
          <t>Says 19 carnations — Classic recipe has 3.</t>
        </is>
      </c>
      <c r="J212" s="30" t="inlineStr">
        <is>
          <t>Current description vs recipe</t>
        </is>
      </c>
      <c r="K212" s="30" t="n"/>
    </row>
    <row r="213" ht="22.35" customHeight="1" s="24">
      <c r="A213" s="28" t="n"/>
      <c r="B213" s="30" t="n"/>
      <c r="C213" s="30" t="inlineStr">
        <is>
          <t>AUMJ-NW-023</t>
        </is>
      </c>
      <c r="D213" s="30" t="inlineStr">
        <is>
          <t>Cure the Blues Bouquet in Mason Jar</t>
        </is>
      </c>
      <c r="E213" s="30" t="inlineStr">
        <is>
          <t>Mason Jar</t>
        </is>
      </c>
      <c r="F213" s="30" t="inlineStr">
        <is>
          <t>Current text vs recipe</t>
        </is>
      </c>
      <c r="G213" s="33" t="inlineStr">
        <is>
          <t>Pre-existing (live text)</t>
        </is>
      </c>
      <c r="H213" s="30" t="inlineStr">
        <is>
          <t>Current text: Wrong flower count: carnations</t>
        </is>
      </c>
      <c r="I213" s="30" t="inlineStr">
        <is>
          <t>Says 62 carnations — Classic recipe has 8.</t>
        </is>
      </c>
      <c r="J213" s="30" t="inlineStr">
        <is>
          <t>Current description vs recipe</t>
        </is>
      </c>
      <c r="K213" s="30" t="n"/>
    </row>
    <row r="214" ht="22.35" customHeight="1" s="24">
      <c r="A214" s="28" t="n"/>
      <c r="B214" s="30" t="n"/>
      <c r="C214" s="30" t="inlineStr">
        <is>
          <t>AUMJ-NW-027</t>
        </is>
      </c>
      <c r="D214" s="30" t="inlineStr">
        <is>
          <t>Beach Day Blooms Bouquet in Mason Jar</t>
        </is>
      </c>
      <c r="E214" s="30" t="inlineStr">
        <is>
          <t>Mason Jar</t>
        </is>
      </c>
      <c r="F214" s="30" t="inlineStr">
        <is>
          <t>Current text vs recipe</t>
        </is>
      </c>
      <c r="G214" s="33" t="inlineStr">
        <is>
          <t>Pre-existing (live text)</t>
        </is>
      </c>
      <c r="H214" s="30" t="inlineStr">
        <is>
          <t>Current text: Wrong flower count: carnations</t>
        </is>
      </c>
      <c r="I214" s="30" t="inlineStr">
        <is>
          <t>Says 22 carnations — Classic recipe has 3.</t>
        </is>
      </c>
      <c r="J214" s="30" t="inlineStr">
        <is>
          <t>Current description vs recipe</t>
        </is>
      </c>
      <c r="K214" s="30" t="n"/>
    </row>
    <row r="215" ht="22.35" customHeight="1" s="24">
      <c r="A215" s="28" t="n"/>
      <c r="B215" s="30" t="n"/>
      <c r="C215" s="30" t="inlineStr">
        <is>
          <t>AUMJ-NW-029</t>
        </is>
      </c>
      <c r="D215" s="30" t="inlineStr">
        <is>
          <t>The Sunday Market Bouquet in Mason Jar</t>
        </is>
      </c>
      <c r="E215" s="30" t="inlineStr">
        <is>
          <t>Mason Jar</t>
        </is>
      </c>
      <c r="F215" s="30" t="inlineStr">
        <is>
          <t>Current text vs recipe</t>
        </is>
      </c>
      <c r="G215" s="33" t="inlineStr">
        <is>
          <t>Pre-existing (live text)</t>
        </is>
      </c>
      <c r="H215" s="30" t="inlineStr">
        <is>
          <t>Current text: Wrong flower count: carnations</t>
        </is>
      </c>
      <c r="I215" s="30" t="inlineStr">
        <is>
          <t>Says 12 carnations — Classic recipe has 2.</t>
        </is>
      </c>
      <c r="J215" s="30" t="inlineStr">
        <is>
          <t>Current description vs recipe</t>
        </is>
      </c>
      <c r="K215" s="30" t="n"/>
    </row>
    <row r="216" ht="15" customHeight="1" s="24">
      <c r="A216" s="28" t="n"/>
      <c r="B216" s="30" t="n"/>
      <c r="C216" s="30" t="inlineStr">
        <is>
          <t>AUMJ-NW-030</t>
        </is>
      </c>
      <c r="D216" s="30" t="inlineStr">
        <is>
          <t>Cloud Nine Bouquet in Mason Jar</t>
        </is>
      </c>
      <c r="E216" s="30" t="inlineStr">
        <is>
          <t>Mason Jar</t>
        </is>
      </c>
      <c r="F216" s="30" t="inlineStr">
        <is>
          <t>Current text vs recipe</t>
        </is>
      </c>
      <c r="G216" s="33" t="inlineStr">
        <is>
          <t>Pre-existing (live text)</t>
        </is>
      </c>
      <c r="H216" s="30" t="inlineStr">
        <is>
          <t>Current text: Wrong flower count: carnations</t>
        </is>
      </c>
      <c r="I216" s="30" t="inlineStr">
        <is>
          <t>Says 10 carnations — Classic recipe has 1.</t>
        </is>
      </c>
      <c r="J216" s="30" t="inlineStr">
        <is>
          <t>Current description vs recipe</t>
        </is>
      </c>
      <c r="K216" s="30" t="n"/>
    </row>
    <row r="217" ht="15" customHeight="1" s="24">
      <c r="A217" s="28" t="n"/>
      <c r="B217" s="30" t="n"/>
      <c r="C217" s="30" t="inlineStr">
        <is>
          <t>HF-01</t>
        </is>
      </c>
      <c r="D217" s="30" t="inlineStr">
        <is>
          <t>Hearts Delight</t>
        </is>
      </c>
      <c r="E217" s="30" t="inlineStr">
        <is>
          <t>Bouquets</t>
        </is>
      </c>
      <c r="F217" s="30" t="inlineStr">
        <is>
          <t>Current text vs recipe</t>
        </is>
      </c>
      <c r="G217" s="33" t="inlineStr">
        <is>
          <t>Pre-existing (live text)</t>
        </is>
      </c>
      <c r="H217" s="30" t="inlineStr">
        <is>
          <t>Current text: Wrong flower count: carnations</t>
        </is>
      </c>
      <c r="I217" s="30" t="inlineStr">
        <is>
          <t>Says 11 carnations — Classic recipe has 2.</t>
        </is>
      </c>
      <c r="J217" s="30" t="inlineStr">
        <is>
          <t>Current description vs recipe</t>
        </is>
      </c>
      <c r="K217" s="30" t="n"/>
    </row>
    <row r="218" ht="22.35" customHeight="1" s="24">
      <c r="A218" s="28" t="n"/>
      <c r="B218" s="30" t="n"/>
      <c r="C218" s="30" t="inlineStr">
        <is>
          <t>LF100-395</t>
        </is>
      </c>
      <c r="D218" s="30" t="inlineStr">
        <is>
          <t>Pure Devotion Funeral Flower Package</t>
        </is>
      </c>
      <c r="E218" s="30" t="inlineStr">
        <is>
          <t>Sympathy</t>
        </is>
      </c>
      <c r="F218" s="30" t="inlineStr">
        <is>
          <t>Current text vs recipe</t>
        </is>
      </c>
      <c r="G218" s="33" t="inlineStr">
        <is>
          <t>Pre-existing (live text)</t>
        </is>
      </c>
      <c r="H218" s="30" t="inlineStr">
        <is>
          <t>Current text: Wrong flower count: carnations</t>
        </is>
      </c>
      <c r="I218" s="30" t="inlineStr">
        <is>
          <t>Says 245 carnations — Classic recipe has 54.</t>
        </is>
      </c>
      <c r="J218" s="30" t="inlineStr">
        <is>
          <t>Current description vs recipe</t>
        </is>
      </c>
      <c r="K218" s="30" t="n"/>
    </row>
    <row r="219" ht="22.35" customHeight="1" s="24">
      <c r="A219" s="28" t="n"/>
      <c r="B219" s="30" t="n"/>
      <c r="C219" s="30" t="inlineStr">
        <is>
          <t>LF100-595</t>
        </is>
      </c>
      <c r="D219" s="30" t="inlineStr">
        <is>
          <t>Warm Regards Funeral Flower Package</t>
        </is>
      </c>
      <c r="E219" s="30" t="inlineStr">
        <is>
          <t>Sympathy</t>
        </is>
      </c>
      <c r="F219" s="30" t="inlineStr">
        <is>
          <t>Current text vs recipe</t>
        </is>
      </c>
      <c r="G219" s="33" t="inlineStr">
        <is>
          <t>Pre-existing (live text)</t>
        </is>
      </c>
      <c r="H219" s="30" t="inlineStr">
        <is>
          <t>Current text: Wrong flower count: carnations</t>
        </is>
      </c>
      <c r="I219" s="30" t="inlineStr">
        <is>
          <t>Says 422 carnations — Classic recipe has 54.</t>
        </is>
      </c>
      <c r="J219" s="30" t="inlineStr">
        <is>
          <t>Current description vs recipe</t>
        </is>
      </c>
      <c r="K219" s="30" t="n"/>
    </row>
    <row r="220" ht="15" customHeight="1" s="24">
      <c r="A220" s="28" t="n"/>
      <c r="B220" s="30" t="n"/>
      <c r="C220" s="30" t="inlineStr">
        <is>
          <t>LF15-10A</t>
        </is>
      </c>
      <c r="D220" s="30" t="inlineStr">
        <is>
          <t>Hugs and Kisses I</t>
        </is>
      </c>
      <c r="E220" s="30" t="inlineStr">
        <is>
          <t>Bouquets</t>
        </is>
      </c>
      <c r="F220" s="30" t="inlineStr">
        <is>
          <t>Current text vs recipe</t>
        </is>
      </c>
      <c r="G220" s="33" t="inlineStr">
        <is>
          <t>Pre-existing (live text)</t>
        </is>
      </c>
      <c r="H220" s="30" t="inlineStr">
        <is>
          <t>Current text: Wrong flower count: carnations</t>
        </is>
      </c>
      <c r="I220" s="30" t="inlineStr">
        <is>
          <t>Says 18 carnations — Classic recipe has 4.</t>
        </is>
      </c>
      <c r="J220" s="30" t="inlineStr">
        <is>
          <t>Current description vs recipe</t>
        </is>
      </c>
      <c r="K220" s="30" t="n"/>
    </row>
    <row r="221" ht="15" customHeight="1" s="24">
      <c r="A221" s="28" t="n"/>
      <c r="B221" s="30" t="n"/>
      <c r="C221" s="30" t="inlineStr">
        <is>
          <t>LF15-10B</t>
        </is>
      </c>
      <c r="D221" s="30" t="inlineStr">
        <is>
          <t>Hugs and Kisses II</t>
        </is>
      </c>
      <c r="E221" s="30" t="inlineStr">
        <is>
          <t>Bouquets</t>
        </is>
      </c>
      <c r="F221" s="30" t="inlineStr">
        <is>
          <t>Current text vs recipe</t>
        </is>
      </c>
      <c r="G221" s="33" t="inlineStr">
        <is>
          <t>Pre-existing (live text)</t>
        </is>
      </c>
      <c r="H221" s="30" t="inlineStr">
        <is>
          <t>Current text: Wrong flower count: carnations</t>
        </is>
      </c>
      <c r="I221" s="30" t="inlineStr">
        <is>
          <t>Says 24 carnations — Classic recipe has 4.</t>
        </is>
      </c>
      <c r="J221" s="30" t="inlineStr">
        <is>
          <t>Current description vs recipe</t>
        </is>
      </c>
      <c r="K221" s="30" t="n"/>
    </row>
    <row r="222" ht="15" customHeight="1" s="24">
      <c r="A222" s="28" t="n"/>
      <c r="B222" s="30" t="n"/>
      <c r="C222" s="30" t="inlineStr">
        <is>
          <t>LF15-10C</t>
        </is>
      </c>
      <c r="D222" s="30" t="inlineStr">
        <is>
          <t>Hugs and Kisses III</t>
        </is>
      </c>
      <c r="E222" s="30" t="inlineStr">
        <is>
          <t>Bouquets</t>
        </is>
      </c>
      <c r="F222" s="30" t="inlineStr">
        <is>
          <t>Current text vs recipe</t>
        </is>
      </c>
      <c r="G222" s="33" t="inlineStr">
        <is>
          <t>Pre-existing (live text)</t>
        </is>
      </c>
      <c r="H222" s="30" t="inlineStr">
        <is>
          <t>Current text: Wrong flower count: carnations</t>
        </is>
      </c>
      <c r="I222" s="30" t="inlineStr">
        <is>
          <t>Says 24 carnations — Classic recipe has 5.</t>
        </is>
      </c>
      <c r="J222" s="30" t="inlineStr">
        <is>
          <t>Current description vs recipe</t>
        </is>
      </c>
      <c r="K222" s="30" t="n"/>
    </row>
    <row r="223" ht="15" customHeight="1" s="24">
      <c r="A223" s="28" t="n"/>
      <c r="B223" s="30" t="n"/>
      <c r="C223" s="30" t="inlineStr">
        <is>
          <t>LF15-10D</t>
        </is>
      </c>
      <c r="D223" s="30" t="inlineStr">
        <is>
          <t>Hugs and Kisses IV</t>
        </is>
      </c>
      <c r="E223" s="30" t="inlineStr">
        <is>
          <t>Bouquets</t>
        </is>
      </c>
      <c r="F223" s="30" t="inlineStr">
        <is>
          <t>Current text vs recipe</t>
        </is>
      </c>
      <c r="G223" s="33" t="inlineStr">
        <is>
          <t>Pre-existing (live text)</t>
        </is>
      </c>
      <c r="H223" s="30" t="inlineStr">
        <is>
          <t>Current text: Wrong flower count: carnations</t>
        </is>
      </c>
      <c r="I223" s="30" t="inlineStr">
        <is>
          <t>Says 19 carnations — Classic recipe has 5.</t>
        </is>
      </c>
      <c r="J223" s="30" t="inlineStr">
        <is>
          <t>Current description vs recipe</t>
        </is>
      </c>
      <c r="K223" s="30" t="n"/>
    </row>
    <row r="224" ht="15" customHeight="1" s="24">
      <c r="A224" s="28" t="n"/>
      <c r="B224" s="30" t="n"/>
      <c r="C224" s="30" t="inlineStr">
        <is>
          <t>MDM25-13</t>
        </is>
      </c>
      <c r="D224" s="30" t="inlineStr">
        <is>
          <t>Blushing Muse Bouquet</t>
        </is>
      </c>
      <c r="E224" s="30" t="inlineStr">
        <is>
          <t>Bouquets</t>
        </is>
      </c>
      <c r="F224" s="30" t="inlineStr">
        <is>
          <t>Current text vs recipe</t>
        </is>
      </c>
      <c r="G224" s="33" t="inlineStr">
        <is>
          <t>Pre-existing (live text)</t>
        </is>
      </c>
      <c r="H224" s="30" t="inlineStr">
        <is>
          <t>Current text: Wrong flower count: carnations</t>
        </is>
      </c>
      <c r="I224" s="30" t="inlineStr">
        <is>
          <t>Says 12 carnations — Classic recipe has 3.</t>
        </is>
      </c>
      <c r="J224" s="30" t="inlineStr">
        <is>
          <t>Current description vs recipe</t>
        </is>
      </c>
      <c r="K224" s="30" t="n"/>
    </row>
    <row r="225" ht="15" customHeight="1" s="24">
      <c r="A225" s="28" t="n"/>
      <c r="B225" s="30" t="n"/>
      <c r="C225" s="30" t="inlineStr">
        <is>
          <t>RBC-02C</t>
        </is>
      </c>
      <c r="D225" s="30" t="inlineStr">
        <is>
          <t>Bunches Purply Pink Collection III</t>
        </is>
      </c>
      <c r="E225" s="30" t="inlineStr">
        <is>
          <t>Bouquets</t>
        </is>
      </c>
      <c r="F225" s="30" t="inlineStr">
        <is>
          <t>Current text vs recipe</t>
        </is>
      </c>
      <c r="G225" s="33" t="inlineStr">
        <is>
          <t>Pre-existing (live text)</t>
        </is>
      </c>
      <c r="H225" s="30" t="inlineStr">
        <is>
          <t>Current text: Wrong flower count: carnations</t>
        </is>
      </c>
      <c r="I225" s="30" t="inlineStr">
        <is>
          <t>Says 10 carnations — Classic recipe has 2.</t>
        </is>
      </c>
      <c r="J225" s="30" t="inlineStr">
        <is>
          <t>Current description vs recipe</t>
        </is>
      </c>
      <c r="K225" s="30" t="n"/>
    </row>
    <row r="226" ht="22.35" customHeight="1" s="24">
      <c r="A226" s="28" t="n"/>
      <c r="B226" s="30" t="n"/>
      <c r="C226" s="30" t="inlineStr">
        <is>
          <t>AU100-571</t>
        </is>
      </c>
      <c r="D226" s="30" t="inlineStr">
        <is>
          <t>Hope &amp; Honour Cross</t>
        </is>
      </c>
      <c r="E226" s="30" t="inlineStr">
        <is>
          <t>Sympathy</t>
        </is>
      </c>
      <c r="F226" s="30" t="inlineStr">
        <is>
          <t>Current text vs recipe</t>
        </is>
      </c>
      <c r="G226" s="33" t="inlineStr">
        <is>
          <t>Pre-existing (live text)</t>
        </is>
      </c>
      <c r="H226" s="30" t="inlineStr">
        <is>
          <t>Current text: Wrong flower count: chrysanthemums</t>
        </is>
      </c>
      <c r="I226" s="30" t="inlineStr">
        <is>
          <t>Says 88 chrysanthemums — Classic recipe has 20.</t>
        </is>
      </c>
      <c r="J226" s="30" t="inlineStr">
        <is>
          <t>Current description vs recipe</t>
        </is>
      </c>
      <c r="K226" s="30" t="n"/>
    </row>
    <row r="227" ht="22.35" customHeight="1" s="24">
      <c r="A227" s="28" t="n"/>
      <c r="B227" s="30" t="n"/>
      <c r="C227" s="30" t="inlineStr">
        <is>
          <t>AU100-582</t>
        </is>
      </c>
      <c r="D227" s="30" t="inlineStr">
        <is>
          <t>Rose Garden Heart</t>
        </is>
      </c>
      <c r="E227" s="30" t="inlineStr">
        <is>
          <t>Sympathy</t>
        </is>
      </c>
      <c r="F227" s="30" t="inlineStr">
        <is>
          <t>Current text vs recipe</t>
        </is>
      </c>
      <c r="G227" s="33" t="inlineStr">
        <is>
          <t>Pre-existing (live text)</t>
        </is>
      </c>
      <c r="H227" s="30" t="inlineStr">
        <is>
          <t>Current text: Wrong flower count: chrysanthemums</t>
        </is>
      </c>
      <c r="I227" s="30" t="inlineStr">
        <is>
          <t>Says 25 chrysanthemums — Classic recipe has 12.</t>
        </is>
      </c>
      <c r="J227" s="30" t="inlineStr">
        <is>
          <t>Current description vs recipe</t>
        </is>
      </c>
      <c r="K227" s="30" t="n"/>
    </row>
    <row r="228" ht="22.35" customHeight="1" s="24">
      <c r="A228" s="28" t="n"/>
      <c r="B228" s="30" t="n"/>
      <c r="C228" s="30" t="inlineStr">
        <is>
          <t>AU100-92</t>
        </is>
      </c>
      <c r="D228" s="30" t="inlineStr">
        <is>
          <t>Blooms of Joy</t>
        </is>
      </c>
      <c r="E228" s="30" t="inlineStr">
        <is>
          <t>Bouquets</t>
        </is>
      </c>
      <c r="F228" s="30" t="inlineStr">
        <is>
          <t>Current text vs recipe</t>
        </is>
      </c>
      <c r="G228" s="33" t="inlineStr">
        <is>
          <t>Pre-existing (live text)</t>
        </is>
      </c>
      <c r="H228" s="30" t="inlineStr">
        <is>
          <t>Current text: Wrong flower count: chrysanthemums</t>
        </is>
      </c>
      <c r="I228" s="30" t="inlineStr">
        <is>
          <t>Says 18 chrysanthemums — Classic recipe has 4.</t>
        </is>
      </c>
      <c r="J228" s="30" t="inlineStr">
        <is>
          <t>Current description vs recipe</t>
        </is>
      </c>
      <c r="K228" s="30" t="n"/>
    </row>
    <row r="229" ht="22.35" customHeight="1" s="24">
      <c r="A229" s="28" t="n"/>
      <c r="B229" s="30" t="n"/>
      <c r="C229" s="30" t="inlineStr">
        <is>
          <t>AU200-60</t>
        </is>
      </c>
      <c r="D229" s="30" t="inlineStr">
        <is>
          <t>Fresh &amp; Fragrant</t>
        </is>
      </c>
      <c r="E229" s="30" t="inlineStr">
        <is>
          <t>Bouquets</t>
        </is>
      </c>
      <c r="F229" s="30" t="inlineStr">
        <is>
          <t>Current text vs recipe</t>
        </is>
      </c>
      <c r="G229" s="33" t="inlineStr">
        <is>
          <t>Pre-existing (live text)</t>
        </is>
      </c>
      <c r="H229" s="30" t="inlineStr">
        <is>
          <t>Current text: Wrong flower count: chrysanthemums</t>
        </is>
      </c>
      <c r="I229" s="30" t="inlineStr">
        <is>
          <t>Says 9 chrysanthemums — Classic recipe has 2.</t>
        </is>
      </c>
      <c r="J229" s="30" t="inlineStr">
        <is>
          <t>Current description vs recipe</t>
        </is>
      </c>
      <c r="K229" s="30" t="n"/>
    </row>
    <row r="230" ht="22.35" customHeight="1" s="24">
      <c r="A230" s="28" t="n"/>
      <c r="B230" s="30" t="n"/>
      <c r="C230" s="30" t="inlineStr">
        <is>
          <t>AU200-61</t>
        </is>
      </c>
      <c r="D230" s="30" t="inlineStr">
        <is>
          <t>Country Roads</t>
        </is>
      </c>
      <c r="E230" s="30" t="inlineStr">
        <is>
          <t>Bouquets</t>
        </is>
      </c>
      <c r="F230" s="30" t="inlineStr">
        <is>
          <t>Current text vs recipe</t>
        </is>
      </c>
      <c r="G230" s="33" t="inlineStr">
        <is>
          <t>Pre-existing (live text)</t>
        </is>
      </c>
      <c r="H230" s="30" t="inlineStr">
        <is>
          <t>Current text: Wrong flower count: chrysanthemums</t>
        </is>
      </c>
      <c r="I230" s="30" t="inlineStr">
        <is>
          <t>Says 50 chrysanthemums — Classic recipe has 12.</t>
        </is>
      </c>
      <c r="J230" s="30" t="inlineStr">
        <is>
          <t>Current description vs recipe</t>
        </is>
      </c>
      <c r="K230" s="30" t="n"/>
    </row>
    <row r="231" ht="22.35" customHeight="1" s="24">
      <c r="A231" s="28" t="n"/>
      <c r="B231" s="30" t="n"/>
      <c r="C231" s="30" t="inlineStr">
        <is>
          <t>AU216-63</t>
        </is>
      </c>
      <c r="D231" s="30" t="inlineStr">
        <is>
          <t>Colourful Inspiration</t>
        </is>
      </c>
      <c r="E231" s="30" t="inlineStr">
        <is>
          <t>Bouquets</t>
        </is>
      </c>
      <c r="F231" s="30" t="inlineStr">
        <is>
          <t>Current text vs recipe</t>
        </is>
      </c>
      <c r="G231" s="33" t="inlineStr">
        <is>
          <t>Pre-existing (live text)</t>
        </is>
      </c>
      <c r="H231" s="30" t="inlineStr">
        <is>
          <t>Current text: Wrong flower count: chrysanthemums</t>
        </is>
      </c>
      <c r="I231" s="30" t="inlineStr">
        <is>
          <t>Says 14 chrysanthemums — Classic recipe has 2.</t>
        </is>
      </c>
      <c r="J231" s="30" t="inlineStr">
        <is>
          <t>Current description vs recipe</t>
        </is>
      </c>
      <c r="K231" s="30" t="n"/>
    </row>
    <row r="232" ht="22.35" customHeight="1" s="24">
      <c r="A232" s="28" t="n"/>
      <c r="B232" s="30" t="n"/>
      <c r="C232" s="30" t="inlineStr">
        <is>
          <t>AU22-10</t>
        </is>
      </c>
      <c r="D232" s="30" t="inlineStr">
        <is>
          <t>Pink Pleasure</t>
        </is>
      </c>
      <c r="E232" s="30" t="inlineStr">
        <is>
          <t>Bouquets</t>
        </is>
      </c>
      <c r="F232" s="30" t="inlineStr">
        <is>
          <t>Current text vs recipe</t>
        </is>
      </c>
      <c r="G232" s="33" t="inlineStr">
        <is>
          <t>Pre-existing (live text)</t>
        </is>
      </c>
      <c r="H232" s="30" t="inlineStr">
        <is>
          <t>Current text: Wrong flower count: chrysanthemums</t>
        </is>
      </c>
      <c r="I232" s="30" t="inlineStr">
        <is>
          <t>Says 22 chrysanthemums — Classic recipe has 5.</t>
        </is>
      </c>
      <c r="J232" s="30" t="inlineStr">
        <is>
          <t>Current description vs recipe</t>
        </is>
      </c>
      <c r="K232" s="30" t="n"/>
    </row>
    <row r="233" ht="22.35" customHeight="1" s="24">
      <c r="A233" s="28" t="n"/>
      <c r="B233" s="30" t="n"/>
      <c r="C233" s="30" t="inlineStr">
        <is>
          <t>AU222-09</t>
        </is>
      </c>
      <c r="D233" s="30" t="inlineStr">
        <is>
          <t>Autumn Garden</t>
        </is>
      </c>
      <c r="E233" s="30" t="inlineStr">
        <is>
          <t>Bouquets</t>
        </is>
      </c>
      <c r="F233" s="30" t="inlineStr">
        <is>
          <t>Current text vs recipe</t>
        </is>
      </c>
      <c r="G233" s="33" t="inlineStr">
        <is>
          <t>Pre-existing (live text)</t>
        </is>
      </c>
      <c r="H233" s="30" t="inlineStr">
        <is>
          <t>Current text: Wrong flower count: chrysanthemums</t>
        </is>
      </c>
      <c r="I233" s="30" t="inlineStr">
        <is>
          <t>Says 18 chrysanthemums — Classic recipe has 4.</t>
        </is>
      </c>
      <c r="J233" s="30" t="inlineStr">
        <is>
          <t>Current description vs recipe</t>
        </is>
      </c>
      <c r="K233" s="30" t="n"/>
    </row>
    <row r="234" ht="22.35" customHeight="1" s="24">
      <c r="A234" s="28" t="n"/>
      <c r="B234" s="30" t="n"/>
      <c r="C234" s="30" t="inlineStr">
        <is>
          <t>AU80-06</t>
        </is>
      </c>
      <c r="D234" s="30" t="inlineStr">
        <is>
          <t>Classic Elegance</t>
        </is>
      </c>
      <c r="E234" s="30" t="inlineStr">
        <is>
          <t>Bouquets</t>
        </is>
      </c>
      <c r="F234" s="30" t="inlineStr">
        <is>
          <t>Current text vs recipe</t>
        </is>
      </c>
      <c r="G234" s="33" t="inlineStr">
        <is>
          <t>Pre-existing (live text)</t>
        </is>
      </c>
      <c r="H234" s="30" t="inlineStr">
        <is>
          <t>Current text: Wrong flower count: chrysanthemums</t>
        </is>
      </c>
      <c r="I234" s="30" t="inlineStr">
        <is>
          <t>Says 18 chrysanthemums — Classic recipe has 4.</t>
        </is>
      </c>
      <c r="J234" s="30" t="inlineStr">
        <is>
          <t>Current description vs recipe</t>
        </is>
      </c>
      <c r="K234" s="30" t="n"/>
    </row>
    <row r="235" ht="22.35" customHeight="1" s="24">
      <c r="A235" s="28" t="n"/>
      <c r="B235" s="30" t="n"/>
      <c r="C235" s="30" t="inlineStr">
        <is>
          <t>AUMJ-NW-001</t>
        </is>
      </c>
      <c r="D235" s="30" t="inlineStr">
        <is>
          <t>Purple Rain Bouquet in Mason Jar</t>
        </is>
      </c>
      <c r="E235" s="30" t="inlineStr">
        <is>
          <t>Mason Jar</t>
        </is>
      </c>
      <c r="F235" s="30" t="inlineStr">
        <is>
          <t>Current text vs recipe</t>
        </is>
      </c>
      <c r="G235" s="33" t="inlineStr">
        <is>
          <t>Pre-existing (live text)</t>
        </is>
      </c>
      <c r="H235" s="30" t="inlineStr">
        <is>
          <t>Current text: Wrong flower count: chrysanthemums</t>
        </is>
      </c>
      <c r="I235" s="30" t="inlineStr">
        <is>
          <t>Says 14 chrysanthemums — Classic recipe has 2.</t>
        </is>
      </c>
      <c r="J235" s="30" t="inlineStr">
        <is>
          <t>Current description vs recipe</t>
        </is>
      </c>
      <c r="K235" s="30" t="n"/>
    </row>
    <row r="236" ht="22.35" customHeight="1" s="24">
      <c r="A236" s="28" t="n"/>
      <c r="B236" s="30" t="n"/>
      <c r="C236" s="30" t="inlineStr">
        <is>
          <t>AUMJ-NW-004</t>
        </is>
      </c>
      <c r="D236" s="30" t="inlineStr">
        <is>
          <t>Sending Solace Bouquet in Mason Jar</t>
        </is>
      </c>
      <c r="E236" s="30" t="inlineStr">
        <is>
          <t>Mason Jar</t>
        </is>
      </c>
      <c r="F236" s="30" t="inlineStr">
        <is>
          <t>Current text vs recipe</t>
        </is>
      </c>
      <c r="G236" s="33" t="inlineStr">
        <is>
          <t>Pre-existing (live text)</t>
        </is>
      </c>
      <c r="H236" s="30" t="inlineStr">
        <is>
          <t>Current text: Wrong flower count: chrysanthemums</t>
        </is>
      </c>
      <c r="I236" s="30" t="inlineStr">
        <is>
          <t>Says 14 chrysanthemums — Classic recipe has 2.</t>
        </is>
      </c>
      <c r="J236" s="30" t="inlineStr">
        <is>
          <t>Current description vs recipe</t>
        </is>
      </c>
      <c r="K236" s="30" t="n"/>
    </row>
    <row r="237" ht="22.35" customHeight="1" s="24">
      <c r="A237" s="28" t="n"/>
      <c r="B237" s="30" t="n"/>
      <c r="C237" s="30" t="inlineStr">
        <is>
          <t>AUMJ-NW-007</t>
        </is>
      </c>
      <c r="D237" s="30" t="inlineStr">
        <is>
          <t>Pick-Me-Up Bouquet in Mason Jar</t>
        </is>
      </c>
      <c r="E237" s="30" t="inlineStr">
        <is>
          <t>Mason Jar</t>
        </is>
      </c>
      <c r="F237" s="30" t="inlineStr">
        <is>
          <t>Current text vs recipe</t>
        </is>
      </c>
      <c r="G237" s="33" t="inlineStr">
        <is>
          <t>Pre-existing (live text)</t>
        </is>
      </c>
      <c r="H237" s="30" t="inlineStr">
        <is>
          <t>Current text: Wrong flower count: chrysanthemums</t>
        </is>
      </c>
      <c r="I237" s="30" t="inlineStr">
        <is>
          <t>Says 4 chrysanthemums — Classic recipe has 1.</t>
        </is>
      </c>
      <c r="J237" s="30" t="inlineStr">
        <is>
          <t>Current description vs recipe</t>
        </is>
      </c>
      <c r="K237" s="30" t="n"/>
    </row>
    <row r="238" ht="22.35" customHeight="1" s="24">
      <c r="A238" s="28" t="n"/>
      <c r="B238" s="30" t="n"/>
      <c r="C238" s="30" t="inlineStr">
        <is>
          <t>AUMJ-NW-018</t>
        </is>
      </c>
      <c r="D238" s="30" t="inlineStr">
        <is>
          <t>Summer Lovin’ Bouquet in Mason Jar</t>
        </is>
      </c>
      <c r="E238" s="30" t="inlineStr">
        <is>
          <t>Mason Jar</t>
        </is>
      </c>
      <c r="F238" s="30" t="inlineStr">
        <is>
          <t>Current text vs recipe</t>
        </is>
      </c>
      <c r="G238" s="33" t="inlineStr">
        <is>
          <t>Pre-existing (live text)</t>
        </is>
      </c>
      <c r="H238" s="30" t="inlineStr">
        <is>
          <t>Current text: Wrong flower count: chrysanthemums</t>
        </is>
      </c>
      <c r="I238" s="30" t="inlineStr">
        <is>
          <t>Says 16 chrysanthemums — Classic recipe has 2.</t>
        </is>
      </c>
      <c r="J238" s="30" t="inlineStr">
        <is>
          <t>Current description vs recipe</t>
        </is>
      </c>
      <c r="K238" s="30" t="n"/>
    </row>
    <row r="239" ht="22.35" customHeight="1" s="24">
      <c r="A239" s="28" t="n"/>
      <c r="B239" s="30" t="n"/>
      <c r="C239" s="30" t="inlineStr">
        <is>
          <t>AUMJ-NW-020</t>
        </is>
      </c>
      <c r="D239" s="30" t="inlineStr">
        <is>
          <t>Spring Fling Bouquet in Mason Jar</t>
        </is>
      </c>
      <c r="E239" s="30" t="inlineStr">
        <is>
          <t>Mason Jar</t>
        </is>
      </c>
      <c r="F239" s="30" t="inlineStr">
        <is>
          <t>Current text vs recipe</t>
        </is>
      </c>
      <c r="G239" s="33" t="inlineStr">
        <is>
          <t>Pre-existing (live text)</t>
        </is>
      </c>
      <c r="H239" s="30" t="inlineStr">
        <is>
          <t>Current text: Wrong flower count: chrysanthemums</t>
        </is>
      </c>
      <c r="I239" s="30" t="inlineStr">
        <is>
          <t>Says 18 chrysanthemums — Classic recipe has 3.</t>
        </is>
      </c>
      <c r="J239" s="30" t="inlineStr">
        <is>
          <t>Current description vs recipe</t>
        </is>
      </c>
      <c r="K239" s="30" t="n"/>
    </row>
    <row r="240" ht="22.35" customHeight="1" s="24">
      <c r="A240" s="28" t="n"/>
      <c r="B240" s="30" t="n"/>
      <c r="C240" s="30" t="inlineStr">
        <is>
          <t>AUMJ-NW-021</t>
        </is>
      </c>
      <c r="D240" s="30" t="inlineStr">
        <is>
          <t>Mum's for Mum Bouquet in Mason Jar</t>
        </is>
      </c>
      <c r="E240" s="30" t="inlineStr">
        <is>
          <t>Mason Jar</t>
        </is>
      </c>
      <c r="F240" s="30" t="inlineStr">
        <is>
          <t>Current text vs recipe</t>
        </is>
      </c>
      <c r="G240" s="33" t="inlineStr">
        <is>
          <t>Pre-existing (live text)</t>
        </is>
      </c>
      <c r="H240" s="30" t="inlineStr">
        <is>
          <t>Current text: Wrong flower count: chrysanthemums</t>
        </is>
      </c>
      <c r="I240" s="30" t="inlineStr">
        <is>
          <t>Says 38 chrysanthemums — Classic recipe has 8.</t>
        </is>
      </c>
      <c r="J240" s="30" t="inlineStr">
        <is>
          <t>Current description vs recipe</t>
        </is>
      </c>
      <c r="K240" s="30" t="n"/>
    </row>
    <row r="241" ht="22.35" customHeight="1" s="24">
      <c r="A241" s="28" t="n"/>
      <c r="B241" s="30" t="n"/>
      <c r="C241" s="30" t="inlineStr">
        <is>
          <t>AUMJ-NW-030</t>
        </is>
      </c>
      <c r="D241" s="30" t="inlineStr">
        <is>
          <t>Cloud Nine Bouquet in Mason Jar</t>
        </is>
      </c>
      <c r="E241" s="30" t="inlineStr">
        <is>
          <t>Mason Jar</t>
        </is>
      </c>
      <c r="F241" s="30" t="inlineStr">
        <is>
          <t>Current text vs recipe</t>
        </is>
      </c>
      <c r="G241" s="33" t="inlineStr">
        <is>
          <t>Pre-existing (live text)</t>
        </is>
      </c>
      <c r="H241" s="30" t="inlineStr">
        <is>
          <t>Current text: Wrong flower count: chrysanthemums</t>
        </is>
      </c>
      <c r="I241" s="30" t="inlineStr">
        <is>
          <t>Says 13 chrysanthemums — Classic recipe has 2.</t>
        </is>
      </c>
      <c r="J241" s="30" t="inlineStr">
        <is>
          <t>Current description vs recipe</t>
        </is>
      </c>
      <c r="K241" s="30" t="n"/>
    </row>
    <row r="242" ht="22.35" customHeight="1" s="24">
      <c r="A242" s="28" t="n"/>
      <c r="B242" s="30" t="n"/>
      <c r="C242" s="30" t="inlineStr">
        <is>
          <t>LF100-395</t>
        </is>
      </c>
      <c r="D242" s="30" t="inlineStr">
        <is>
          <t>Pure Devotion Funeral Flower Package</t>
        </is>
      </c>
      <c r="E242" s="30" t="inlineStr">
        <is>
          <t>Sympathy</t>
        </is>
      </c>
      <c r="F242" s="30" t="inlineStr">
        <is>
          <t>Current text vs recipe</t>
        </is>
      </c>
      <c r="G242" s="33" t="inlineStr">
        <is>
          <t>Pre-existing (live text)</t>
        </is>
      </c>
      <c r="H242" s="30" t="inlineStr">
        <is>
          <t>Current text: Wrong flower count: chrysanthemums</t>
        </is>
      </c>
      <c r="I242" s="30" t="inlineStr">
        <is>
          <t>Says 26 chrysanthemums — Classic recipe has 12.</t>
        </is>
      </c>
      <c r="J242" s="30" t="inlineStr">
        <is>
          <t>Current description vs recipe</t>
        </is>
      </c>
      <c r="K242" s="30" t="n"/>
    </row>
    <row r="243" ht="22.35" customHeight="1" s="24">
      <c r="A243" s="28" t="n"/>
      <c r="B243" s="30" t="n"/>
      <c r="C243" s="30" t="inlineStr">
        <is>
          <t>LF15-10A</t>
        </is>
      </c>
      <c r="D243" s="30" t="inlineStr">
        <is>
          <t>Hugs and Kisses I</t>
        </is>
      </c>
      <c r="E243" s="30" t="inlineStr">
        <is>
          <t>Bouquets</t>
        </is>
      </c>
      <c r="F243" s="30" t="inlineStr">
        <is>
          <t>Current text vs recipe</t>
        </is>
      </c>
      <c r="G243" s="33" t="inlineStr">
        <is>
          <t>Pre-existing (live text)</t>
        </is>
      </c>
      <c r="H243" s="30" t="inlineStr">
        <is>
          <t>Current text: Wrong flower count: chrysanthemums</t>
        </is>
      </c>
      <c r="I243" s="30" t="inlineStr">
        <is>
          <t>Says 11 chrysanthemums — Classic recipe has 2.</t>
        </is>
      </c>
      <c r="J243" s="30" t="inlineStr">
        <is>
          <t>Current description vs recipe</t>
        </is>
      </c>
      <c r="K243" s="30" t="n"/>
    </row>
    <row r="244" ht="22.35" customHeight="1" s="24">
      <c r="A244" s="28" t="n"/>
      <c r="B244" s="30" t="n"/>
      <c r="C244" s="30" t="inlineStr">
        <is>
          <t>LF15-10B</t>
        </is>
      </c>
      <c r="D244" s="30" t="inlineStr">
        <is>
          <t>Hugs and Kisses II</t>
        </is>
      </c>
      <c r="E244" s="30" t="inlineStr">
        <is>
          <t>Bouquets</t>
        </is>
      </c>
      <c r="F244" s="30" t="inlineStr">
        <is>
          <t>Current text vs recipe</t>
        </is>
      </c>
      <c r="G244" s="33" t="inlineStr">
        <is>
          <t>Pre-existing (live text)</t>
        </is>
      </c>
      <c r="H244" s="30" t="inlineStr">
        <is>
          <t>Current text: Wrong flower count: chrysanthemums</t>
        </is>
      </c>
      <c r="I244" s="30" t="inlineStr">
        <is>
          <t>Says 14 chrysanthemums — Classic recipe has 2.</t>
        </is>
      </c>
      <c r="J244" s="30" t="inlineStr">
        <is>
          <t>Current description vs recipe</t>
        </is>
      </c>
      <c r="K244" s="30" t="n"/>
    </row>
    <row r="245" ht="22.35" customHeight="1" s="24">
      <c r="A245" s="28" t="n"/>
      <c r="B245" s="30" t="n"/>
      <c r="C245" s="30" t="inlineStr">
        <is>
          <t>LF15-10C</t>
        </is>
      </c>
      <c r="D245" s="30" t="inlineStr">
        <is>
          <t>Hugs and Kisses III</t>
        </is>
      </c>
      <c r="E245" s="30" t="inlineStr">
        <is>
          <t>Bouquets</t>
        </is>
      </c>
      <c r="F245" s="30" t="inlineStr">
        <is>
          <t>Current text vs recipe</t>
        </is>
      </c>
      <c r="G245" s="33" t="inlineStr">
        <is>
          <t>Pre-existing (live text)</t>
        </is>
      </c>
      <c r="H245" s="30" t="inlineStr">
        <is>
          <t>Current text: Wrong flower count: chrysanthemums</t>
        </is>
      </c>
      <c r="I245" s="30" t="inlineStr">
        <is>
          <t>Says 14 chrysanthemums — Classic recipe has 3.</t>
        </is>
      </c>
      <c r="J245" s="30" t="inlineStr">
        <is>
          <t>Current description vs recipe</t>
        </is>
      </c>
      <c r="K245" s="30" t="n"/>
    </row>
    <row r="246" ht="22.35" customHeight="1" s="24">
      <c r="A246" s="28" t="n"/>
      <c r="B246" s="30" t="n"/>
      <c r="C246" s="30" t="inlineStr">
        <is>
          <t>LF15-10D</t>
        </is>
      </c>
      <c r="D246" s="30" t="inlineStr">
        <is>
          <t>Hugs and Kisses IV</t>
        </is>
      </c>
      <c r="E246" s="30" t="inlineStr">
        <is>
          <t>Bouquets</t>
        </is>
      </c>
      <c r="F246" s="30" t="inlineStr">
        <is>
          <t>Current text vs recipe</t>
        </is>
      </c>
      <c r="G246" s="33" t="inlineStr">
        <is>
          <t>Pre-existing (live text)</t>
        </is>
      </c>
      <c r="H246" s="30" t="inlineStr">
        <is>
          <t>Current text: Wrong flower count: chrysanthemums</t>
        </is>
      </c>
      <c r="I246" s="30" t="inlineStr">
        <is>
          <t>Says 12 chrysanthemums — Classic recipe has 3.</t>
        </is>
      </c>
      <c r="J246" s="30" t="inlineStr">
        <is>
          <t>Current description vs recipe</t>
        </is>
      </c>
      <c r="K246" s="30" t="n"/>
    </row>
    <row r="247" ht="22.35" customHeight="1" s="24">
      <c r="A247" s="28" t="n"/>
      <c r="B247" s="30" t="n"/>
      <c r="C247" s="30" t="inlineStr">
        <is>
          <t>MDM25-13</t>
        </is>
      </c>
      <c r="D247" s="30" t="inlineStr">
        <is>
          <t>Blushing Muse Bouquet</t>
        </is>
      </c>
      <c r="E247" s="30" t="inlineStr">
        <is>
          <t>Bouquets</t>
        </is>
      </c>
      <c r="F247" s="30" t="inlineStr">
        <is>
          <t>Current text vs recipe</t>
        </is>
      </c>
      <c r="G247" s="33" t="inlineStr">
        <is>
          <t>Pre-existing (live text)</t>
        </is>
      </c>
      <c r="H247" s="30" t="inlineStr">
        <is>
          <t>Current text: Wrong flower count: chrysanthemums</t>
        </is>
      </c>
      <c r="I247" s="30" t="inlineStr">
        <is>
          <t>Says 4 chrysanthemums — Classic recipe has 1.</t>
        </is>
      </c>
      <c r="J247" s="30" t="inlineStr">
        <is>
          <t>Current description vs recipe</t>
        </is>
      </c>
      <c r="K247" s="30" t="n"/>
    </row>
    <row r="248" ht="22.35" customHeight="1" s="24">
      <c r="A248" s="28" t="n"/>
      <c r="B248" s="30" t="n"/>
      <c r="C248" s="30" t="inlineStr">
        <is>
          <t>MJ100-04</t>
        </is>
      </c>
      <c r="D248" s="30" t="inlineStr">
        <is>
          <t>What a Treat in Mason Jar</t>
        </is>
      </c>
      <c r="E248" s="30" t="inlineStr">
        <is>
          <t>Mason Jar</t>
        </is>
      </c>
      <c r="F248" s="30" t="inlineStr">
        <is>
          <t>Current text vs recipe</t>
        </is>
      </c>
      <c r="G248" s="33" t="inlineStr">
        <is>
          <t>Pre-existing (live text)</t>
        </is>
      </c>
      <c r="H248" s="30" t="inlineStr">
        <is>
          <t>Current text: Wrong flower count: chrysanthemums</t>
        </is>
      </c>
      <c r="I248" s="30" t="inlineStr">
        <is>
          <t>Says 6 chrysanthemums — Classic recipe has 3.</t>
        </is>
      </c>
      <c r="J248" s="30" t="inlineStr">
        <is>
          <t>Current description vs recipe</t>
        </is>
      </c>
      <c r="K248" s="30" t="n"/>
    </row>
    <row r="249" ht="22.35" customHeight="1" s="24">
      <c r="A249" s="28" t="n"/>
      <c r="B249" s="30" t="n"/>
      <c r="C249" s="30" t="inlineStr">
        <is>
          <t>MJ22-10</t>
        </is>
      </c>
      <c r="D249" s="30" t="inlineStr">
        <is>
          <t>Shades of Pink in Mason Jar</t>
        </is>
      </c>
      <c r="E249" s="30" t="inlineStr">
        <is>
          <t>Mason Jar</t>
        </is>
      </c>
      <c r="F249" s="30" t="inlineStr">
        <is>
          <t>Current text vs recipe</t>
        </is>
      </c>
      <c r="G249" s="33" t="inlineStr">
        <is>
          <t>Pre-existing (live text)</t>
        </is>
      </c>
      <c r="H249" s="30" t="inlineStr">
        <is>
          <t>Current text: Wrong flower count: chrysanthemums</t>
        </is>
      </c>
      <c r="I249" s="30" t="inlineStr">
        <is>
          <t>Says 9 chrysanthemums — Classic recipe has 3.</t>
        </is>
      </c>
      <c r="J249" s="30" t="inlineStr">
        <is>
          <t>Current description vs recipe</t>
        </is>
      </c>
      <c r="K249" s="30" t="n"/>
    </row>
    <row r="250" ht="22.35" customHeight="1" s="24">
      <c r="A250" s="28" t="n"/>
      <c r="B250" s="30" t="n"/>
      <c r="C250" s="30" t="inlineStr">
        <is>
          <t>RDC-01</t>
        </is>
      </c>
      <c r="D250" s="30" t="inlineStr">
        <is>
          <t>Rainbow Daisy Collection I</t>
        </is>
      </c>
      <c r="E250" s="30" t="inlineStr">
        <is>
          <t>Bouquets</t>
        </is>
      </c>
      <c r="F250" s="30" t="inlineStr">
        <is>
          <t>Current text vs recipe</t>
        </is>
      </c>
      <c r="G250" s="33" t="inlineStr">
        <is>
          <t>Pre-existing (live text)</t>
        </is>
      </c>
      <c r="H250" s="30" t="inlineStr">
        <is>
          <t>Current text: Wrong flower count: chrysanthemums</t>
        </is>
      </c>
      <c r="I250" s="30" t="inlineStr">
        <is>
          <t>Says 40 chrysanthemums — Classic recipe has 8.</t>
        </is>
      </c>
      <c r="J250" s="30" t="inlineStr">
        <is>
          <t>Current description vs recipe</t>
        </is>
      </c>
      <c r="K250" s="30" t="n"/>
    </row>
    <row r="251" ht="22.35" customHeight="1" s="24">
      <c r="A251" s="28" t="n"/>
      <c r="B251" s="30" t="n"/>
      <c r="C251" s="30" t="inlineStr">
        <is>
          <t>RDC-02</t>
        </is>
      </c>
      <c r="D251" s="30" t="inlineStr">
        <is>
          <t>Rainbow Daisy Collection II</t>
        </is>
      </c>
      <c r="E251" s="30" t="inlineStr">
        <is>
          <t>Bouquets</t>
        </is>
      </c>
      <c r="F251" s="30" t="inlineStr">
        <is>
          <t>Current text vs recipe</t>
        </is>
      </c>
      <c r="G251" s="33" t="inlineStr">
        <is>
          <t>Pre-existing (live text)</t>
        </is>
      </c>
      <c r="H251" s="30" t="inlineStr">
        <is>
          <t>Current text: Wrong flower count: chrysanthemums</t>
        </is>
      </c>
      <c r="I251" s="30" t="inlineStr">
        <is>
          <t>Says 40 chrysanthemums — Classic recipe has 8.</t>
        </is>
      </c>
      <c r="J251" s="30" t="inlineStr">
        <is>
          <t>Current description vs recipe</t>
        </is>
      </c>
      <c r="K251" s="30" t="n"/>
    </row>
    <row r="252" ht="15" customHeight="1" s="24">
      <c r="A252" s="28" t="n"/>
      <c r="B252" s="30" t="n"/>
      <c r="C252" s="30" t="inlineStr">
        <is>
          <t>AUMJ-NW-019</t>
        </is>
      </c>
      <c r="D252" s="30" t="inlineStr">
        <is>
          <t>Garden Party Bouquet in Mason Jar</t>
        </is>
      </c>
      <c r="E252" s="30" t="inlineStr">
        <is>
          <t>Mason Jar</t>
        </is>
      </c>
      <c r="F252" s="30" t="inlineStr">
        <is>
          <t>Current text vs recipe</t>
        </is>
      </c>
      <c r="G252" s="33" t="inlineStr">
        <is>
          <t>Pre-existing (live text)</t>
        </is>
      </c>
      <c r="H252" s="30" t="inlineStr">
        <is>
          <t>Current text: Wrong flower count: daisies</t>
        </is>
      </c>
      <c r="I252" s="30" t="inlineStr">
        <is>
          <t>Says 12 daisies — Classic recipe has 4.</t>
        </is>
      </c>
      <c r="J252" s="30" t="inlineStr">
        <is>
          <t>Current description vs recipe</t>
        </is>
      </c>
      <c r="K252" s="30" t="n"/>
    </row>
    <row r="253" ht="15" customHeight="1" s="24">
      <c r="A253" s="28" t="n"/>
      <c r="B253" s="30" t="n"/>
      <c r="C253" s="30" t="inlineStr">
        <is>
          <t>AU0511-17</t>
        </is>
      </c>
      <c r="D253" s="30" t="inlineStr">
        <is>
          <t>Summer Blooms</t>
        </is>
      </c>
      <c r="E253" s="30" t="inlineStr">
        <is>
          <t>Bouquets</t>
        </is>
      </c>
      <c r="F253" s="30" t="inlineStr">
        <is>
          <t>Current text vs recipe</t>
        </is>
      </c>
      <c r="G253" s="33" t="inlineStr">
        <is>
          <t>Pre-existing (live text)</t>
        </is>
      </c>
      <c r="H253" s="30" t="inlineStr">
        <is>
          <t>Current text: Wrong flower count: gerberas</t>
        </is>
      </c>
      <c r="I253" s="30" t="inlineStr">
        <is>
          <t>Says 9 gerberas — Classic recipe has 2.</t>
        </is>
      </c>
      <c r="J253" s="30" t="inlineStr">
        <is>
          <t>Current description vs recipe</t>
        </is>
      </c>
      <c r="K253" s="30" t="n"/>
    </row>
    <row r="254" ht="15" customHeight="1" s="24">
      <c r="A254" s="28" t="n"/>
      <c r="B254" s="30" t="n"/>
      <c r="C254" s="30" t="inlineStr">
        <is>
          <t>AU100-26</t>
        </is>
      </c>
      <c r="D254" s="30" t="inlineStr">
        <is>
          <t>Gerber Brights</t>
        </is>
      </c>
      <c r="E254" s="30" t="inlineStr">
        <is>
          <t>Bouquets</t>
        </is>
      </c>
      <c r="F254" s="30" t="inlineStr">
        <is>
          <t>Current text vs recipe</t>
        </is>
      </c>
      <c r="G254" s="33" t="inlineStr">
        <is>
          <t>Pre-existing (live text)</t>
        </is>
      </c>
      <c r="H254" s="30" t="inlineStr">
        <is>
          <t>Current text: Wrong flower count: gerberas</t>
        </is>
      </c>
      <c r="I254" s="30" t="inlineStr">
        <is>
          <t>Says 33 gerberas — Classic recipe has 8.</t>
        </is>
      </c>
      <c r="J254" s="30" t="inlineStr">
        <is>
          <t>Current description vs recipe</t>
        </is>
      </c>
      <c r="K254" s="30" t="n"/>
    </row>
    <row r="255" ht="15" customHeight="1" s="24">
      <c r="A255" s="28" t="n"/>
      <c r="B255" s="30" t="n"/>
      <c r="C255" s="30" t="inlineStr">
        <is>
          <t>AU100-92</t>
        </is>
      </c>
      <c r="D255" s="30" t="inlineStr">
        <is>
          <t>Blooms of Joy</t>
        </is>
      </c>
      <c r="E255" s="30" t="inlineStr">
        <is>
          <t>Bouquets</t>
        </is>
      </c>
      <c r="F255" s="30" t="inlineStr">
        <is>
          <t>Current text vs recipe</t>
        </is>
      </c>
      <c r="G255" s="33" t="inlineStr">
        <is>
          <t>Pre-existing (live text)</t>
        </is>
      </c>
      <c r="H255" s="30" t="inlineStr">
        <is>
          <t>Current text: Wrong flower count: gerberas</t>
        </is>
      </c>
      <c r="I255" s="30" t="inlineStr">
        <is>
          <t>Says 9 gerberas — Classic recipe has 2.</t>
        </is>
      </c>
      <c r="J255" s="30" t="inlineStr">
        <is>
          <t>Current description vs recipe</t>
        </is>
      </c>
      <c r="K255" s="30" t="n"/>
    </row>
    <row r="256" ht="15" customHeight="1" s="24">
      <c r="A256" s="28" t="n"/>
      <c r="B256" s="30" t="n"/>
      <c r="C256" s="30" t="inlineStr">
        <is>
          <t>AU111-57</t>
        </is>
      </c>
      <c r="D256" s="30" t="inlineStr">
        <is>
          <t>Fuchsia Bouquet</t>
        </is>
      </c>
      <c r="E256" s="30" t="inlineStr">
        <is>
          <t>Bouquets</t>
        </is>
      </c>
      <c r="F256" s="30" t="inlineStr">
        <is>
          <t>Current text vs recipe</t>
        </is>
      </c>
      <c r="G256" s="33" t="inlineStr">
        <is>
          <t>Pre-existing (live text)</t>
        </is>
      </c>
      <c r="H256" s="30" t="inlineStr">
        <is>
          <t>Current text: Wrong flower count: gerberas</t>
        </is>
      </c>
      <c r="I256" s="30" t="inlineStr">
        <is>
          <t>Says 19 gerberas — Classic recipe has 3.</t>
        </is>
      </c>
      <c r="J256" s="30" t="inlineStr">
        <is>
          <t>Current description vs recipe</t>
        </is>
      </c>
      <c r="K256" s="30" t="n"/>
    </row>
    <row r="257" ht="15" customHeight="1" s="24">
      <c r="A257" s="28" t="n"/>
      <c r="B257" s="30" t="n"/>
      <c r="C257" s="30" t="inlineStr">
        <is>
          <t>AU1111-06</t>
        </is>
      </c>
      <c r="D257" s="30" t="inlineStr">
        <is>
          <t>Gerberomeria</t>
        </is>
      </c>
      <c r="E257" s="30" t="inlineStr">
        <is>
          <t>Bouquets</t>
        </is>
      </c>
      <c r="F257" s="30" t="inlineStr">
        <is>
          <t>Current text vs recipe</t>
        </is>
      </c>
      <c r="G257" s="33" t="inlineStr">
        <is>
          <t>Pre-existing (live text)</t>
        </is>
      </c>
      <c r="H257" s="30" t="inlineStr">
        <is>
          <t>Current text: Wrong flower count: gerberas</t>
        </is>
      </c>
      <c r="I257" s="30" t="inlineStr">
        <is>
          <t>Says 18 gerberas — Classic recipe has 4.</t>
        </is>
      </c>
      <c r="J257" s="30" t="inlineStr">
        <is>
          <t>Current description vs recipe</t>
        </is>
      </c>
      <c r="K257" s="30" t="n"/>
    </row>
    <row r="258" ht="15" customHeight="1" s="24">
      <c r="A258" s="28" t="n"/>
      <c r="B258" s="30" t="n"/>
      <c r="C258" s="30" t="inlineStr">
        <is>
          <t>AU16-30</t>
        </is>
      </c>
      <c r="D258" s="30" t="inlineStr">
        <is>
          <t>Rainbow Gerberas</t>
        </is>
      </c>
      <c r="E258" s="30" t="inlineStr">
        <is>
          <t>Bouquets</t>
        </is>
      </c>
      <c r="F258" s="30" t="inlineStr">
        <is>
          <t>Current text vs recipe</t>
        </is>
      </c>
      <c r="G258" s="33" t="inlineStr">
        <is>
          <t>Pre-existing (live text)</t>
        </is>
      </c>
      <c r="H258" s="30" t="inlineStr">
        <is>
          <t>Current text: Wrong flower count: gerberas</t>
        </is>
      </c>
      <c r="I258" s="30" t="inlineStr">
        <is>
          <t>Says 44 gerberas — Classic recipe has 10.</t>
        </is>
      </c>
      <c r="J258" s="30" t="inlineStr">
        <is>
          <t>Current description vs recipe</t>
        </is>
      </c>
      <c r="K258" s="30" t="n"/>
    </row>
    <row r="259" ht="15" customHeight="1" s="24">
      <c r="A259" s="28" t="n"/>
      <c r="B259" s="30" t="n"/>
      <c r="C259" s="30" t="inlineStr">
        <is>
          <t>AU22-10</t>
        </is>
      </c>
      <c r="D259" s="30" t="inlineStr">
        <is>
          <t>Pink Pleasure</t>
        </is>
      </c>
      <c r="E259" s="30" t="inlineStr">
        <is>
          <t>Bouquets</t>
        </is>
      </c>
      <c r="F259" s="30" t="inlineStr">
        <is>
          <t>Current text vs recipe</t>
        </is>
      </c>
      <c r="G259" s="33" t="inlineStr">
        <is>
          <t>Pre-existing (live text)</t>
        </is>
      </c>
      <c r="H259" s="30" t="inlineStr">
        <is>
          <t>Current text: Wrong flower count: gerberas</t>
        </is>
      </c>
      <c r="I259" s="30" t="inlineStr">
        <is>
          <t>Says 18 gerberas — Classic recipe has 4.</t>
        </is>
      </c>
      <c r="J259" s="30" t="inlineStr">
        <is>
          <t>Current description vs recipe</t>
        </is>
      </c>
      <c r="K259" s="30" t="n"/>
    </row>
    <row r="260" ht="15" customHeight="1" s="24">
      <c r="A260" s="28" t="n"/>
      <c r="B260" s="30" t="n"/>
      <c r="C260" s="30" t="inlineStr">
        <is>
          <t>AU222-19</t>
        </is>
      </c>
      <c r="D260" s="30" t="inlineStr">
        <is>
          <t>Ravishing Radiance</t>
        </is>
      </c>
      <c r="E260" s="30" t="inlineStr">
        <is>
          <t>Bouquets</t>
        </is>
      </c>
      <c r="F260" s="30" t="inlineStr">
        <is>
          <t>Current text vs recipe</t>
        </is>
      </c>
      <c r="G260" s="33" t="inlineStr">
        <is>
          <t>Pre-existing (live text)</t>
        </is>
      </c>
      <c r="H260" s="30" t="inlineStr">
        <is>
          <t>Current text: Wrong flower count: gerberas</t>
        </is>
      </c>
      <c r="I260" s="30" t="inlineStr">
        <is>
          <t>Says 12 gerberas — Classic recipe has 3.</t>
        </is>
      </c>
      <c r="J260" s="30" t="inlineStr">
        <is>
          <t>Current description vs recipe</t>
        </is>
      </c>
      <c r="K260" s="30" t="n"/>
    </row>
    <row r="261" ht="15" customHeight="1" s="24">
      <c r="A261" s="28" t="n"/>
      <c r="B261" s="30" t="n"/>
      <c r="C261" s="30" t="inlineStr">
        <is>
          <t>AUGF60-20</t>
        </is>
      </c>
      <c r="D261" s="30" t="inlineStr">
        <is>
          <t>Rainbow Gerbera Bouquet</t>
        </is>
      </c>
      <c r="E261" s="30" t="inlineStr">
        <is>
          <t>Bouquets</t>
        </is>
      </c>
      <c r="F261" s="30" t="inlineStr">
        <is>
          <t>Current text vs recipe</t>
        </is>
      </c>
      <c r="G261" s="33" t="inlineStr">
        <is>
          <t>Pre-existing (live text)</t>
        </is>
      </c>
      <c r="H261" s="30" t="inlineStr">
        <is>
          <t>Current text: Wrong flower count: gerberas</t>
        </is>
      </c>
      <c r="I261" s="30" t="inlineStr">
        <is>
          <t>Says 46 gerberas — Classic recipe has 10.</t>
        </is>
      </c>
      <c r="J261" s="30" t="inlineStr">
        <is>
          <t>Current description vs recipe</t>
        </is>
      </c>
      <c r="K261" s="30" t="n"/>
    </row>
    <row r="262" ht="22.35" customHeight="1" s="24">
      <c r="A262" s="28" t="n"/>
      <c r="B262" s="30" t="n"/>
      <c r="C262" s="30" t="inlineStr">
        <is>
          <t>AUMJ-NW-011</t>
        </is>
      </c>
      <c r="D262" s="30" t="inlineStr">
        <is>
          <t>Best Birthday Ever Bouquet in Mason Jar</t>
        </is>
      </c>
      <c r="E262" s="30" t="inlineStr">
        <is>
          <t>Mason Jar</t>
        </is>
      </c>
      <c r="F262" s="30" t="inlineStr">
        <is>
          <t>Current text vs recipe</t>
        </is>
      </c>
      <c r="G262" s="33" t="inlineStr">
        <is>
          <t>Pre-existing (live text)</t>
        </is>
      </c>
      <c r="H262" s="30" t="inlineStr">
        <is>
          <t>Current text: Wrong flower count: gerberas</t>
        </is>
      </c>
      <c r="I262" s="30" t="inlineStr">
        <is>
          <t>Says 9 gerberas — Classic recipe has 2.</t>
        </is>
      </c>
      <c r="J262" s="30" t="inlineStr">
        <is>
          <t>Current description vs recipe</t>
        </is>
      </c>
      <c r="K262" s="30" t="n"/>
    </row>
    <row r="263" ht="22.35" customHeight="1" s="24">
      <c r="A263" s="28" t="n"/>
      <c r="B263" s="30" t="n"/>
      <c r="C263" s="30" t="inlineStr">
        <is>
          <t>AUMJ-NW-018</t>
        </is>
      </c>
      <c r="D263" s="30" t="inlineStr">
        <is>
          <t>Summer Lovin’ Bouquet in Mason Jar</t>
        </is>
      </c>
      <c r="E263" s="30" t="inlineStr">
        <is>
          <t>Mason Jar</t>
        </is>
      </c>
      <c r="F263" s="30" t="inlineStr">
        <is>
          <t>Current text vs recipe</t>
        </is>
      </c>
      <c r="G263" s="33" t="inlineStr">
        <is>
          <t>Pre-existing (live text)</t>
        </is>
      </c>
      <c r="H263" s="30" t="inlineStr">
        <is>
          <t>Current text: Wrong flower count: gerberas</t>
        </is>
      </c>
      <c r="I263" s="30" t="inlineStr">
        <is>
          <t>Says 9 gerberas — Classic recipe has 2.</t>
        </is>
      </c>
      <c r="J263" s="30" t="inlineStr">
        <is>
          <t>Current description vs recipe</t>
        </is>
      </c>
      <c r="K263" s="30" t="n"/>
    </row>
    <row r="264" ht="15" customHeight="1" s="24">
      <c r="A264" s="28" t="n"/>
      <c r="B264" s="30" t="n"/>
      <c r="C264" s="30" t="inlineStr">
        <is>
          <t>AUMJ-NW-019</t>
        </is>
      </c>
      <c r="D264" s="30" t="inlineStr">
        <is>
          <t>Garden Party Bouquet in Mason Jar</t>
        </is>
      </c>
      <c r="E264" s="30" t="inlineStr">
        <is>
          <t>Mason Jar</t>
        </is>
      </c>
      <c r="F264" s="30" t="inlineStr">
        <is>
          <t>Current text vs recipe</t>
        </is>
      </c>
      <c r="G264" s="33" t="inlineStr">
        <is>
          <t>Pre-existing (live text)</t>
        </is>
      </c>
      <c r="H264" s="30" t="inlineStr">
        <is>
          <t>Current text: Wrong flower count: gerberas</t>
        </is>
      </c>
      <c r="I264" s="30" t="inlineStr">
        <is>
          <t>Says 17 gerberas — Classic recipe has 2.</t>
        </is>
      </c>
      <c r="J264" s="30" t="inlineStr">
        <is>
          <t>Current description vs recipe</t>
        </is>
      </c>
      <c r="K264" s="30" t="n"/>
    </row>
    <row r="265" ht="22.35" customHeight="1" s="24">
      <c r="A265" s="28" t="n"/>
      <c r="B265" s="30" t="n"/>
      <c r="C265" s="30" t="inlineStr">
        <is>
          <t>AUMJ-NW-027</t>
        </is>
      </c>
      <c r="D265" s="30" t="inlineStr">
        <is>
          <t>Beach Day Blooms Bouquet in Mason Jar</t>
        </is>
      </c>
      <c r="E265" s="30" t="inlineStr">
        <is>
          <t>Mason Jar</t>
        </is>
      </c>
      <c r="F265" s="30" t="inlineStr">
        <is>
          <t>Current text vs recipe</t>
        </is>
      </c>
      <c r="G265" s="33" t="inlineStr">
        <is>
          <t>Pre-existing (live text)</t>
        </is>
      </c>
      <c r="H265" s="30" t="inlineStr">
        <is>
          <t>Current text: Wrong flower count: gerberas</t>
        </is>
      </c>
      <c r="I265" s="30" t="inlineStr">
        <is>
          <t>Says 18 gerberas — Classic recipe has 2.</t>
        </is>
      </c>
      <c r="J265" s="30" t="inlineStr">
        <is>
          <t>Current description vs recipe</t>
        </is>
      </c>
      <c r="K265" s="30" t="n"/>
    </row>
    <row r="266" ht="22.35" customHeight="1" s="24">
      <c r="A266" s="28" t="n"/>
      <c r="B266" s="30" t="n"/>
      <c r="C266" s="30" t="inlineStr">
        <is>
          <t>AUMJ-NW-029</t>
        </is>
      </c>
      <c r="D266" s="30" t="inlineStr">
        <is>
          <t>The Sunday Market Bouquet in Mason Jar</t>
        </is>
      </c>
      <c r="E266" s="30" t="inlineStr">
        <is>
          <t>Mason Jar</t>
        </is>
      </c>
      <c r="F266" s="30" t="inlineStr">
        <is>
          <t>Current text vs recipe</t>
        </is>
      </c>
      <c r="G266" s="33" t="inlineStr">
        <is>
          <t>Pre-existing (live text)</t>
        </is>
      </c>
      <c r="H266" s="30" t="inlineStr">
        <is>
          <t>Current text: Wrong flower count: gerberas</t>
        </is>
      </c>
      <c r="I266" s="30" t="inlineStr">
        <is>
          <t>Says 19 gerberas — Classic recipe has 4.</t>
        </is>
      </c>
      <c r="J266" s="30" t="inlineStr">
        <is>
          <t>Current description vs recipe</t>
        </is>
      </c>
      <c r="K266" s="30" t="n"/>
    </row>
    <row r="267" ht="15" customHeight="1" s="24">
      <c r="A267" s="28" t="n"/>
      <c r="B267" s="30" t="n"/>
      <c r="C267" s="30" t="inlineStr">
        <is>
          <t>AUMJ-NW-030</t>
        </is>
      </c>
      <c r="D267" s="30" t="inlineStr">
        <is>
          <t>Cloud Nine Bouquet in Mason Jar</t>
        </is>
      </c>
      <c r="E267" s="30" t="inlineStr">
        <is>
          <t>Mason Jar</t>
        </is>
      </c>
      <c r="F267" s="30" t="inlineStr">
        <is>
          <t>Current text vs recipe</t>
        </is>
      </c>
      <c r="G267" s="33" t="inlineStr">
        <is>
          <t>Pre-existing (live text)</t>
        </is>
      </c>
      <c r="H267" s="30" t="inlineStr">
        <is>
          <t>Current text: Wrong flower count: gerberas</t>
        </is>
      </c>
      <c r="I267" s="30" t="inlineStr">
        <is>
          <t>Says 18 gerberas — Classic recipe has 2.</t>
        </is>
      </c>
      <c r="J267" s="30" t="inlineStr">
        <is>
          <t>Current description vs recipe</t>
        </is>
      </c>
      <c r="K267" s="30" t="n"/>
    </row>
    <row r="268" ht="15" customHeight="1" s="24">
      <c r="A268" s="28" t="n"/>
      <c r="B268" s="30" t="n"/>
      <c r="C268" s="30" t="inlineStr">
        <is>
          <t>AUSGRT-03</t>
        </is>
      </c>
      <c r="D268" s="30" t="inlineStr">
        <is>
          <t>Pink Pop Gerbera Trio</t>
        </is>
      </c>
      <c r="E268" s="30" t="inlineStr">
        <is>
          <t>Bouquets</t>
        </is>
      </c>
      <c r="F268" s="30" t="inlineStr">
        <is>
          <t>Current text vs recipe</t>
        </is>
      </c>
      <c r="G268" s="33" t="inlineStr">
        <is>
          <t>Pre-existing (live text)</t>
        </is>
      </c>
      <c r="H268" s="30" t="inlineStr">
        <is>
          <t>Current text: Wrong flower count: gerberas</t>
        </is>
      </c>
      <c r="I268" s="30" t="inlineStr">
        <is>
          <t>Says 17 gerberas — Classic recipe has 3.</t>
        </is>
      </c>
      <c r="J268" s="30" t="inlineStr">
        <is>
          <t>Current description vs recipe</t>
        </is>
      </c>
      <c r="K268" s="30" t="n"/>
    </row>
    <row r="269" ht="15" customHeight="1" s="24">
      <c r="A269" s="28" t="n"/>
      <c r="B269" s="30" t="n"/>
      <c r="C269" s="30" t="inlineStr">
        <is>
          <t>MJ100-10</t>
        </is>
      </c>
      <c r="D269" s="30" t="inlineStr">
        <is>
          <t>Sweet Summer In Mason Jar</t>
        </is>
      </c>
      <c r="E269" s="30" t="inlineStr">
        <is>
          <t>Mason Jar</t>
        </is>
      </c>
      <c r="F269" s="30" t="inlineStr">
        <is>
          <t>Current text vs recipe</t>
        </is>
      </c>
      <c r="G269" s="33" t="inlineStr">
        <is>
          <t>Pre-existing (live text)</t>
        </is>
      </c>
      <c r="H269" s="30" t="inlineStr">
        <is>
          <t>Current text: Wrong flower count: gerberas</t>
        </is>
      </c>
      <c r="I269" s="30" t="inlineStr">
        <is>
          <t>Says 9 gerberas — Classic recipe has 3.</t>
        </is>
      </c>
      <c r="J269" s="30" t="inlineStr">
        <is>
          <t>Current description vs recipe</t>
        </is>
      </c>
      <c r="K269" s="30" t="n"/>
    </row>
    <row r="270" ht="15" customHeight="1" s="24">
      <c r="A270" s="28" t="n"/>
      <c r="B270" s="30" t="n"/>
      <c r="C270" s="30" t="inlineStr">
        <is>
          <t>MJ22-10</t>
        </is>
      </c>
      <c r="D270" s="30" t="inlineStr">
        <is>
          <t>Shades of Pink in Mason Jar</t>
        </is>
      </c>
      <c r="E270" s="30" t="inlineStr">
        <is>
          <t>Mason Jar</t>
        </is>
      </c>
      <c r="F270" s="30" t="inlineStr">
        <is>
          <t>Current text vs recipe</t>
        </is>
      </c>
      <c r="G270" s="33" t="inlineStr">
        <is>
          <t>Pre-existing (live text)</t>
        </is>
      </c>
      <c r="H270" s="30" t="inlineStr">
        <is>
          <t>Current text: Wrong flower count: gerberas</t>
        </is>
      </c>
      <c r="I270" s="30" t="inlineStr">
        <is>
          <t>Says 11 gerberas — Classic recipe has 3.</t>
        </is>
      </c>
      <c r="J270" s="30" t="inlineStr">
        <is>
          <t>Current description vs recipe</t>
        </is>
      </c>
      <c r="K270" s="30" t="n"/>
    </row>
    <row r="271" ht="15" customHeight="1" s="24">
      <c r="A271" s="28" t="n"/>
      <c r="B271" s="30" t="n"/>
      <c r="C271" s="30" t="inlineStr">
        <is>
          <t>AL100-71AURP</t>
        </is>
      </c>
      <c r="D271" s="30" t="inlineStr">
        <is>
          <t>Full Heart</t>
        </is>
      </c>
      <c r="E271" s="30" t="inlineStr">
        <is>
          <t>Sympathy</t>
        </is>
      </c>
      <c r="F271" s="30" t="inlineStr">
        <is>
          <t>Current text vs recipe</t>
        </is>
      </c>
      <c r="G271" s="33" t="inlineStr">
        <is>
          <t>Pre-existing (live text)</t>
        </is>
      </c>
      <c r="H271" s="30" t="inlineStr">
        <is>
          <t>Current text: Wrong flower count: roses</t>
        </is>
      </c>
      <c r="I271" s="30" t="inlineStr">
        <is>
          <t>Says 72 roses — Classic recipe has 16.</t>
        </is>
      </c>
      <c r="J271" s="30" t="inlineStr">
        <is>
          <t>Current description vs recipe</t>
        </is>
      </c>
      <c r="K271" s="30" t="n"/>
    </row>
    <row r="272" ht="15" customHeight="1" s="24">
      <c r="A272" s="28" t="n"/>
      <c r="B272" s="30" t="n"/>
      <c r="C272" s="30" t="inlineStr">
        <is>
          <t>AL100-78AURP</t>
        </is>
      </c>
      <c r="D272" s="30" t="inlineStr">
        <is>
          <t>Rose Romanesque</t>
        </is>
      </c>
      <c r="E272" s="30" t="inlineStr">
        <is>
          <t>Sympathy</t>
        </is>
      </c>
      <c r="F272" s="30" t="inlineStr">
        <is>
          <t>Current text vs recipe</t>
        </is>
      </c>
      <c r="G272" s="33" t="inlineStr">
        <is>
          <t>Pre-existing (live text)</t>
        </is>
      </c>
      <c r="H272" s="30" t="inlineStr">
        <is>
          <t>Current text: Wrong flower count: roses</t>
        </is>
      </c>
      <c r="I272" s="30" t="inlineStr">
        <is>
          <t>Says 82 roses — Classic recipe has 18.</t>
        </is>
      </c>
      <c r="J272" s="30" t="inlineStr">
        <is>
          <t>Current description vs recipe</t>
        </is>
      </c>
      <c r="K272" s="30" t="n"/>
    </row>
    <row r="273" ht="15" customHeight="1" s="24">
      <c r="A273" s="28" t="n"/>
      <c r="B273" s="30" t="n"/>
      <c r="C273" s="30" t="inlineStr">
        <is>
          <t>AU0511-17</t>
        </is>
      </c>
      <c r="D273" s="30" t="inlineStr">
        <is>
          <t>Summer Blooms</t>
        </is>
      </c>
      <c r="E273" s="30" t="inlineStr">
        <is>
          <t>Bouquets</t>
        </is>
      </c>
      <c r="F273" s="30" t="inlineStr">
        <is>
          <t>Current text vs recipe</t>
        </is>
      </c>
      <c r="G273" s="33" t="inlineStr">
        <is>
          <t>Pre-existing (live text)</t>
        </is>
      </c>
      <c r="H273" s="30" t="inlineStr">
        <is>
          <t>Current text: Wrong flower count: roses</t>
        </is>
      </c>
      <c r="I273" s="30" t="inlineStr">
        <is>
          <t>Says 9 roses — Classic recipe has 2.</t>
        </is>
      </c>
      <c r="J273" s="30" t="inlineStr">
        <is>
          <t>Current description vs recipe</t>
        </is>
      </c>
      <c r="K273" s="30" t="n"/>
    </row>
    <row r="274" ht="15" customHeight="1" s="24">
      <c r="A274" s="28" t="n"/>
      <c r="B274" s="30" t="n"/>
      <c r="C274" s="30" t="inlineStr">
        <is>
          <t>AU100-582</t>
        </is>
      </c>
      <c r="D274" s="30" t="inlineStr">
        <is>
          <t>Rose Garden Heart</t>
        </is>
      </c>
      <c r="E274" s="30" t="inlineStr">
        <is>
          <t>Sympathy</t>
        </is>
      </c>
      <c r="F274" s="30" t="inlineStr">
        <is>
          <t>Current text vs recipe</t>
        </is>
      </c>
      <c r="G274" s="33" t="inlineStr">
        <is>
          <t>Pre-existing (live text)</t>
        </is>
      </c>
      <c r="H274" s="30" t="inlineStr">
        <is>
          <t>Current text: Wrong flower count: roses</t>
        </is>
      </c>
      <c r="I274" s="30" t="inlineStr">
        <is>
          <t>Says 77 roses — Classic recipe has 17.</t>
        </is>
      </c>
      <c r="J274" s="30" t="inlineStr">
        <is>
          <t>Current description vs recipe</t>
        </is>
      </c>
      <c r="K274" s="30" t="n"/>
    </row>
    <row r="275" ht="15" customHeight="1" s="24">
      <c r="A275" s="28" t="n"/>
      <c r="B275" s="30" t="n"/>
      <c r="C275" s="30" t="inlineStr">
        <is>
          <t>AU111-22</t>
        </is>
      </c>
      <c r="D275" s="30" t="inlineStr">
        <is>
          <t>Enchanted Cottage</t>
        </is>
      </c>
      <c r="E275" s="30" t="inlineStr">
        <is>
          <t>Bouquets</t>
        </is>
      </c>
      <c r="F275" s="30" t="inlineStr">
        <is>
          <t>Current text vs recipe</t>
        </is>
      </c>
      <c r="G275" s="33" t="inlineStr">
        <is>
          <t>Pre-existing (live text)</t>
        </is>
      </c>
      <c r="H275" s="30" t="inlineStr">
        <is>
          <t>Current text: Wrong flower count: roses</t>
        </is>
      </c>
      <c r="I275" s="30" t="inlineStr">
        <is>
          <t>Says 15 roses — Classic recipe has 3.</t>
        </is>
      </c>
      <c r="J275" s="30" t="inlineStr">
        <is>
          <t>Current description vs recipe</t>
        </is>
      </c>
      <c r="K275" s="30" t="n"/>
    </row>
    <row r="276" ht="15" customHeight="1" s="24">
      <c r="A276" s="28" t="n"/>
      <c r="B276" s="30" t="n"/>
      <c r="C276" s="30" t="inlineStr">
        <is>
          <t>AU111-48</t>
        </is>
      </c>
      <c r="D276" s="30" t="inlineStr">
        <is>
          <t>Rose Orchestra</t>
        </is>
      </c>
      <c r="E276" s="30" t="inlineStr">
        <is>
          <t>Bouquets</t>
        </is>
      </c>
      <c r="F276" s="30" t="inlineStr">
        <is>
          <t>Current text vs recipe</t>
        </is>
      </c>
      <c r="G276" s="33" t="inlineStr">
        <is>
          <t>Pre-existing (live text)</t>
        </is>
      </c>
      <c r="H276" s="30" t="inlineStr">
        <is>
          <t>Current text: Wrong flower count: roses</t>
        </is>
      </c>
      <c r="I276" s="30" t="inlineStr">
        <is>
          <t>Says 47 roses — Classic recipe has 11.</t>
        </is>
      </c>
      <c r="J276" s="30" t="inlineStr">
        <is>
          <t>Current description vs recipe</t>
        </is>
      </c>
      <c r="K276" s="30" t="n"/>
    </row>
    <row r="277" ht="15" customHeight="1" s="24">
      <c r="A277" s="28" t="n"/>
      <c r="B277" s="30" t="n"/>
      <c r="C277" s="30" t="inlineStr">
        <is>
          <t>AU111-57</t>
        </is>
      </c>
      <c r="D277" s="30" t="inlineStr">
        <is>
          <t>Fuchsia Bouquet</t>
        </is>
      </c>
      <c r="E277" s="30" t="inlineStr">
        <is>
          <t>Bouquets</t>
        </is>
      </c>
      <c r="F277" s="30" t="inlineStr">
        <is>
          <t>Current text vs recipe</t>
        </is>
      </c>
      <c r="G277" s="33" t="inlineStr">
        <is>
          <t>Pre-existing (live text)</t>
        </is>
      </c>
      <c r="H277" s="30" t="inlineStr">
        <is>
          <t>Current text: Wrong flower count: roses</t>
        </is>
      </c>
      <c r="I277" s="30" t="inlineStr">
        <is>
          <t>Says 34 roses — Classic recipe has 5.</t>
        </is>
      </c>
      <c r="J277" s="30" t="inlineStr">
        <is>
          <t>Current description vs recipe</t>
        </is>
      </c>
      <c r="K277" s="30" t="n"/>
    </row>
    <row r="278" ht="15" customHeight="1" s="24">
      <c r="A278" s="28" t="n"/>
      <c r="B278" s="30" t="n"/>
      <c r="C278" s="30" t="inlineStr">
        <is>
          <t>AU111-93</t>
        </is>
      </c>
      <c r="D278" s="30" t="inlineStr">
        <is>
          <t>Pink and Cream Bouquet</t>
        </is>
      </c>
      <c r="E278" s="30" t="inlineStr">
        <is>
          <t>Bouquets</t>
        </is>
      </c>
      <c r="F278" s="30" t="inlineStr">
        <is>
          <t>Current text vs recipe</t>
        </is>
      </c>
      <c r="G278" s="33" t="inlineStr">
        <is>
          <t>Pre-existing (live text)</t>
        </is>
      </c>
      <c r="H278" s="30" t="inlineStr">
        <is>
          <t>Current text: Wrong flower count: roses</t>
        </is>
      </c>
      <c r="I278" s="30" t="inlineStr">
        <is>
          <t>Says 37 roses — Classic recipe has 8.</t>
        </is>
      </c>
      <c r="J278" s="30" t="inlineStr">
        <is>
          <t>Current description vs recipe</t>
        </is>
      </c>
      <c r="K278" s="30" t="n"/>
    </row>
    <row r="279" ht="15" customHeight="1" s="24">
      <c r="A279" s="28" t="n"/>
      <c r="B279" s="30" t="n"/>
      <c r="C279" s="30" t="inlineStr">
        <is>
          <t>AU112-18</t>
        </is>
      </c>
      <c r="D279" s="30" t="inlineStr">
        <is>
          <t>Forever Beloved</t>
        </is>
      </c>
      <c r="E279" s="30" t="inlineStr">
        <is>
          <t>Bouquets</t>
        </is>
      </c>
      <c r="F279" s="30" t="inlineStr">
        <is>
          <t>Current text vs recipe</t>
        </is>
      </c>
      <c r="G279" s="33" t="inlineStr">
        <is>
          <t>Pre-existing (live text)</t>
        </is>
      </c>
      <c r="H279" s="30" t="inlineStr">
        <is>
          <t>Current text: Wrong flower count: roses</t>
        </is>
      </c>
      <c r="I279" s="30" t="inlineStr">
        <is>
          <t>Says 87 roses — Classic recipe has 25.</t>
        </is>
      </c>
      <c r="J279" s="30" t="inlineStr">
        <is>
          <t>Current description vs recipe</t>
        </is>
      </c>
      <c r="K279" s="30" t="n"/>
    </row>
    <row r="280" ht="15" customHeight="1" s="24">
      <c r="A280" s="28" t="n"/>
      <c r="B280" s="30" t="n"/>
      <c r="C280" s="30" t="inlineStr">
        <is>
          <t>AU112-22</t>
        </is>
      </c>
      <c r="D280" s="30" t="inlineStr">
        <is>
          <t>Romantic Getaway</t>
        </is>
      </c>
      <c r="E280" s="30" t="inlineStr">
        <is>
          <t>Bouquets</t>
        </is>
      </c>
      <c r="F280" s="30" t="inlineStr">
        <is>
          <t>Current text vs recipe</t>
        </is>
      </c>
      <c r="G280" s="33" t="inlineStr">
        <is>
          <t>Pre-existing (live text)</t>
        </is>
      </c>
      <c r="H280" s="30" t="inlineStr">
        <is>
          <t>Current text: Wrong flower count: roses</t>
        </is>
      </c>
      <c r="I280" s="30" t="inlineStr">
        <is>
          <t>Says 20 roses — Classic recipe has 4.</t>
        </is>
      </c>
      <c r="J280" s="30" t="inlineStr">
        <is>
          <t>Current description vs recipe</t>
        </is>
      </c>
      <c r="K280" s="30" t="n"/>
    </row>
    <row r="281" ht="15" customHeight="1" s="24">
      <c r="A281" s="28" t="n"/>
      <c r="B281" s="30" t="n"/>
      <c r="C281" s="30" t="inlineStr">
        <is>
          <t>AU112-37</t>
        </is>
      </c>
      <c r="D281" s="30" t="inlineStr">
        <is>
          <t>Rose Tribute</t>
        </is>
      </c>
      <c r="E281" s="30" t="inlineStr">
        <is>
          <t>Sympathy</t>
        </is>
      </c>
      <c r="F281" s="30" t="inlineStr">
        <is>
          <t>Current text vs recipe</t>
        </is>
      </c>
      <c r="G281" s="33" t="inlineStr">
        <is>
          <t>Pre-existing (live text)</t>
        </is>
      </c>
      <c r="H281" s="30" t="inlineStr">
        <is>
          <t>Current text: Wrong flower count: roses</t>
        </is>
      </c>
      <c r="I281" s="30" t="inlineStr">
        <is>
          <t>Says 84 roses — Classic recipe has 24.</t>
        </is>
      </c>
      <c r="J281" s="30" t="inlineStr">
        <is>
          <t>Current description vs recipe</t>
        </is>
      </c>
      <c r="K281" s="30" t="n"/>
    </row>
    <row r="282" ht="15" customHeight="1" s="24">
      <c r="A282" s="28" t="n"/>
      <c r="B282" s="30" t="n"/>
      <c r="C282" s="30" t="inlineStr">
        <is>
          <t>AU112-56</t>
        </is>
      </c>
      <c r="D282" s="30" t="inlineStr">
        <is>
          <t>Rose Impression</t>
        </is>
      </c>
      <c r="E282" s="30" t="inlineStr">
        <is>
          <t>Sympathy</t>
        </is>
      </c>
      <c r="F282" s="30" t="inlineStr">
        <is>
          <t>Current text vs recipe</t>
        </is>
      </c>
      <c r="G282" s="33" t="inlineStr">
        <is>
          <t>Pre-existing (live text)</t>
        </is>
      </c>
      <c r="H282" s="30" t="inlineStr">
        <is>
          <t>Current text: Wrong flower count: roses</t>
        </is>
      </c>
      <c r="I282" s="30" t="inlineStr">
        <is>
          <t>Says 68 roses — Classic recipe has 15.</t>
        </is>
      </c>
      <c r="J282" s="30" t="inlineStr">
        <is>
          <t>Current description vs recipe</t>
        </is>
      </c>
      <c r="K282" s="30" t="n"/>
    </row>
    <row r="283" ht="15" customHeight="1" s="24">
      <c r="A283" s="28" t="n"/>
      <c r="B283" s="30" t="n"/>
      <c r="C283" s="30" t="inlineStr">
        <is>
          <t>AU112-73</t>
        </is>
      </c>
      <c r="D283" s="30" t="inlineStr">
        <is>
          <t>Celestial Love</t>
        </is>
      </c>
      <c r="E283" s="30" t="inlineStr">
        <is>
          <t>Sympathy</t>
        </is>
      </c>
      <c r="F283" s="30" t="inlineStr">
        <is>
          <t>Current text vs recipe</t>
        </is>
      </c>
      <c r="G283" s="33" t="inlineStr">
        <is>
          <t>Pre-existing (live text)</t>
        </is>
      </c>
      <c r="H283" s="30" t="inlineStr">
        <is>
          <t>Current text: Wrong flower count: roses</t>
        </is>
      </c>
      <c r="I283" s="30" t="inlineStr">
        <is>
          <t>Says 27 roses — Classic recipe has 6.</t>
        </is>
      </c>
      <c r="J283" s="30" t="inlineStr">
        <is>
          <t>Current description vs recipe</t>
        </is>
      </c>
      <c r="K283" s="30" t="n"/>
    </row>
    <row r="284" ht="15" customHeight="1" s="24">
      <c r="A284" s="28" t="n"/>
      <c r="B284" s="30" t="n"/>
      <c r="C284" s="30" t="inlineStr">
        <is>
          <t>AU116-10</t>
        </is>
      </c>
      <c r="D284" s="30" t="inlineStr">
        <is>
          <t>Sublime Sentiments</t>
        </is>
      </c>
      <c r="E284" s="30" t="inlineStr">
        <is>
          <t>Sympathy</t>
        </is>
      </c>
      <c r="F284" s="30" t="inlineStr">
        <is>
          <t>Current text vs recipe</t>
        </is>
      </c>
      <c r="G284" s="33" t="inlineStr">
        <is>
          <t>Pre-existing (live text)</t>
        </is>
      </c>
      <c r="H284" s="30" t="inlineStr">
        <is>
          <t>Current text: Wrong flower count: roses</t>
        </is>
      </c>
      <c r="I284" s="30" t="inlineStr">
        <is>
          <t>Says 31 roses — Classic recipe has 7.</t>
        </is>
      </c>
      <c r="J284" s="30" t="inlineStr">
        <is>
          <t>Current description vs recipe</t>
        </is>
      </c>
      <c r="K284" s="30" t="n"/>
    </row>
    <row r="285" ht="15" customHeight="1" s="24">
      <c r="A285" s="28" t="n"/>
      <c r="B285" s="30" t="n"/>
      <c r="C285" s="30" t="inlineStr">
        <is>
          <t>AU200-60</t>
        </is>
      </c>
      <c r="D285" s="30" t="inlineStr">
        <is>
          <t>Fresh &amp; Fragrant</t>
        </is>
      </c>
      <c r="E285" s="30" t="inlineStr">
        <is>
          <t>Bouquets</t>
        </is>
      </c>
      <c r="F285" s="30" t="inlineStr">
        <is>
          <t>Current text vs recipe</t>
        </is>
      </c>
      <c r="G285" s="33" t="inlineStr">
        <is>
          <t>Pre-existing (live text)</t>
        </is>
      </c>
      <c r="H285" s="30" t="inlineStr">
        <is>
          <t>Current text: Wrong flower count: roses</t>
        </is>
      </c>
      <c r="I285" s="30" t="inlineStr">
        <is>
          <t>Says 9 roses — Classic recipe has 2.</t>
        </is>
      </c>
      <c r="J285" s="30" t="inlineStr">
        <is>
          <t>Current description vs recipe</t>
        </is>
      </c>
      <c r="K285" s="30" t="n"/>
    </row>
    <row r="286" ht="15" customHeight="1" s="24">
      <c r="A286" s="28" t="n"/>
      <c r="B286" s="30" t="n"/>
      <c r="C286" s="30" t="inlineStr">
        <is>
          <t>AU200-61</t>
        </is>
      </c>
      <c r="D286" s="30" t="inlineStr">
        <is>
          <t>Country Roads</t>
        </is>
      </c>
      <c r="E286" s="30" t="inlineStr">
        <is>
          <t>Bouquets</t>
        </is>
      </c>
      <c r="F286" s="30" t="inlineStr">
        <is>
          <t>Current text vs recipe</t>
        </is>
      </c>
      <c r="G286" s="33" t="inlineStr">
        <is>
          <t>Pre-existing (live text)</t>
        </is>
      </c>
      <c r="H286" s="30" t="inlineStr">
        <is>
          <t>Current text: Wrong flower count: roses</t>
        </is>
      </c>
      <c r="I286" s="30" t="inlineStr">
        <is>
          <t>Says 14 roses — Classic recipe has 3.</t>
        </is>
      </c>
      <c r="J286" s="30" t="inlineStr">
        <is>
          <t>Current description vs recipe</t>
        </is>
      </c>
      <c r="K286" s="30" t="n"/>
    </row>
    <row r="287" ht="15" customHeight="1" s="24">
      <c r="A287" s="28" t="n"/>
      <c r="B287" s="30" t="n"/>
      <c r="C287" s="30" t="inlineStr">
        <is>
          <t>AU216-63</t>
        </is>
      </c>
      <c r="D287" s="30" t="inlineStr">
        <is>
          <t>Colourful Inspiration</t>
        </is>
      </c>
      <c r="E287" s="30" t="inlineStr">
        <is>
          <t>Bouquets</t>
        </is>
      </c>
      <c r="F287" s="30" t="inlineStr">
        <is>
          <t>Current text vs recipe</t>
        </is>
      </c>
      <c r="G287" s="33" t="inlineStr">
        <is>
          <t>Pre-existing (live text)</t>
        </is>
      </c>
      <c r="H287" s="30" t="inlineStr">
        <is>
          <t>Current text: Wrong flower count: roses</t>
        </is>
      </c>
      <c r="I287" s="30" t="inlineStr">
        <is>
          <t>Says 15 roses — Classic recipe has 3.</t>
        </is>
      </c>
      <c r="J287" s="30" t="inlineStr">
        <is>
          <t>Current description vs recipe</t>
        </is>
      </c>
      <c r="K287" s="30" t="n"/>
    </row>
    <row r="288" ht="15" customHeight="1" s="24">
      <c r="A288" s="28" t="n"/>
      <c r="B288" s="30" t="n"/>
      <c r="C288" s="30" t="inlineStr">
        <is>
          <t>AU222-09</t>
        </is>
      </c>
      <c r="D288" s="30" t="inlineStr">
        <is>
          <t>Autumn Garden</t>
        </is>
      </c>
      <c r="E288" s="30" t="inlineStr">
        <is>
          <t>Bouquets</t>
        </is>
      </c>
      <c r="F288" s="30" t="inlineStr">
        <is>
          <t>Current text vs recipe</t>
        </is>
      </c>
      <c r="G288" s="33" t="inlineStr">
        <is>
          <t>Pre-existing (live text)</t>
        </is>
      </c>
      <c r="H288" s="30" t="inlineStr">
        <is>
          <t>Current text: Wrong flower count: roses</t>
        </is>
      </c>
      <c r="I288" s="30" t="inlineStr">
        <is>
          <t>Says 21 roses — Classic recipe has 5.</t>
        </is>
      </c>
      <c r="J288" s="30" t="inlineStr">
        <is>
          <t>Current description vs recipe</t>
        </is>
      </c>
      <c r="K288" s="30" t="n"/>
    </row>
    <row r="289" ht="15" customHeight="1" s="24">
      <c r="A289" s="28" t="n"/>
      <c r="B289" s="30" t="n"/>
      <c r="C289" s="30" t="inlineStr">
        <is>
          <t>AU222-19</t>
        </is>
      </c>
      <c r="D289" s="30" t="inlineStr">
        <is>
          <t>Ravishing Radiance</t>
        </is>
      </c>
      <c r="E289" s="30" t="inlineStr">
        <is>
          <t>Bouquets</t>
        </is>
      </c>
      <c r="F289" s="30" t="inlineStr">
        <is>
          <t>Current text vs recipe</t>
        </is>
      </c>
      <c r="G289" s="33" t="inlineStr">
        <is>
          <t>Pre-existing (live text)</t>
        </is>
      </c>
      <c r="H289" s="30" t="inlineStr">
        <is>
          <t>Current text: Wrong flower count: roses</t>
        </is>
      </c>
      <c r="I289" s="30" t="inlineStr">
        <is>
          <t>Says 12 roses — Classic recipe has 3.</t>
        </is>
      </c>
      <c r="J289" s="30" t="inlineStr">
        <is>
          <t>Current description vs recipe</t>
        </is>
      </c>
      <c r="K289" s="30" t="n"/>
    </row>
    <row r="290" ht="15" customHeight="1" s="24">
      <c r="A290" s="28" t="n"/>
      <c r="B290" s="30" t="n"/>
      <c r="C290" s="30" t="inlineStr">
        <is>
          <t>AU31-31</t>
        </is>
      </c>
      <c r="D290" s="30" t="inlineStr">
        <is>
          <t>Crimson Kiss</t>
        </is>
      </c>
      <c r="E290" s="30" t="inlineStr">
        <is>
          <t>Bouquets</t>
        </is>
      </c>
      <c r="F290" s="30" t="inlineStr">
        <is>
          <t>Current text vs recipe</t>
        </is>
      </c>
      <c r="G290" s="33" t="inlineStr">
        <is>
          <t>Pre-existing (live text)</t>
        </is>
      </c>
      <c r="H290" s="30" t="inlineStr">
        <is>
          <t>Current text: Wrong flower count: roses</t>
        </is>
      </c>
      <c r="I290" s="30" t="inlineStr">
        <is>
          <t>Says 7 roses — Classic recipe has 1.</t>
        </is>
      </c>
      <c r="J290" s="30" t="inlineStr">
        <is>
          <t>Current description vs recipe</t>
        </is>
      </c>
      <c r="K290" s="30" t="n"/>
    </row>
    <row r="291" ht="15" customHeight="1" s="24">
      <c r="A291" s="28" t="n"/>
      <c r="B291" s="30" t="n"/>
      <c r="C291" s="30" t="inlineStr">
        <is>
          <t>AU80-06</t>
        </is>
      </c>
      <c r="D291" s="30" t="inlineStr">
        <is>
          <t>Classic Elegance</t>
        </is>
      </c>
      <c r="E291" s="30" t="inlineStr">
        <is>
          <t>Bouquets</t>
        </is>
      </c>
      <c r="F291" s="30" t="inlineStr">
        <is>
          <t>Current text vs recipe</t>
        </is>
      </c>
      <c r="G291" s="33" t="inlineStr">
        <is>
          <t>Pre-existing (live text)</t>
        </is>
      </c>
      <c r="H291" s="30" t="inlineStr">
        <is>
          <t>Current text: Wrong flower count: roses</t>
        </is>
      </c>
      <c r="I291" s="30" t="inlineStr">
        <is>
          <t>Says 18 roses — Classic recipe has 4.</t>
        </is>
      </c>
      <c r="J291" s="30" t="inlineStr">
        <is>
          <t>Current description vs recipe</t>
        </is>
      </c>
      <c r="K291" s="30" t="n"/>
    </row>
    <row r="292" ht="15" customHeight="1" s="24">
      <c r="A292" s="28" t="n"/>
      <c r="B292" s="30" t="n"/>
      <c r="C292" s="30" t="inlineStr">
        <is>
          <t>AU81-81</t>
        </is>
      </c>
      <c r="D292" s="30" t="inlineStr">
        <is>
          <t>Always and Forever</t>
        </is>
      </c>
      <c r="E292" s="30" t="inlineStr">
        <is>
          <t>Bouquets</t>
        </is>
      </c>
      <c r="F292" s="30" t="inlineStr">
        <is>
          <t>Current text vs recipe</t>
        </is>
      </c>
      <c r="G292" s="33" t="inlineStr">
        <is>
          <t>Pre-existing (live text)</t>
        </is>
      </c>
      <c r="H292" s="30" t="inlineStr">
        <is>
          <t>Current text: Wrong flower count: roses</t>
        </is>
      </c>
      <c r="I292" s="30" t="inlineStr">
        <is>
          <t>Says 40 roses — Classic recipe has 9.</t>
        </is>
      </c>
      <c r="J292" s="30" t="inlineStr">
        <is>
          <t>Current description vs recipe</t>
        </is>
      </c>
      <c r="K292" s="30" t="n"/>
    </row>
    <row r="293" ht="22.35" customHeight="1" s="24">
      <c r="A293" s="28" t="n"/>
      <c r="B293" s="30" t="n"/>
      <c r="C293" s="30" t="inlineStr">
        <is>
          <t>AUDC-04</t>
        </is>
      </c>
      <c r="D293" s="30" t="inlineStr">
        <is>
          <t>Designer Collection IV</t>
        </is>
      </c>
      <c r="E293" s="30" t="inlineStr">
        <is>
          <t>Designer Collection</t>
        </is>
      </c>
      <c r="F293" s="30" t="inlineStr">
        <is>
          <t>Current text vs recipe</t>
        </is>
      </c>
      <c r="G293" s="33" t="inlineStr">
        <is>
          <t>Pre-existing (live text)</t>
        </is>
      </c>
      <c r="H293" s="30" t="inlineStr">
        <is>
          <t>Current text: Wrong flower count: roses</t>
        </is>
      </c>
      <c r="I293" s="30" t="inlineStr">
        <is>
          <t>Says 41 roses — Classic recipe has 9.</t>
        </is>
      </c>
      <c r="J293" s="30" t="inlineStr">
        <is>
          <t>Current description vs recipe</t>
        </is>
      </c>
      <c r="K293" s="30" t="n"/>
    </row>
    <row r="294" ht="22.35" customHeight="1" s="24">
      <c r="A294" s="28" t="n"/>
      <c r="B294" s="30" t="n"/>
      <c r="C294" s="30" t="inlineStr">
        <is>
          <t>AUDC-04A</t>
        </is>
      </c>
      <c r="D294" s="30" t="inlineStr">
        <is>
          <t>Designer Collection Anniversary IV</t>
        </is>
      </c>
      <c r="E294" s="30" t="inlineStr">
        <is>
          <t>Designer Collection</t>
        </is>
      </c>
      <c r="F294" s="30" t="inlineStr">
        <is>
          <t>Current text vs recipe</t>
        </is>
      </c>
      <c r="G294" s="33" t="inlineStr">
        <is>
          <t>Pre-existing (live text)</t>
        </is>
      </c>
      <c r="H294" s="30" t="inlineStr">
        <is>
          <t>Current text: Wrong flower count: roses</t>
        </is>
      </c>
      <c r="I294" s="30" t="inlineStr">
        <is>
          <t>Says 41 roses — Classic recipe has 9.</t>
        </is>
      </c>
      <c r="J294" s="30" t="inlineStr">
        <is>
          <t>Current description vs recipe</t>
        </is>
      </c>
      <c r="K294" s="30" t="n"/>
    </row>
    <row r="295" ht="15" customHeight="1" s="24">
      <c r="A295" s="28" t="n"/>
      <c r="B295" s="30" t="n"/>
      <c r="C295" s="30" t="inlineStr">
        <is>
          <t>AUGF10-29</t>
        </is>
      </c>
      <c r="D295" s="30" t="inlineStr">
        <is>
          <t>Golden Romance</t>
        </is>
      </c>
      <c r="E295" s="30" t="inlineStr">
        <is>
          <t>Bouquets</t>
        </is>
      </c>
      <c r="F295" s="30" t="inlineStr">
        <is>
          <t>Current text vs recipe</t>
        </is>
      </c>
      <c r="G295" s="33" t="inlineStr">
        <is>
          <t>Pre-existing (live text)</t>
        </is>
      </c>
      <c r="H295" s="30" t="inlineStr">
        <is>
          <t>Current text: Wrong flower count: roses</t>
        </is>
      </c>
      <c r="I295" s="30" t="inlineStr">
        <is>
          <t>Says 24 roses — Classic recipe has 5.</t>
        </is>
      </c>
      <c r="J295" s="30" t="inlineStr">
        <is>
          <t>Current description vs recipe</t>
        </is>
      </c>
      <c r="K295" s="30" t="n"/>
    </row>
    <row r="296" ht="15" customHeight="1" s="24">
      <c r="A296" s="28" t="n"/>
      <c r="B296" s="30" t="n"/>
      <c r="C296" s="30" t="inlineStr">
        <is>
          <t>AUGF16-60</t>
        </is>
      </c>
      <c r="D296" s="30" t="inlineStr">
        <is>
          <t>Sunshine Bliss</t>
        </is>
      </c>
      <c r="E296" s="30" t="inlineStr">
        <is>
          <t>Bouquets</t>
        </is>
      </c>
      <c r="F296" s="30" t="inlineStr">
        <is>
          <t>Current text vs recipe</t>
        </is>
      </c>
      <c r="G296" s="33" t="inlineStr">
        <is>
          <t>Pre-existing (live text)</t>
        </is>
      </c>
      <c r="H296" s="30" t="inlineStr">
        <is>
          <t>Current text: Wrong flower count: roses</t>
        </is>
      </c>
      <c r="I296" s="30" t="inlineStr">
        <is>
          <t>Says 23 roses — Classic recipe has 5.</t>
        </is>
      </c>
      <c r="J296" s="30" t="inlineStr">
        <is>
          <t>Current description vs recipe</t>
        </is>
      </c>
      <c r="K296" s="30" t="n"/>
    </row>
    <row r="297" ht="15" customHeight="1" s="24">
      <c r="A297" s="28" t="n"/>
      <c r="B297" s="30" t="n"/>
      <c r="C297" s="30" t="inlineStr">
        <is>
          <t>AUGF16-82</t>
        </is>
      </c>
      <c r="D297" s="30" t="inlineStr">
        <is>
          <t>Just Because</t>
        </is>
      </c>
      <c r="E297" s="30" t="inlineStr">
        <is>
          <t>Bouquets</t>
        </is>
      </c>
      <c r="F297" s="30" t="inlineStr">
        <is>
          <t>Current text vs recipe</t>
        </is>
      </c>
      <c r="G297" s="33" t="inlineStr">
        <is>
          <t>Pre-existing (live text)</t>
        </is>
      </c>
      <c r="H297" s="30" t="inlineStr">
        <is>
          <t>Current text: Wrong flower count: roses</t>
        </is>
      </c>
      <c r="I297" s="30" t="inlineStr">
        <is>
          <t>Says 24 roses — Classic recipe has 5.</t>
        </is>
      </c>
      <c r="J297" s="30" t="inlineStr">
        <is>
          <t>Current description vs recipe</t>
        </is>
      </c>
      <c r="K297" s="30" t="n"/>
    </row>
    <row r="298" ht="15" customHeight="1" s="24">
      <c r="A298" s="28" t="n"/>
      <c r="B298" s="30" t="n"/>
      <c r="C298" s="30" t="inlineStr">
        <is>
          <t>AUHS-03</t>
        </is>
      </c>
      <c r="D298" s="30" t="inlineStr">
        <is>
          <t>Blooming Heart Roses</t>
        </is>
      </c>
      <c r="E298" s="30" t="inlineStr">
        <is>
          <t>Bouquets</t>
        </is>
      </c>
      <c r="F298" s="30" t="inlineStr">
        <is>
          <t>Current text vs recipe</t>
        </is>
      </c>
      <c r="G298" s="33" t="inlineStr">
        <is>
          <t>Pre-existing (live text)</t>
        </is>
      </c>
      <c r="H298" s="30" t="inlineStr">
        <is>
          <t>Current text: Wrong flower count: roses</t>
        </is>
      </c>
      <c r="I298" s="30" t="inlineStr">
        <is>
          <t>Says 54 roses — Classic recipe has 12.</t>
        </is>
      </c>
      <c r="J298" s="30" t="inlineStr">
        <is>
          <t>Current description vs recipe</t>
        </is>
      </c>
      <c r="K298" s="30" t="n"/>
    </row>
    <row r="299" ht="15" customHeight="1" s="24">
      <c r="A299" s="28" t="n"/>
      <c r="B299" s="30" t="n"/>
      <c r="C299" s="30" t="inlineStr">
        <is>
          <t>AUMJ-NW-001</t>
        </is>
      </c>
      <c r="D299" s="30" t="inlineStr">
        <is>
          <t>Purple Rain Bouquet in Mason Jar</t>
        </is>
      </c>
      <c r="E299" s="30" t="inlineStr">
        <is>
          <t>Mason Jar</t>
        </is>
      </c>
      <c r="F299" s="30" t="inlineStr">
        <is>
          <t>Current text vs recipe</t>
        </is>
      </c>
      <c r="G299" s="33" t="inlineStr">
        <is>
          <t>Pre-existing (live text)</t>
        </is>
      </c>
      <c r="H299" s="30" t="inlineStr">
        <is>
          <t>Current text: Wrong flower count: roses</t>
        </is>
      </c>
      <c r="I299" s="30" t="inlineStr">
        <is>
          <t>Says 23 roses — Classic recipe has 3.</t>
        </is>
      </c>
      <c r="J299" s="30" t="inlineStr">
        <is>
          <t>Current description vs recipe</t>
        </is>
      </c>
      <c r="K299" s="30" t="n"/>
    </row>
    <row r="300" ht="22.35" customHeight="1" s="24">
      <c r="A300" s="28" t="n"/>
      <c r="B300" s="30" t="n"/>
      <c r="C300" s="30" t="inlineStr">
        <is>
          <t>AUMJ-NW-004</t>
        </is>
      </c>
      <c r="D300" s="30" t="inlineStr">
        <is>
          <t>Sending Solace Bouquet in Mason Jar</t>
        </is>
      </c>
      <c r="E300" s="30" t="inlineStr">
        <is>
          <t>Mason Jar</t>
        </is>
      </c>
      <c r="F300" s="30" t="inlineStr">
        <is>
          <t>Current text vs recipe</t>
        </is>
      </c>
      <c r="G300" s="33" t="inlineStr">
        <is>
          <t>Pre-existing (live text)</t>
        </is>
      </c>
      <c r="H300" s="30" t="inlineStr">
        <is>
          <t>Current text: Wrong flower count: roses</t>
        </is>
      </c>
      <c r="I300" s="30" t="inlineStr">
        <is>
          <t>Says 18 roses — Classic recipe has 4.</t>
        </is>
      </c>
      <c r="J300" s="30" t="inlineStr">
        <is>
          <t>Current description vs recipe</t>
        </is>
      </c>
      <c r="K300" s="30" t="n"/>
    </row>
    <row r="301" ht="22.35" customHeight="1" s="24">
      <c r="A301" s="28" t="n"/>
      <c r="B301" s="30" t="n"/>
      <c r="C301" s="30" t="inlineStr">
        <is>
          <t>AUMJ-NW-011</t>
        </is>
      </c>
      <c r="D301" s="30" t="inlineStr">
        <is>
          <t>Best Birthday Ever Bouquet in Mason Jar</t>
        </is>
      </c>
      <c r="E301" s="30" t="inlineStr">
        <is>
          <t>Mason Jar</t>
        </is>
      </c>
      <c r="F301" s="30" t="inlineStr">
        <is>
          <t>Current text vs recipe</t>
        </is>
      </c>
      <c r="G301" s="33" t="inlineStr">
        <is>
          <t>Pre-existing (live text)</t>
        </is>
      </c>
      <c r="H301" s="30" t="inlineStr">
        <is>
          <t>Current text: Wrong flower count: roses</t>
        </is>
      </c>
      <c r="I301" s="30" t="inlineStr">
        <is>
          <t>Says 14 roses — Classic recipe has 3.</t>
        </is>
      </c>
      <c r="J301" s="30" t="inlineStr">
        <is>
          <t>Current description vs recipe</t>
        </is>
      </c>
      <c r="K301" s="30" t="n"/>
    </row>
    <row r="302" ht="22.35" customHeight="1" s="24">
      <c r="A302" s="28" t="n"/>
      <c r="B302" s="30" t="n"/>
      <c r="C302" s="30" t="inlineStr">
        <is>
          <t>AUMJ-NW-018</t>
        </is>
      </c>
      <c r="D302" s="30" t="inlineStr">
        <is>
          <t>Summer Lovin’ Bouquet in Mason Jar</t>
        </is>
      </c>
      <c r="E302" s="30" t="inlineStr">
        <is>
          <t>Mason Jar</t>
        </is>
      </c>
      <c r="F302" s="30" t="inlineStr">
        <is>
          <t>Current text vs recipe</t>
        </is>
      </c>
      <c r="G302" s="33" t="inlineStr">
        <is>
          <t>Pre-existing (live text)</t>
        </is>
      </c>
      <c r="H302" s="30" t="inlineStr">
        <is>
          <t>Current text: Wrong flower count: roses</t>
        </is>
      </c>
      <c r="I302" s="30" t="inlineStr">
        <is>
          <t>Says 13 roses — Classic recipe has 2.</t>
        </is>
      </c>
      <c r="J302" s="30" t="inlineStr">
        <is>
          <t>Current description vs recipe</t>
        </is>
      </c>
      <c r="K302" s="30" t="n"/>
    </row>
    <row r="303" ht="15" customHeight="1" s="24">
      <c r="A303" s="28" t="n"/>
      <c r="B303" s="30" t="n"/>
      <c r="C303" s="30" t="inlineStr">
        <is>
          <t>AUMJ-NW-019</t>
        </is>
      </c>
      <c r="D303" s="30" t="inlineStr">
        <is>
          <t>Garden Party Bouquet in Mason Jar</t>
        </is>
      </c>
      <c r="E303" s="30" t="inlineStr">
        <is>
          <t>Mason Jar</t>
        </is>
      </c>
      <c r="F303" s="30" t="inlineStr">
        <is>
          <t>Current text vs recipe</t>
        </is>
      </c>
      <c r="G303" s="33" t="inlineStr">
        <is>
          <t>Pre-existing (live text)</t>
        </is>
      </c>
      <c r="H303" s="30" t="inlineStr">
        <is>
          <t>Current text: Wrong flower count: roses</t>
        </is>
      </c>
      <c r="I303" s="30" t="inlineStr">
        <is>
          <t>Says 12 roses — Classic recipe has 2.</t>
        </is>
      </c>
      <c r="J303" s="30" t="inlineStr">
        <is>
          <t>Current description vs recipe</t>
        </is>
      </c>
      <c r="K303" s="30" t="n"/>
    </row>
    <row r="304" ht="15" customHeight="1" s="24">
      <c r="A304" s="28" t="n"/>
      <c r="B304" s="30" t="n"/>
      <c r="C304" s="30" t="inlineStr">
        <is>
          <t>AUMJ-NW-020</t>
        </is>
      </c>
      <c r="D304" s="30" t="inlineStr">
        <is>
          <t>Spring Fling Bouquet in Mason Jar</t>
        </is>
      </c>
      <c r="E304" s="30" t="inlineStr">
        <is>
          <t>Mason Jar</t>
        </is>
      </c>
      <c r="F304" s="30" t="inlineStr">
        <is>
          <t>Current text vs recipe</t>
        </is>
      </c>
      <c r="G304" s="33" t="inlineStr">
        <is>
          <t>Pre-existing (live text)</t>
        </is>
      </c>
      <c r="H304" s="30" t="inlineStr">
        <is>
          <t>Current text: Wrong flower count: roses</t>
        </is>
      </c>
      <c r="I304" s="30" t="inlineStr">
        <is>
          <t>Says 22 roses — Classic recipe has 4.</t>
        </is>
      </c>
      <c r="J304" s="30" t="inlineStr">
        <is>
          <t>Current description vs recipe</t>
        </is>
      </c>
      <c r="K304" s="30" t="n"/>
    </row>
    <row r="305" ht="22.35" customHeight="1" s="24">
      <c r="A305" s="28" t="n"/>
      <c r="B305" s="30" t="n"/>
      <c r="C305" s="30" t="inlineStr">
        <is>
          <t>AUMJ-NW-027</t>
        </is>
      </c>
      <c r="D305" s="30" t="inlineStr">
        <is>
          <t>Beach Day Blooms Bouquet in Mason Jar</t>
        </is>
      </c>
      <c r="E305" s="30" t="inlineStr">
        <is>
          <t>Mason Jar</t>
        </is>
      </c>
      <c r="F305" s="30" t="inlineStr">
        <is>
          <t>Current text vs recipe</t>
        </is>
      </c>
      <c r="G305" s="33" t="inlineStr">
        <is>
          <t>Pre-existing (live text)</t>
        </is>
      </c>
      <c r="H305" s="30" t="inlineStr">
        <is>
          <t>Current text: Wrong flower count: roses</t>
        </is>
      </c>
      <c r="I305" s="30" t="inlineStr">
        <is>
          <t>Says 31 roses — Classic recipe has 3.</t>
        </is>
      </c>
      <c r="J305" s="30" t="inlineStr">
        <is>
          <t>Current description vs recipe</t>
        </is>
      </c>
      <c r="K305" s="30" t="n"/>
    </row>
    <row r="306" ht="22.35" customHeight="1" s="24">
      <c r="A306" s="28" t="n"/>
      <c r="B306" s="30" t="n"/>
      <c r="C306" s="30" t="inlineStr">
        <is>
          <t>AUMJ-NW-029</t>
        </is>
      </c>
      <c r="D306" s="30" t="inlineStr">
        <is>
          <t>The Sunday Market Bouquet in Mason Jar</t>
        </is>
      </c>
      <c r="E306" s="30" t="inlineStr">
        <is>
          <t>Mason Jar</t>
        </is>
      </c>
      <c r="F306" s="30" t="inlineStr">
        <is>
          <t>Current text vs recipe</t>
        </is>
      </c>
      <c r="G306" s="33" t="inlineStr">
        <is>
          <t>Pre-existing (live text)</t>
        </is>
      </c>
      <c r="H306" s="30" t="inlineStr">
        <is>
          <t>Current text: Wrong flower count: roses</t>
        </is>
      </c>
      <c r="I306" s="30" t="inlineStr">
        <is>
          <t>Says 18 roses — Classic recipe has 3.</t>
        </is>
      </c>
      <c r="J306" s="30" t="inlineStr">
        <is>
          <t>Current description vs recipe</t>
        </is>
      </c>
      <c r="K306" s="30" t="n"/>
    </row>
    <row r="307" ht="15" customHeight="1" s="24">
      <c r="A307" s="28" t="n"/>
      <c r="B307" s="30" t="n"/>
      <c r="C307" s="30" t="inlineStr">
        <is>
          <t>AUMJ-NW-030</t>
        </is>
      </c>
      <c r="D307" s="30" t="inlineStr">
        <is>
          <t>Cloud Nine Bouquet in Mason Jar</t>
        </is>
      </c>
      <c r="E307" s="30" t="inlineStr">
        <is>
          <t>Mason Jar</t>
        </is>
      </c>
      <c r="F307" s="30" t="inlineStr">
        <is>
          <t>Current text vs recipe</t>
        </is>
      </c>
      <c r="G307" s="33" t="inlineStr">
        <is>
          <t>Pre-existing (live text)</t>
        </is>
      </c>
      <c r="H307" s="30" t="inlineStr">
        <is>
          <t>Current text: Wrong flower count: roses</t>
        </is>
      </c>
      <c r="I307" s="30" t="inlineStr">
        <is>
          <t>Says 13 roses — Classic recipe has 2.</t>
        </is>
      </c>
      <c r="J307" s="30" t="inlineStr">
        <is>
          <t>Current description vs recipe</t>
        </is>
      </c>
      <c r="K307" s="30" t="n"/>
    </row>
    <row r="308" ht="15" customHeight="1" s="24">
      <c r="A308" s="28" t="n"/>
      <c r="B308" s="30" t="n"/>
      <c r="C308" s="30" t="inlineStr">
        <is>
          <t>AURP-16sp</t>
        </is>
      </c>
      <c r="D308" s="30" t="inlineStr">
        <is>
          <t>Single Rose &amp; Card</t>
        </is>
      </c>
      <c r="E308" s="30" t="inlineStr">
        <is>
          <t>Add-Ons</t>
        </is>
      </c>
      <c r="F308" s="30" t="inlineStr">
        <is>
          <t>Current text vs recipe</t>
        </is>
      </c>
      <c r="G308" s="33" t="inlineStr">
        <is>
          <t>Pre-existing (live text)</t>
        </is>
      </c>
      <c r="H308" s="30" t="inlineStr">
        <is>
          <t>Current text: Wrong flower count: roses</t>
        </is>
      </c>
      <c r="I308" s="30" t="inlineStr">
        <is>
          <t>Says 11 roses — Classic recipe has 1.</t>
        </is>
      </c>
      <c r="J308" s="30" t="inlineStr">
        <is>
          <t>Current description vs recipe</t>
        </is>
      </c>
      <c r="K308" s="30" t="n"/>
    </row>
    <row r="309" ht="15" customHeight="1" s="24">
      <c r="A309" s="28" t="n"/>
      <c r="B309" s="30" t="n"/>
      <c r="C309" s="30" t="inlineStr">
        <is>
          <t>AUSSR-02</t>
        </is>
      </c>
      <c r="D309" s="30" t="inlineStr">
        <is>
          <t>Snowdrop Solo</t>
        </is>
      </c>
      <c r="E309" s="30" t="inlineStr">
        <is>
          <t>Bouquets</t>
        </is>
      </c>
      <c r="F309" s="30" t="inlineStr">
        <is>
          <t>Current text vs recipe</t>
        </is>
      </c>
      <c r="G309" s="33" t="inlineStr">
        <is>
          <t>Pre-existing (live text)</t>
        </is>
      </c>
      <c r="H309" s="30" t="inlineStr">
        <is>
          <t>Current text: Wrong flower count: roses</t>
        </is>
      </c>
      <c r="I309" s="30" t="inlineStr">
        <is>
          <t>Says 7 roses — Classic recipe has 1.</t>
        </is>
      </c>
      <c r="J309" s="30" t="inlineStr">
        <is>
          <t>Current description vs recipe</t>
        </is>
      </c>
      <c r="K309" s="30" t="n"/>
    </row>
    <row r="310" ht="15" customHeight="1" s="24">
      <c r="A310" s="28" t="n"/>
      <c r="B310" s="30" t="n"/>
      <c r="C310" s="30" t="inlineStr">
        <is>
          <t>AUSSR-03</t>
        </is>
      </c>
      <c r="D310" s="30" t="inlineStr">
        <is>
          <t>Sunny Smile</t>
        </is>
      </c>
      <c r="E310" s="30" t="inlineStr">
        <is>
          <t>Bouquets</t>
        </is>
      </c>
      <c r="F310" s="30" t="inlineStr">
        <is>
          <t>Current text vs recipe</t>
        </is>
      </c>
      <c r="G310" s="33" t="inlineStr">
        <is>
          <t>Pre-existing (live text)</t>
        </is>
      </c>
      <c r="H310" s="30" t="inlineStr">
        <is>
          <t>Current text: Wrong flower count: roses</t>
        </is>
      </c>
      <c r="I310" s="30" t="inlineStr">
        <is>
          <t>Says 7 roses — Classic recipe has 1.</t>
        </is>
      </c>
      <c r="J310" s="30" t="inlineStr">
        <is>
          <t>Current description vs recipe</t>
        </is>
      </c>
      <c r="K310" s="30" t="n"/>
    </row>
    <row r="311" ht="15" customHeight="1" s="24">
      <c r="A311" s="28" t="n"/>
      <c r="B311" s="30" t="n"/>
      <c r="C311" s="30" t="inlineStr">
        <is>
          <t>AUSTRT-02</t>
        </is>
      </c>
      <c r="D311" s="30" t="inlineStr">
        <is>
          <t>Ivory Grace Trio</t>
        </is>
      </c>
      <c r="E311" s="30" t="inlineStr">
        <is>
          <t>Bouquets</t>
        </is>
      </c>
      <c r="F311" s="30" t="inlineStr">
        <is>
          <t>Current text vs recipe</t>
        </is>
      </c>
      <c r="G311" s="33" t="inlineStr">
        <is>
          <t>Pre-existing (live text)</t>
        </is>
      </c>
      <c r="H311" s="30" t="inlineStr">
        <is>
          <t>Current text: Wrong flower count: roses</t>
        </is>
      </c>
      <c r="I311" s="30" t="inlineStr">
        <is>
          <t>Says 17 roses — Classic recipe has 3.</t>
        </is>
      </c>
      <c r="J311" s="30" t="inlineStr">
        <is>
          <t>Current description vs recipe</t>
        </is>
      </c>
      <c r="K311" s="30" t="n"/>
    </row>
    <row r="312" ht="15" customHeight="1" s="24">
      <c r="A312" s="28" t="n"/>
      <c r="B312" s="30" t="n"/>
      <c r="C312" s="30" t="inlineStr">
        <is>
          <t>AUSTRT-03</t>
        </is>
      </c>
      <c r="D312" s="30" t="inlineStr">
        <is>
          <t>Blushing Rose Trio</t>
        </is>
      </c>
      <c r="E312" s="30" t="inlineStr">
        <is>
          <t>Bouquets</t>
        </is>
      </c>
      <c r="F312" s="30" t="inlineStr">
        <is>
          <t>Current text vs recipe</t>
        </is>
      </c>
      <c r="G312" s="33" t="inlineStr">
        <is>
          <t>Pre-existing (live text)</t>
        </is>
      </c>
      <c r="H312" s="30" t="inlineStr">
        <is>
          <t>Current text: Wrong flower count: roses</t>
        </is>
      </c>
      <c r="I312" s="30" t="inlineStr">
        <is>
          <t>Says 17 roses — Classic recipe has 3.</t>
        </is>
      </c>
      <c r="J312" s="30" t="inlineStr">
        <is>
          <t>Current description vs recipe</t>
        </is>
      </c>
      <c r="K312" s="30" t="n"/>
    </row>
    <row r="313" ht="15" customHeight="1" s="24">
      <c r="A313" s="28" t="n"/>
      <c r="B313" s="30" t="n"/>
      <c r="C313" s="30" t="inlineStr">
        <is>
          <t>AUSTRT-04</t>
        </is>
      </c>
      <c r="D313" s="30" t="inlineStr">
        <is>
          <t>Ruby Rose Trio</t>
        </is>
      </c>
      <c r="E313" s="30" t="inlineStr">
        <is>
          <t>Mason Jar</t>
        </is>
      </c>
      <c r="F313" s="30" t="inlineStr">
        <is>
          <t>Current text vs recipe</t>
        </is>
      </c>
      <c r="G313" s="33" t="inlineStr">
        <is>
          <t>Pre-existing (live text)</t>
        </is>
      </c>
      <c r="H313" s="30" t="inlineStr">
        <is>
          <t>Current text: Wrong flower count: roses</t>
        </is>
      </c>
      <c r="I313" s="30" t="inlineStr">
        <is>
          <t>Says 17 roses — Classic recipe has 3.</t>
        </is>
      </c>
      <c r="J313" s="30" t="inlineStr">
        <is>
          <t>Current description vs recipe</t>
        </is>
      </c>
      <c r="K313" s="30" t="n"/>
    </row>
    <row r="314" ht="22.35" customHeight="1" s="24">
      <c r="A314" s="28" t="n"/>
      <c r="B314" s="30" t="n"/>
      <c r="C314" s="30" t="inlineStr">
        <is>
          <t>DC-04B</t>
        </is>
      </c>
      <c r="D314" s="30" t="inlineStr">
        <is>
          <t>Birthday Designer Collection IV</t>
        </is>
      </c>
      <c r="E314" s="30" t="inlineStr">
        <is>
          <t>Designer Collection</t>
        </is>
      </c>
      <c r="F314" s="30" t="inlineStr">
        <is>
          <t>Current text vs recipe</t>
        </is>
      </c>
      <c r="G314" s="33" t="inlineStr">
        <is>
          <t>Pre-existing (live text)</t>
        </is>
      </c>
      <c r="H314" s="30" t="inlineStr">
        <is>
          <t>Current text: Wrong flower count: roses</t>
        </is>
      </c>
      <c r="I314" s="30" t="inlineStr">
        <is>
          <t>Says 48 roses — Classic recipe has 11.</t>
        </is>
      </c>
      <c r="J314" s="30" t="inlineStr">
        <is>
          <t>Current description vs recipe</t>
        </is>
      </c>
      <c r="K314" s="30" t="n"/>
    </row>
    <row r="315" ht="15" customHeight="1" s="24">
      <c r="A315" s="28" t="n"/>
      <c r="B315" s="30" t="n"/>
      <c r="C315" s="30" t="inlineStr">
        <is>
          <t>HF-01</t>
        </is>
      </c>
      <c r="D315" s="30" t="inlineStr">
        <is>
          <t>Hearts Delight</t>
        </is>
      </c>
      <c r="E315" s="30" t="inlineStr">
        <is>
          <t>Bouquets</t>
        </is>
      </c>
      <c r="F315" s="30" t="inlineStr">
        <is>
          <t>Current text vs recipe</t>
        </is>
      </c>
      <c r="G315" s="33" t="inlineStr">
        <is>
          <t>Pre-existing (live text)</t>
        </is>
      </c>
      <c r="H315" s="30" t="inlineStr">
        <is>
          <t>Current text: Wrong flower count: roses</t>
        </is>
      </c>
      <c r="I315" s="30" t="inlineStr">
        <is>
          <t>Says 19 roses — Classic recipe has 5.</t>
        </is>
      </c>
      <c r="J315" s="30" t="inlineStr">
        <is>
          <t>Current description vs recipe</t>
        </is>
      </c>
      <c r="K315" s="30" t="n"/>
    </row>
    <row r="316" ht="22.35" customHeight="1" s="24">
      <c r="A316" s="28" t="n"/>
      <c r="B316" s="30" t="n"/>
      <c r="C316" s="30" t="inlineStr">
        <is>
          <t>LF100-395</t>
        </is>
      </c>
      <c r="D316" s="30" t="inlineStr">
        <is>
          <t>Pure Devotion Funeral Flower Package</t>
        </is>
      </c>
      <c r="E316" s="30" t="inlineStr">
        <is>
          <t>Sympathy</t>
        </is>
      </c>
      <c r="F316" s="30" t="inlineStr">
        <is>
          <t>Current text vs recipe</t>
        </is>
      </c>
      <c r="G316" s="33" t="inlineStr">
        <is>
          <t>Pre-existing (live text)</t>
        </is>
      </c>
      <c r="H316" s="30" t="inlineStr">
        <is>
          <t>Current text: Wrong flower count: roses</t>
        </is>
      </c>
      <c r="I316" s="30" t="inlineStr">
        <is>
          <t>Says 81 roses — Classic recipe has 28.</t>
        </is>
      </c>
      <c r="J316" s="30" t="inlineStr">
        <is>
          <t>Current description vs recipe</t>
        </is>
      </c>
      <c r="K316" s="30" t="n"/>
    </row>
    <row r="317" ht="15" customHeight="1" s="24">
      <c r="A317" s="28" t="n"/>
      <c r="B317" s="30" t="n"/>
      <c r="C317" s="30" t="inlineStr">
        <is>
          <t>LF100-586</t>
        </is>
      </c>
      <c r="D317" s="30" t="inlineStr">
        <is>
          <t>Touch Of Red Roses</t>
        </is>
      </c>
      <c r="E317" s="30" t="inlineStr">
        <is>
          <t>Roses</t>
        </is>
      </c>
      <c r="F317" s="30" t="inlineStr">
        <is>
          <t>Current text vs recipe</t>
        </is>
      </c>
      <c r="G317" s="33" t="inlineStr">
        <is>
          <t>Pre-existing (live text)</t>
        </is>
      </c>
      <c r="H317" s="30" t="inlineStr">
        <is>
          <t>Current text: Wrong flower count: roses</t>
        </is>
      </c>
      <c r="I317" s="30" t="inlineStr">
        <is>
          <t>Says 14 roses — Classic recipe has 3.</t>
        </is>
      </c>
      <c r="J317" s="30" t="inlineStr">
        <is>
          <t>Current description vs recipe</t>
        </is>
      </c>
      <c r="K317" s="30" t="n"/>
    </row>
    <row r="318" ht="22.35" customHeight="1" s="24">
      <c r="A318" s="28" t="n"/>
      <c r="B318" s="30" t="n"/>
      <c r="C318" s="30" t="inlineStr">
        <is>
          <t>LF100-595</t>
        </is>
      </c>
      <c r="D318" s="30" t="inlineStr">
        <is>
          <t>Warm Regards Funeral Flower Package</t>
        </is>
      </c>
      <c r="E318" s="30" t="inlineStr">
        <is>
          <t>Sympathy</t>
        </is>
      </c>
      <c r="F318" s="30" t="inlineStr">
        <is>
          <t>Current text vs recipe</t>
        </is>
      </c>
      <c r="G318" s="33" t="inlineStr">
        <is>
          <t>Pre-existing (live text)</t>
        </is>
      </c>
      <c r="H318" s="30" t="inlineStr">
        <is>
          <t>Current text: Wrong flower count: roses</t>
        </is>
      </c>
      <c r="I318" s="30" t="inlineStr">
        <is>
          <t>Says 58 roses — Classic recipe has 28.</t>
        </is>
      </c>
      <c r="J318" s="30" t="inlineStr">
        <is>
          <t>Current description vs recipe</t>
        </is>
      </c>
      <c r="K318" s="30" t="n"/>
    </row>
    <row r="319" ht="15" customHeight="1" s="24">
      <c r="A319" s="28" t="n"/>
      <c r="B319" s="30" t="n"/>
      <c r="C319" s="30" t="inlineStr">
        <is>
          <t>LF15-10A</t>
        </is>
      </c>
      <c r="D319" s="30" t="inlineStr">
        <is>
          <t>Hugs and Kisses I</t>
        </is>
      </c>
      <c r="E319" s="30" t="inlineStr">
        <is>
          <t>Bouquets</t>
        </is>
      </c>
      <c r="F319" s="30" t="inlineStr">
        <is>
          <t>Current text vs recipe</t>
        </is>
      </c>
      <c r="G319" s="33" t="inlineStr">
        <is>
          <t>Pre-existing (live text)</t>
        </is>
      </c>
      <c r="H319" s="30" t="inlineStr">
        <is>
          <t>Current text: Wrong flower count: roses</t>
        </is>
      </c>
      <c r="I319" s="30" t="inlineStr">
        <is>
          <t>Says 8 roses — Classic recipe has 2.</t>
        </is>
      </c>
      <c r="J319" s="30" t="inlineStr">
        <is>
          <t>Current description vs recipe</t>
        </is>
      </c>
      <c r="K319" s="30" t="n"/>
    </row>
    <row r="320" ht="15" customHeight="1" s="24">
      <c r="A320" s="28" t="n"/>
      <c r="B320" s="30" t="n"/>
      <c r="C320" s="30" t="inlineStr">
        <is>
          <t>LF15-10B</t>
        </is>
      </c>
      <c r="D320" s="30" t="inlineStr">
        <is>
          <t>Hugs and Kisses II</t>
        </is>
      </c>
      <c r="E320" s="30" t="inlineStr">
        <is>
          <t>Bouquets</t>
        </is>
      </c>
      <c r="F320" s="30" t="inlineStr">
        <is>
          <t>Current text vs recipe</t>
        </is>
      </c>
      <c r="G320" s="33" t="inlineStr">
        <is>
          <t>Pre-existing (live text)</t>
        </is>
      </c>
      <c r="H320" s="30" t="inlineStr">
        <is>
          <t>Current text: Wrong flower count: roses</t>
        </is>
      </c>
      <c r="I320" s="30" t="inlineStr">
        <is>
          <t>Says 10 roses — Classic recipe has 3.</t>
        </is>
      </c>
      <c r="J320" s="30" t="inlineStr">
        <is>
          <t>Current description vs recipe</t>
        </is>
      </c>
      <c r="K320" s="30" t="n"/>
    </row>
    <row r="321" ht="15" customHeight="1" s="24">
      <c r="A321" s="28" t="n"/>
      <c r="B321" s="30" t="n"/>
      <c r="C321" s="30" t="inlineStr">
        <is>
          <t>LF15-10C</t>
        </is>
      </c>
      <c r="D321" s="30" t="inlineStr">
        <is>
          <t>Hugs and Kisses III</t>
        </is>
      </c>
      <c r="E321" s="30" t="inlineStr">
        <is>
          <t>Bouquets</t>
        </is>
      </c>
      <c r="F321" s="30" t="inlineStr">
        <is>
          <t>Current text vs recipe</t>
        </is>
      </c>
      <c r="G321" s="33" t="inlineStr">
        <is>
          <t>Pre-existing (live text)</t>
        </is>
      </c>
      <c r="H321" s="30" t="inlineStr">
        <is>
          <t>Current text: Wrong flower count: roses</t>
        </is>
      </c>
      <c r="I321" s="30" t="inlineStr">
        <is>
          <t>Says 10 roses — Classic recipe has 2.</t>
        </is>
      </c>
      <c r="J321" s="30" t="inlineStr">
        <is>
          <t>Current description vs recipe</t>
        </is>
      </c>
      <c r="K321" s="30" t="n"/>
    </row>
    <row r="322" ht="15" customHeight="1" s="24">
      <c r="A322" s="28" t="n"/>
      <c r="B322" s="30" t="n"/>
      <c r="C322" s="30" t="inlineStr">
        <is>
          <t>LF15-10D</t>
        </is>
      </c>
      <c r="D322" s="30" t="inlineStr">
        <is>
          <t>Hugs and Kisses IV</t>
        </is>
      </c>
      <c r="E322" s="30" t="inlineStr">
        <is>
          <t>Bouquets</t>
        </is>
      </c>
      <c r="F322" s="30" t="inlineStr">
        <is>
          <t>Current text vs recipe</t>
        </is>
      </c>
      <c r="G322" s="33" t="inlineStr">
        <is>
          <t>Pre-existing (live text)</t>
        </is>
      </c>
      <c r="H322" s="30" t="inlineStr">
        <is>
          <t>Current text: Wrong flower count: roses</t>
        </is>
      </c>
      <c r="I322" s="30" t="inlineStr">
        <is>
          <t>Says 8 roses — Classic recipe has 2.</t>
        </is>
      </c>
      <c r="J322" s="30" t="inlineStr">
        <is>
          <t>Current description vs recipe</t>
        </is>
      </c>
      <c r="K322" s="30" t="n"/>
    </row>
    <row r="323" ht="15" customHeight="1" s="24">
      <c r="A323" s="28" t="n"/>
      <c r="B323" s="30" t="n"/>
      <c r="C323" s="30" t="inlineStr">
        <is>
          <t>MDM25-13</t>
        </is>
      </c>
      <c r="D323" s="30" t="inlineStr">
        <is>
          <t>Blushing Muse Bouquet</t>
        </is>
      </c>
      <c r="E323" s="30" t="inlineStr">
        <is>
          <t>Bouquets</t>
        </is>
      </c>
      <c r="F323" s="30" t="inlineStr">
        <is>
          <t>Current text vs recipe</t>
        </is>
      </c>
      <c r="G323" s="33" t="inlineStr">
        <is>
          <t>Pre-existing (live text)</t>
        </is>
      </c>
      <c r="H323" s="30" t="inlineStr">
        <is>
          <t>Current text: Wrong flower count: roses</t>
        </is>
      </c>
      <c r="I323" s="30" t="inlineStr">
        <is>
          <t>Says 16 roses — Classic recipe has 3.</t>
        </is>
      </c>
      <c r="J323" s="30" t="inlineStr">
        <is>
          <t>Current description vs recipe</t>
        </is>
      </c>
      <c r="K323" s="30" t="n"/>
    </row>
    <row r="324" ht="15" customHeight="1" s="24">
      <c r="A324" s="28" t="n"/>
      <c r="B324" s="30" t="n"/>
      <c r="C324" s="30" t="inlineStr">
        <is>
          <t>MDMJ-03</t>
        </is>
      </c>
      <c r="D324" s="30" t="inlineStr">
        <is>
          <t>Blooming Glory in Mason Jar</t>
        </is>
      </c>
      <c r="E324" s="30" t="inlineStr">
        <is>
          <t>Mason Jar</t>
        </is>
      </c>
      <c r="F324" s="30" t="inlineStr">
        <is>
          <t>Current text vs recipe</t>
        </is>
      </c>
      <c r="G324" s="33" t="inlineStr">
        <is>
          <t>Pre-existing (live text)</t>
        </is>
      </c>
      <c r="H324" s="30" t="inlineStr">
        <is>
          <t>Current text: Wrong flower count: roses</t>
        </is>
      </c>
      <c r="I324" s="30" t="inlineStr">
        <is>
          <t>Says 8 roses — Classic recipe has 2.</t>
        </is>
      </c>
      <c r="J324" s="30" t="inlineStr">
        <is>
          <t>Current description vs recipe</t>
        </is>
      </c>
      <c r="K324" s="30" t="n"/>
    </row>
    <row r="325" ht="15" customHeight="1" s="24">
      <c r="A325" s="28" t="n"/>
      <c r="B325" s="30" t="n"/>
      <c r="C325" s="30" t="inlineStr">
        <is>
          <t>MJ100-04</t>
        </is>
      </c>
      <c r="D325" s="30" t="inlineStr">
        <is>
          <t>What a Treat in Mason Jar</t>
        </is>
      </c>
      <c r="E325" s="30" t="inlineStr">
        <is>
          <t>Mason Jar</t>
        </is>
      </c>
      <c r="F325" s="30" t="inlineStr">
        <is>
          <t>Current text vs recipe</t>
        </is>
      </c>
      <c r="G325" s="33" t="inlineStr">
        <is>
          <t>Pre-existing (live text)</t>
        </is>
      </c>
      <c r="H325" s="30" t="inlineStr">
        <is>
          <t>Current text: Wrong flower count: roses</t>
        </is>
      </c>
      <c r="I325" s="30" t="inlineStr">
        <is>
          <t>Says 7 roses — Classic recipe has 2.</t>
        </is>
      </c>
      <c r="J325" s="30" t="inlineStr">
        <is>
          <t>Current description vs recipe</t>
        </is>
      </c>
      <c r="K325" s="30" t="n"/>
    </row>
    <row r="326" ht="15" customHeight="1" s="24">
      <c r="A326" s="28" t="n"/>
      <c r="B326" s="30" t="n"/>
      <c r="C326" s="30" t="inlineStr">
        <is>
          <t>MJ100-10</t>
        </is>
      </c>
      <c r="D326" s="30" t="inlineStr">
        <is>
          <t>Sweet Summer In Mason Jar</t>
        </is>
      </c>
      <c r="E326" s="30" t="inlineStr">
        <is>
          <t>Mason Jar</t>
        </is>
      </c>
      <c r="F326" s="30" t="inlineStr">
        <is>
          <t>Current text vs recipe</t>
        </is>
      </c>
      <c r="G326" s="33" t="inlineStr">
        <is>
          <t>Pre-existing (live text)</t>
        </is>
      </c>
      <c r="H326" s="30" t="inlineStr">
        <is>
          <t>Current text: Wrong flower count: roses</t>
        </is>
      </c>
      <c r="I326" s="30" t="inlineStr">
        <is>
          <t>Says 19 roses — Classic recipe has 4.</t>
        </is>
      </c>
      <c r="J326" s="30" t="inlineStr">
        <is>
          <t>Current description vs recipe</t>
        </is>
      </c>
      <c r="K326" s="30" t="n"/>
    </row>
    <row r="327" ht="15" customHeight="1" s="24">
      <c r="A327" s="28" t="n"/>
      <c r="B327" s="30" t="n"/>
      <c r="C327" s="30" t="inlineStr">
        <is>
          <t>MJ100-24</t>
        </is>
      </c>
      <c r="D327" s="30" t="inlineStr">
        <is>
          <t>Assorted Roses in Mason Jar</t>
        </is>
      </c>
      <c r="E327" s="30" t="inlineStr">
        <is>
          <t>Mason Jar</t>
        </is>
      </c>
      <c r="F327" s="30" t="inlineStr">
        <is>
          <t>Current text vs recipe</t>
        </is>
      </c>
      <c r="G327" s="33" t="inlineStr">
        <is>
          <t>Pre-existing (live text)</t>
        </is>
      </c>
      <c r="H327" s="30" t="inlineStr">
        <is>
          <t>Current text: Wrong flower count: roses</t>
        </is>
      </c>
      <c r="I327" s="30" t="inlineStr">
        <is>
          <t>Says 14 roses — Classic recipe has 5.</t>
        </is>
      </c>
      <c r="J327" s="30" t="inlineStr">
        <is>
          <t>Current description vs recipe</t>
        </is>
      </c>
      <c r="K327" s="30" t="n"/>
    </row>
    <row r="328" ht="15" customHeight="1" s="24">
      <c r="A328" s="28" t="n"/>
      <c r="B328" s="30" t="n"/>
      <c r="C328" s="30" t="inlineStr">
        <is>
          <t>MJ11-10</t>
        </is>
      </c>
      <c r="D328" s="30" t="inlineStr">
        <is>
          <t>Radiant Roses In A Mason Jar</t>
        </is>
      </c>
      <c r="E328" s="30" t="inlineStr">
        <is>
          <t>Mason Jar</t>
        </is>
      </c>
      <c r="F328" s="30" t="inlineStr">
        <is>
          <t>Current text vs recipe</t>
        </is>
      </c>
      <c r="G328" s="33" t="inlineStr">
        <is>
          <t>Pre-existing (live text)</t>
        </is>
      </c>
      <c r="H328" s="30" t="inlineStr">
        <is>
          <t>Current text: Wrong flower count: roses</t>
        </is>
      </c>
      <c r="I328" s="30" t="inlineStr">
        <is>
          <t>Says 14 roses — Classic recipe has 7.</t>
        </is>
      </c>
      <c r="J328" s="30" t="inlineStr">
        <is>
          <t>Current description vs recipe</t>
        </is>
      </c>
      <c r="K328" s="30" t="n"/>
    </row>
    <row r="329" ht="15" customHeight="1" s="24">
      <c r="A329" s="28" t="n"/>
      <c r="B329" s="30" t="n"/>
      <c r="C329" s="30" t="inlineStr">
        <is>
          <t>MJ11-30</t>
        </is>
      </c>
      <c r="D329" s="30" t="inlineStr">
        <is>
          <t>Sweetheart Roses in Mason Jar</t>
        </is>
      </c>
      <c r="E329" s="30" t="inlineStr">
        <is>
          <t>Mason Jar</t>
        </is>
      </c>
      <c r="F329" s="30" t="inlineStr">
        <is>
          <t>Current text vs recipe</t>
        </is>
      </c>
      <c r="G329" s="33" t="inlineStr">
        <is>
          <t>Pre-existing (live text)</t>
        </is>
      </c>
      <c r="H329" s="30" t="inlineStr">
        <is>
          <t>Current text: Wrong flower count: roses</t>
        </is>
      </c>
      <c r="I329" s="30" t="inlineStr">
        <is>
          <t>Says 27 roses — Classic recipe has 6.</t>
        </is>
      </c>
      <c r="J329" s="30" t="inlineStr">
        <is>
          <t>Current description vs recipe</t>
        </is>
      </c>
      <c r="K329" s="30" t="n"/>
    </row>
    <row r="330" ht="15" customHeight="1" s="24">
      <c r="A330" s="28" t="n"/>
      <c r="B330" s="30" t="n"/>
      <c r="C330" s="30" t="inlineStr">
        <is>
          <t>MJ55-01</t>
        </is>
      </c>
      <c r="D330" s="30" t="inlineStr">
        <is>
          <t>Radiant Roses in Mason Jar</t>
        </is>
      </c>
      <c r="E330" s="30" t="inlineStr">
        <is>
          <t>Mason Jar</t>
        </is>
      </c>
      <c r="F330" s="30" t="inlineStr">
        <is>
          <t>Current text vs recipe</t>
        </is>
      </c>
      <c r="G330" s="33" t="inlineStr">
        <is>
          <t>Pre-existing (live text)</t>
        </is>
      </c>
      <c r="H330" s="30" t="inlineStr">
        <is>
          <t>Current text: Wrong flower count: roses</t>
        </is>
      </c>
      <c r="I330" s="30" t="inlineStr">
        <is>
          <t>Says 14 roses — Classic recipe has 3.</t>
        </is>
      </c>
      <c r="J330" s="30" t="inlineStr">
        <is>
          <t>Current description vs recipe</t>
        </is>
      </c>
      <c r="K330" s="30" t="n"/>
    </row>
    <row r="331" ht="22.35" customHeight="1" s="24">
      <c r="A331" s="28" t="n"/>
      <c r="B331" s="30" t="n"/>
      <c r="C331" s="30" t="inlineStr">
        <is>
          <t>AL100-71AURP</t>
        </is>
      </c>
      <c r="D331" s="30" t="inlineStr">
        <is>
          <t>Full Heart</t>
        </is>
      </c>
      <c r="E331" s="30" t="inlineStr">
        <is>
          <t>Sympathy</t>
        </is>
      </c>
      <c r="F331" s="30" t="inlineStr">
        <is>
          <t>Copy: identical text</t>
        </is>
      </c>
      <c r="G331" s="30" t="inlineStr">
        <is>
          <t>Generated text</t>
        </is>
      </c>
      <c r="H331" s="30" t="inlineStr">
        <is>
          <t>Duplicate copy across SKUs (Aussie Blooms)</t>
        </is>
      </c>
      <c r="I331" s="30" t="inlineStr">
        <is>
          <t>Identical text with: AU100-71</t>
        </is>
      </c>
      <c r="J331" s="30" t="inlineStr">
        <is>
          <t>Generated text check</t>
        </is>
      </c>
      <c r="K331" s="30" t="inlineStr">
        <is>
          <t>Alejandro</t>
        </is>
      </c>
    </row>
    <row r="332" ht="22.35" customHeight="1" s="24">
      <c r="A332" s="28" t="n"/>
      <c r="B332" s="30" t="n"/>
      <c r="C332" s="30" t="inlineStr">
        <is>
          <t>AU100-71</t>
        </is>
      </c>
      <c r="D332" s="30" t="inlineStr">
        <is>
          <t>Full Heart</t>
        </is>
      </c>
      <c r="E332" s="30" t="inlineStr">
        <is>
          <t>Sympathy</t>
        </is>
      </c>
      <c r="F332" s="30" t="inlineStr">
        <is>
          <t>Copy: identical text</t>
        </is>
      </c>
      <c r="G332" s="30" t="inlineStr">
        <is>
          <t>Generated text</t>
        </is>
      </c>
      <c r="H332" s="30" t="inlineStr">
        <is>
          <t>Duplicate copy across SKUs (Aussie Blooms)</t>
        </is>
      </c>
      <c r="I332" s="30" t="inlineStr">
        <is>
          <t>Identical text with: AL100-71AURP</t>
        </is>
      </c>
      <c r="J332" s="30" t="inlineStr">
        <is>
          <t>Generated text check</t>
        </is>
      </c>
      <c r="K332" s="30" t="inlineStr">
        <is>
          <t>Alejandro</t>
        </is>
      </c>
    </row>
    <row r="333" ht="15" customHeight="1" s="24">
      <c r="A333" s="28" t="n"/>
      <c r="B333" s="30" t="n"/>
      <c r="C333" s="30" t="inlineStr">
        <is>
          <t>AUBC-01</t>
        </is>
      </c>
      <c r="D333" s="30" t="inlineStr">
        <is>
          <t>Birthday Combo I</t>
        </is>
      </c>
      <c r="E333" s="30" t="inlineStr">
        <is>
          <t>Bouquets</t>
        </is>
      </c>
      <c r="F333" s="30" t="inlineStr">
        <is>
          <t>Copy: identical text</t>
        </is>
      </c>
      <c r="G333" s="30" t="inlineStr">
        <is>
          <t>Generated text</t>
        </is>
      </c>
      <c r="H333" s="30" t="inlineStr">
        <is>
          <t>Duplicate copy across SKUs (Bloomex AU)</t>
        </is>
      </c>
      <c r="I333" s="30" t="inlineStr">
        <is>
          <t>Identical text with: DC112-01A</t>
        </is>
      </c>
      <c r="J333" s="30" t="inlineStr">
        <is>
          <t>Generated text check</t>
        </is>
      </c>
      <c r="K333" s="30" t="inlineStr">
        <is>
          <t>Alejandro</t>
        </is>
      </c>
    </row>
    <row r="334" ht="22.35" customHeight="1" s="24">
      <c r="A334" s="28" t="n"/>
      <c r="B334" s="30" t="n"/>
      <c r="C334" s="30" t="inlineStr">
        <is>
          <t>DC112-01</t>
        </is>
      </c>
      <c r="D334" s="30" t="inlineStr">
        <is>
          <t>Designers Collection I</t>
        </is>
      </c>
      <c r="E334" s="30" t="inlineStr">
        <is>
          <t>Designer Collection</t>
        </is>
      </c>
      <c r="F334" s="30" t="inlineStr">
        <is>
          <t>Copy: identical text</t>
        </is>
      </c>
      <c r="G334" s="30" t="inlineStr">
        <is>
          <t>Generated text</t>
        </is>
      </c>
      <c r="H334" s="30" t="inlineStr">
        <is>
          <t>Duplicate copy across SKUs (Bloomex AU)</t>
        </is>
      </c>
      <c r="I334" s="30" t="inlineStr">
        <is>
          <t>Identical text with: DC112-03</t>
        </is>
      </c>
      <c r="J334" s="30" t="inlineStr">
        <is>
          <t>Generated text check</t>
        </is>
      </c>
      <c r="K334" s="30" t="inlineStr">
        <is>
          <t>Alejandro</t>
        </is>
      </c>
    </row>
    <row r="335" ht="22.35" customHeight="1" s="24">
      <c r="A335" s="28" t="n"/>
      <c r="B335" s="30" t="n"/>
      <c r="C335" s="30" t="inlineStr">
        <is>
          <t>DC112-01A</t>
        </is>
      </c>
      <c r="D335" s="30" t="inlineStr">
        <is>
          <t>Designers Collection I</t>
        </is>
      </c>
      <c r="E335" s="30" t="inlineStr">
        <is>
          <t>Designer Collection</t>
        </is>
      </c>
      <c r="F335" s="30" t="inlineStr">
        <is>
          <t>Copy: identical text</t>
        </is>
      </c>
      <c r="G335" s="30" t="inlineStr">
        <is>
          <t>Generated text</t>
        </is>
      </c>
      <c r="H335" s="30" t="inlineStr">
        <is>
          <t>Duplicate copy across SKUs (Bloomex AU)</t>
        </is>
      </c>
      <c r="I335" s="30" t="inlineStr">
        <is>
          <t>Identical text with: AUBC-01</t>
        </is>
      </c>
      <c r="J335" s="30" t="inlineStr">
        <is>
          <t>Generated text check</t>
        </is>
      </c>
      <c r="K335" s="30" t="inlineStr">
        <is>
          <t>Alejandro</t>
        </is>
      </c>
    </row>
    <row r="336" ht="22.35" customHeight="1" s="24">
      <c r="A336" s="28" t="n"/>
      <c r="B336" s="30" t="n"/>
      <c r="C336" s="30" t="inlineStr">
        <is>
          <t>DC112-03</t>
        </is>
      </c>
      <c r="D336" s="30" t="inlineStr">
        <is>
          <t>Designers Collection III</t>
        </is>
      </c>
      <c r="E336" s="30" t="inlineStr">
        <is>
          <t>Designer Collection</t>
        </is>
      </c>
      <c r="F336" s="30" t="inlineStr">
        <is>
          <t>Copy: identical text</t>
        </is>
      </c>
      <c r="G336" s="30" t="inlineStr">
        <is>
          <t>Generated text</t>
        </is>
      </c>
      <c r="H336" s="30" t="inlineStr">
        <is>
          <t>Duplicate copy across SKUs (Bloomex AU)</t>
        </is>
      </c>
      <c r="I336" s="30" t="inlineStr">
        <is>
          <t>Identical text with: DC112-01</t>
        </is>
      </c>
      <c r="J336" s="30" t="inlineStr">
        <is>
          <t>Generated text check</t>
        </is>
      </c>
      <c r="K336" s="30" t="inlineStr">
        <is>
          <t>Alejandro</t>
        </is>
      </c>
    </row>
    <row r="337" ht="15" customHeight="1" s="24">
      <c r="A337" s="28" t="n"/>
      <c r="B337" s="30" t="n"/>
      <c r="C337" s="30" t="inlineStr">
        <is>
          <t>DCMJ-01</t>
        </is>
      </c>
      <c r="D337" s="30" t="inlineStr">
        <is>
          <t>Designer Collection Mason Jar I</t>
        </is>
      </c>
      <c r="E337" s="30" t="inlineStr">
        <is>
          <t>Mason Jar</t>
        </is>
      </c>
      <c r="F337" s="30" t="inlineStr">
        <is>
          <t>Copy: identical text</t>
        </is>
      </c>
      <c r="G337" s="30" t="inlineStr">
        <is>
          <t>Generated text</t>
        </is>
      </c>
      <c r="H337" s="30" t="inlineStr">
        <is>
          <t>Duplicate copy across SKUs (Bloomex AU)</t>
        </is>
      </c>
      <c r="I337" s="30" t="inlineStr">
        <is>
          <t>Identical text with: DCMJ-02A</t>
        </is>
      </c>
      <c r="J337" s="30" t="inlineStr">
        <is>
          <t>Generated text check</t>
        </is>
      </c>
      <c r="K337" s="30" t="inlineStr">
        <is>
          <t>Alejandro</t>
        </is>
      </c>
    </row>
    <row r="338" ht="15" customHeight="1" s="24">
      <c r="A338" s="28" t="n"/>
      <c r="B338" s="30" t="n"/>
      <c r="C338" s="30" t="inlineStr">
        <is>
          <t>DCMJ-01A</t>
        </is>
      </c>
      <c r="D338" s="30" t="inlineStr">
        <is>
          <t>Designer Collection Mason Jar I</t>
        </is>
      </c>
      <c r="E338" s="30" t="inlineStr">
        <is>
          <t>Mason Jar</t>
        </is>
      </c>
      <c r="F338" s="30" t="inlineStr">
        <is>
          <t>Copy: identical text</t>
        </is>
      </c>
      <c r="G338" s="30" t="inlineStr">
        <is>
          <t>Generated text</t>
        </is>
      </c>
      <c r="H338" s="30" t="inlineStr">
        <is>
          <t>Duplicate copy across SKUs (Bloomex AU)</t>
        </is>
      </c>
      <c r="I338" s="30" t="inlineStr">
        <is>
          <t>Identical text with: DCMJ-02</t>
        </is>
      </c>
      <c r="J338" s="30" t="inlineStr">
        <is>
          <t>Generated text check</t>
        </is>
      </c>
      <c r="K338" s="30" t="inlineStr">
        <is>
          <t>Alejandro</t>
        </is>
      </c>
    </row>
    <row r="339" ht="15" customHeight="1" s="24">
      <c r="A339" s="28" t="n"/>
      <c r="B339" s="30" t="n"/>
      <c r="C339" s="30" t="inlineStr">
        <is>
          <t>DCMJ-02</t>
        </is>
      </c>
      <c r="D339" s="30" t="inlineStr">
        <is>
          <t>Designer Collection Mason Jar II</t>
        </is>
      </c>
      <c r="E339" s="30" t="inlineStr">
        <is>
          <t>Mason Jar</t>
        </is>
      </c>
      <c r="F339" s="30" t="inlineStr">
        <is>
          <t>Copy: identical text</t>
        </is>
      </c>
      <c r="G339" s="30" t="inlineStr">
        <is>
          <t>Generated text</t>
        </is>
      </c>
      <c r="H339" s="30" t="inlineStr">
        <is>
          <t>Duplicate copy across SKUs (Bloomex AU)</t>
        </is>
      </c>
      <c r="I339" s="30" t="inlineStr">
        <is>
          <t>Identical text with: DCMJ-01A</t>
        </is>
      </c>
      <c r="J339" s="30" t="inlineStr">
        <is>
          <t>Generated text check</t>
        </is>
      </c>
      <c r="K339" s="30" t="inlineStr">
        <is>
          <t>Alejandro</t>
        </is>
      </c>
    </row>
    <row r="340" ht="15" customHeight="1" s="24">
      <c r="A340" s="28" t="n"/>
      <c r="B340" s="30" t="n"/>
      <c r="C340" s="30" t="inlineStr">
        <is>
          <t>DCMJ-02A</t>
        </is>
      </c>
      <c r="D340" s="30" t="inlineStr">
        <is>
          <t>Designer Collection Mason Jar II</t>
        </is>
      </c>
      <c r="E340" s="30" t="inlineStr">
        <is>
          <t>Mason Jar</t>
        </is>
      </c>
      <c r="F340" s="30" t="inlineStr">
        <is>
          <t>Copy: identical text</t>
        </is>
      </c>
      <c r="G340" s="30" t="inlineStr">
        <is>
          <t>Generated text</t>
        </is>
      </c>
      <c r="H340" s="30" t="inlineStr">
        <is>
          <t>Duplicate copy across SKUs (Bloomex AU)</t>
        </is>
      </c>
      <c r="I340" s="30" t="inlineStr">
        <is>
          <t>Identical text with: DCMJ-01</t>
        </is>
      </c>
      <c r="J340" s="30" t="inlineStr">
        <is>
          <t>Generated text check</t>
        </is>
      </c>
      <c r="K340" s="30" t="inlineStr">
        <is>
          <t>Alejandro</t>
        </is>
      </c>
    </row>
    <row r="341" ht="22.35" customHeight="1" s="24">
      <c r="A341" s="28" t="n"/>
      <c r="B341" s="30" t="n"/>
      <c r="C341" s="30" t="inlineStr">
        <is>
          <t>AU11-65</t>
        </is>
      </c>
      <c r="D341" s="30" t="inlineStr">
        <is>
          <t>One Dozen Premium Red Roses</t>
        </is>
      </c>
      <c r="E341" s="30" t="inlineStr">
        <is>
          <t>Bouquets</t>
        </is>
      </c>
      <c r="F341" s="30" t="inlineStr">
        <is>
          <t>Copy: identical text</t>
        </is>
      </c>
      <c r="G341" s="30" t="inlineStr">
        <is>
          <t>Generated text</t>
        </is>
      </c>
      <c r="H341" s="30" t="inlineStr">
        <is>
          <t>Duplicate copy across SKUs (Bunches and Stems)</t>
        </is>
      </c>
      <c r="I341" s="30" t="inlineStr">
        <is>
          <t>Identical text with: AU9-99</t>
        </is>
      </c>
      <c r="J341" s="30" t="inlineStr">
        <is>
          <t>Generated text check</t>
        </is>
      </c>
      <c r="K341" s="30" t="inlineStr">
        <is>
          <t>Alejandro</t>
        </is>
      </c>
    </row>
    <row r="342" ht="22.35" customHeight="1" s="24">
      <c r="A342" s="28" t="n"/>
      <c r="B342" s="30" t="n"/>
      <c r="C342" s="30" t="inlineStr">
        <is>
          <t>AU9-99</t>
        </is>
      </c>
      <c r="D342" s="30" t="inlineStr">
        <is>
          <t>12 Long Stemmed Red Roses</t>
        </is>
      </c>
      <c r="E342" s="30" t="inlineStr">
        <is>
          <t>Bouquets</t>
        </is>
      </c>
      <c r="F342" s="30" t="inlineStr">
        <is>
          <t>Copy: identical text</t>
        </is>
      </c>
      <c r="G342" s="30" t="inlineStr">
        <is>
          <t>Generated text</t>
        </is>
      </c>
      <c r="H342" s="30" t="inlineStr">
        <is>
          <t>Duplicate copy across SKUs (Bunches and Stems)</t>
        </is>
      </c>
      <c r="I342" s="30" t="inlineStr">
        <is>
          <t>Identical text with: AU11-65</t>
        </is>
      </c>
      <c r="J342" s="30" t="inlineStr">
        <is>
          <t>Generated text check</t>
        </is>
      </c>
      <c r="K342" s="30" t="inlineStr">
        <is>
          <t>Alejandro</t>
        </is>
      </c>
    </row>
    <row r="343" ht="22.35" customHeight="1" s="24">
      <c r="A343" s="28" t="n"/>
      <c r="B343" s="30" t="n"/>
      <c r="C343" s="30" t="inlineStr">
        <is>
          <t>AU199-07</t>
        </is>
      </c>
      <c r="D343" s="30" t="inlineStr">
        <is>
          <t>Green &amp; White Heart</t>
        </is>
      </c>
      <c r="E343" s="30" t="inlineStr">
        <is>
          <t>Bouquets</t>
        </is>
      </c>
      <c r="F343" s="30" t="inlineStr">
        <is>
          <t>Label removed (your comment)</t>
        </is>
      </c>
      <c r="G343" s="29" t="inlineStr">
        <is>
          <t>Joomla export 7 Oct</t>
        </is>
      </c>
      <c r="H343" s="30" t="inlineStr">
        <is>
          <t>C3 title colour not in recipe</t>
        </is>
      </c>
      <c r="I343" s="30" t="inlineStr">
        <is>
          <t>Title says green  -&gt;  recipe has 10 stems of Israeli ruscus (green foliage); live status N. Not a recipe problem</t>
        </is>
      </c>
      <c r="J343" s="30" t="inlineStr">
        <is>
          <t>Your comment 8 Oct</t>
        </is>
      </c>
      <c r="K343" s="30" t="n"/>
    </row>
    <row r="344" ht="22.35" customHeight="1" s="24">
      <c r="A344" s="28" t="n"/>
      <c r="B344" s="30" t="n"/>
      <c r="C344" s="30" t="inlineStr">
        <is>
          <t>AU15-50</t>
        </is>
      </c>
      <c r="D344" s="30" t="inlineStr">
        <is>
          <t>50 Blooms of Peruvian Lilies</t>
        </is>
      </c>
      <c r="E344" s="30" t="inlineStr">
        <is>
          <t>Bouquets</t>
        </is>
      </c>
      <c r="F344" s="30" t="inlineStr">
        <is>
          <t>Label removed (your comment)</t>
        </is>
      </c>
      <c r="G344" s="28" t="inlineStr">
        <is>
          <t>Your decision</t>
        </is>
      </c>
      <c r="H344" s="30" t="inlineStr">
        <is>
          <t>C7 Title blooms vs stems</t>
        </is>
      </c>
      <c r="I344" s="30" t="inlineStr">
        <is>
          <t>Title counts blooms, recipe counts stems: send blooms per stem so the wording can bridge them  -&gt;  intentional strategy: titles count blooms, recipes count stems</t>
        </is>
      </c>
      <c r="J344" s="30" t="inlineStr">
        <is>
          <t>Your comment 8 Oct</t>
        </is>
      </c>
      <c r="K344" s="30" t="n"/>
    </row>
    <row r="345" ht="22.35" customHeight="1" s="24">
      <c r="A345" s="28" t="n"/>
      <c r="B345" s="30" t="n"/>
      <c r="C345" s="30" t="inlineStr">
        <is>
          <t>MDA-01</t>
        </is>
      </c>
      <c r="D345" s="30" t="inlineStr">
        <is>
          <t>50 Blooms of Peruvian Lilies Set</t>
        </is>
      </c>
      <c r="E345" s="30" t="inlineStr">
        <is>
          <t>Bouquets</t>
        </is>
      </c>
      <c r="F345" s="30" t="inlineStr">
        <is>
          <t>Label removed (your comment)</t>
        </is>
      </c>
      <c r="G345" s="28" t="inlineStr">
        <is>
          <t>Your decision</t>
        </is>
      </c>
      <c r="H345" s="30" t="inlineStr">
        <is>
          <t>C7 Title blooms vs stems</t>
        </is>
      </c>
      <c r="I345" s="30" t="inlineStr">
        <is>
          <t>Title counts blooms, recipe counts stems: send blooms per stem so the wording can bridge them  -&gt;  intentional strategy: titles count blooms, recipes count stems</t>
        </is>
      </c>
      <c r="J345" s="30" t="inlineStr">
        <is>
          <t>Your comment 8 Oct</t>
        </is>
      </c>
      <c r="K345" s="30" t="n"/>
    </row>
    <row r="346" ht="22.35" customHeight="1" s="24">
      <c r="A346" s="28" t="n"/>
      <c r="B346" s="30" t="n"/>
      <c r="C346" s="30" t="inlineStr">
        <is>
          <t>MDA-03</t>
        </is>
      </c>
      <c r="D346" s="30" t="inlineStr">
        <is>
          <t>100 Peruvian Lilies Set</t>
        </is>
      </c>
      <c r="E346" s="30" t="inlineStr">
        <is>
          <t>Bouquets</t>
        </is>
      </c>
      <c r="F346" s="30" t="inlineStr">
        <is>
          <t>Label removed (your comment)</t>
        </is>
      </c>
      <c r="G346" s="28" t="inlineStr">
        <is>
          <t>Your decision</t>
        </is>
      </c>
      <c r="H346" s="30" t="inlineStr">
        <is>
          <t>C7 Title blooms vs stems</t>
        </is>
      </c>
      <c r="I346" s="30" t="inlineStr">
        <is>
          <t>Title counts blooms, recipe counts stems: send blooms per stem so the wording can bridge them  -&gt;  intentional strategy: titles count blooms, recipes count stems</t>
        </is>
      </c>
      <c r="J346" s="30" t="inlineStr">
        <is>
          <t>Your comment 8 Oct</t>
        </is>
      </c>
      <c r="K346" s="30" t="n"/>
    </row>
    <row r="347" ht="22.35" customHeight="1" s="24">
      <c r="A347" s="28" t="n"/>
      <c r="B347" s="30" t="n"/>
      <c r="C347" s="30" t="inlineStr">
        <is>
          <t>MJ100-17</t>
        </is>
      </c>
      <c r="D347" s="30" t="inlineStr">
        <is>
          <t>Thirty Blooms of Alstroemeria in Mason Jar</t>
        </is>
      </c>
      <c r="E347" s="30" t="inlineStr">
        <is>
          <t>Mason Jar</t>
        </is>
      </c>
      <c r="F347" s="30" t="inlineStr">
        <is>
          <t>Label removed (your comment)</t>
        </is>
      </c>
      <c r="G347" s="28" t="inlineStr">
        <is>
          <t>Your decision</t>
        </is>
      </c>
      <c r="H347" s="30" t="inlineStr">
        <is>
          <t>C7 Title blooms vs stems</t>
        </is>
      </c>
      <c r="I347" s="30" t="inlineStr">
        <is>
          <t>Title counts blooms, recipe counts stems: send blooms per stem so the wording can bridge them  -&gt;  intentional strategy: titles count blooms, recipes count stems</t>
        </is>
      </c>
      <c r="J347" s="30" t="inlineStr">
        <is>
          <t>Your comment 8 Oct</t>
        </is>
      </c>
      <c r="K347" s="30" t="n"/>
    </row>
    <row r="348" ht="22.35" customHeight="1" s="24">
      <c r="A348" s="28" t="n"/>
      <c r="B348" s="30" t="n"/>
      <c r="C348" s="30" t="inlineStr">
        <is>
          <t>AU0511-18</t>
        </is>
      </c>
      <c r="D348" s="30" t="inlineStr">
        <is>
          <t>Sue Elena</t>
        </is>
      </c>
      <c r="E348" s="30" t="inlineStr">
        <is>
          <t>Bouquets</t>
        </is>
      </c>
      <c r="F348" s="30" t="inlineStr">
        <is>
          <t>Label removed (live Joomla)</t>
        </is>
      </c>
      <c r="G348" s="29" t="inlineStr">
        <is>
          <t>Joomla export 7 Oct</t>
        </is>
      </c>
      <c r="H348" s="30" t="inlineStr">
        <is>
          <t>Bigger size has fewer items</t>
        </is>
      </c>
      <c r="I348" s="30" t="inlineStr">
        <is>
          <t>Supersize &lt; Deluxe for Gerbera Daisies assorted.  -&gt;  Live sizes: no bigger size has fewer items</t>
        </is>
      </c>
      <c r="J348" s="30" t="inlineStr">
        <is>
          <t>Joomla export 7 Oct</t>
        </is>
      </c>
      <c r="K348" s="30" t="n"/>
    </row>
    <row r="349" ht="15" customHeight="1" s="24">
      <c r="A349" s="28" t="n"/>
      <c r="B349" s="30" t="n"/>
      <c r="C349" s="30" t="inlineStr">
        <is>
          <t>AU1111-04</t>
        </is>
      </c>
      <c r="D349" s="30" t="inlineStr">
        <is>
          <t>24 Pink and White Roses</t>
        </is>
      </c>
      <c r="E349" s="30" t="inlineStr">
        <is>
          <t>Bouquets</t>
        </is>
      </c>
      <c r="F349" s="30" t="inlineStr">
        <is>
          <t>Label removed (live Joomla)</t>
        </is>
      </c>
      <c r="G349" s="29" t="inlineStr">
        <is>
          <t>Joomla export 7 Oct</t>
        </is>
      </c>
      <c r="H349" s="30" t="inlineStr">
        <is>
          <t>Bigger size has fewer items</t>
        </is>
      </c>
      <c r="I349" s="30" t="inlineStr">
        <is>
          <t>Deluxe &lt; Standard for Roses White.  -&gt;  Live sizes: no bigger size has fewer items</t>
        </is>
      </c>
      <c r="J349" s="30" t="inlineStr">
        <is>
          <t>Joomla export 7 Oct</t>
        </is>
      </c>
      <c r="K349" s="30" t="n"/>
    </row>
    <row r="350" ht="15" customHeight="1" s="24">
      <c r="A350" s="28" t="n"/>
      <c r="B350" s="30" t="n"/>
      <c r="C350" s="30" t="inlineStr">
        <is>
          <t>AU1111-04</t>
        </is>
      </c>
      <c r="D350" s="30" t="inlineStr">
        <is>
          <t>24 Pink and White Roses</t>
        </is>
      </c>
      <c r="E350" s="30" t="inlineStr">
        <is>
          <t>Bouquets</t>
        </is>
      </c>
      <c r="F350" s="30" t="inlineStr">
        <is>
          <t>Label removed (live Joomla)</t>
        </is>
      </c>
      <c r="G350" s="29" t="inlineStr">
        <is>
          <t>Joomla export 7 Oct</t>
        </is>
      </c>
      <c r="H350" s="30" t="inlineStr">
        <is>
          <t>Bigger size has fewer items</t>
        </is>
      </c>
      <c r="I350" s="30" t="inlineStr">
        <is>
          <t>Supersize &lt; Deluxe for Roses light pink.  -&gt;  Live sizes: no bigger size has fewer items</t>
        </is>
      </c>
      <c r="J350" s="30" t="inlineStr">
        <is>
          <t>Joomla export 7 Oct</t>
        </is>
      </c>
      <c r="K350" s="30" t="n"/>
    </row>
    <row r="351" ht="15" customHeight="1" s="24">
      <c r="A351" s="28" t="n"/>
      <c r="B351" s="30" t="n"/>
      <c r="C351" s="30" t="inlineStr">
        <is>
          <t>AU112-22</t>
        </is>
      </c>
      <c r="D351" s="30" t="inlineStr">
        <is>
          <t>Romantic Getaway</t>
        </is>
      </c>
      <c r="E351" s="30" t="inlineStr">
        <is>
          <t>Bouquets</t>
        </is>
      </c>
      <c r="F351" s="30" t="inlineStr">
        <is>
          <t>Label removed (live Joomla)</t>
        </is>
      </c>
      <c r="G351" s="29" t="inlineStr">
        <is>
          <t>Joomla export 7 Oct</t>
        </is>
      </c>
      <c r="H351" s="30" t="inlineStr">
        <is>
          <t>Bigger size has fewer items</t>
        </is>
      </c>
      <c r="I351" s="30" t="inlineStr">
        <is>
          <t>Standard &lt; Petite for Carnation White.  -&gt;  Live sizes: no bigger size has fewer items</t>
        </is>
      </c>
      <c r="J351" s="30" t="inlineStr">
        <is>
          <t>Joomla export 7 Oct</t>
        </is>
      </c>
      <c r="K351" s="30" t="n"/>
    </row>
    <row r="352" ht="15" customHeight="1" s="24">
      <c r="A352" s="28" t="n"/>
      <c r="B352" s="30" t="n"/>
      <c r="C352" s="30" t="inlineStr">
        <is>
          <t>AU112-90</t>
        </is>
      </c>
      <c r="D352" s="30" t="inlineStr">
        <is>
          <t>Simply Sweet</t>
        </is>
      </c>
      <c r="E352" s="30" t="inlineStr">
        <is>
          <t>Bouquets</t>
        </is>
      </c>
      <c r="F352" s="30" t="inlineStr">
        <is>
          <t>Label removed (live Joomla)</t>
        </is>
      </c>
      <c r="G352" s="29" t="inlineStr">
        <is>
          <t>Joomla export 7 Oct</t>
        </is>
      </c>
      <c r="H352" s="30" t="inlineStr">
        <is>
          <t>Bigger size has fewer items</t>
        </is>
      </c>
      <c r="I352" s="30" t="inlineStr">
        <is>
          <t>Supersize &lt; Deluxe for Alstroemeria Pink.  -&gt;  Live sizes: no bigger size has fewer items</t>
        </is>
      </c>
      <c r="J352" s="30" t="inlineStr">
        <is>
          <t>Joomla export 7 Oct</t>
        </is>
      </c>
      <c r="K352" s="30" t="n"/>
    </row>
    <row r="353" ht="15" customHeight="1" s="24">
      <c r="A353" s="28" t="n"/>
      <c r="B353" s="30" t="n"/>
      <c r="C353" s="30" t="inlineStr">
        <is>
          <t>AU213-60</t>
        </is>
      </c>
      <c r="D353" s="30" t="inlineStr">
        <is>
          <t>Joyous Delight</t>
        </is>
      </c>
      <c r="E353" s="30" t="inlineStr">
        <is>
          <t>Bouquets</t>
        </is>
      </c>
      <c r="F353" s="30" t="inlineStr">
        <is>
          <t>Label removed (live Joomla)</t>
        </is>
      </c>
      <c r="G353" s="29" t="inlineStr">
        <is>
          <t>Joomla export 7 Oct</t>
        </is>
      </c>
      <c r="H353" s="30" t="inlineStr">
        <is>
          <t>Bigger size has fewer items</t>
        </is>
      </c>
      <c r="I353" s="30" t="inlineStr">
        <is>
          <t>Supersize &lt; Deluxe for Carnations Cream.  -&gt;  Live sizes: no bigger size has fewer items</t>
        </is>
      </c>
      <c r="J353" s="30" t="inlineStr">
        <is>
          <t>Joomla export 7 Oct</t>
        </is>
      </c>
      <c r="K353" s="30" t="n"/>
    </row>
    <row r="354" ht="15" customHeight="1" s="24">
      <c r="A354" s="28" t="n"/>
      <c r="B354" s="30" t="n"/>
      <c r="C354" s="30" t="inlineStr">
        <is>
          <t>AU51-01</t>
        </is>
      </c>
      <c r="D354" s="30" t="inlineStr">
        <is>
          <t>Bestseller Combo I</t>
        </is>
      </c>
      <c r="E354" s="30" t="inlineStr">
        <is>
          <t>Bouquets</t>
        </is>
      </c>
      <c r="F354" s="30" t="inlineStr">
        <is>
          <t>Label removed (live Joomla)</t>
        </is>
      </c>
      <c r="G354" s="29" t="inlineStr">
        <is>
          <t>Joomla export 7 Oct</t>
        </is>
      </c>
      <c r="H354" s="30" t="inlineStr">
        <is>
          <t>Bigger size has fewer items</t>
        </is>
      </c>
      <c r="I354" s="30" t="inlineStr">
        <is>
          <t>Deluxe &lt; Standard for Cellophane.  -&gt;  Live sizes: no bigger size has fewer items</t>
        </is>
      </c>
      <c r="J354" s="30" t="inlineStr">
        <is>
          <t>Joomla export 7 Oct</t>
        </is>
      </c>
      <c r="K354" s="30" t="n"/>
    </row>
    <row r="355" ht="15" customHeight="1" s="24">
      <c r="A355" s="28" t="n"/>
      <c r="B355" s="30" t="n"/>
      <c r="C355" s="30" t="inlineStr">
        <is>
          <t>AU51-04</t>
        </is>
      </c>
      <c r="D355" s="30" t="inlineStr">
        <is>
          <t>Bestseller Combo IV</t>
        </is>
      </c>
      <c r="E355" s="30" t="inlineStr">
        <is>
          <t>Bouquets</t>
        </is>
      </c>
      <c r="F355" s="30" t="inlineStr">
        <is>
          <t>Label removed (live Joomla)</t>
        </is>
      </c>
      <c r="G355" s="29" t="inlineStr">
        <is>
          <t>Joomla export 7 Oct</t>
        </is>
      </c>
      <c r="H355" s="30" t="inlineStr">
        <is>
          <t>Bigger size has fewer items</t>
        </is>
      </c>
      <c r="I355" s="30" t="inlineStr">
        <is>
          <t>Deluxe &lt; Standard for Cellophane.  -&gt;  Live sizes: no bigger size has fewer items</t>
        </is>
      </c>
      <c r="J355" s="30" t="inlineStr">
        <is>
          <t>Joomla export 7 Oct</t>
        </is>
      </c>
      <c r="K355" s="30" t="n"/>
    </row>
    <row r="356" ht="15" customHeight="1" s="24">
      <c r="A356" s="28" t="n"/>
      <c r="B356" s="30" t="n"/>
      <c r="C356" s="30" t="inlineStr">
        <is>
          <t>AU89-99</t>
        </is>
      </c>
      <c r="D356" s="30" t="inlineStr">
        <is>
          <t>Eighteen Long Stem Red Roses</t>
        </is>
      </c>
      <c r="E356" s="30" t="inlineStr">
        <is>
          <t>Bouquets</t>
        </is>
      </c>
      <c r="F356" s="30" t="inlineStr">
        <is>
          <t>Label removed (live Joomla)</t>
        </is>
      </c>
      <c r="G356" s="29" t="inlineStr">
        <is>
          <t>Joomla export 7 Oct</t>
        </is>
      </c>
      <c r="H356" s="30" t="inlineStr">
        <is>
          <t>Bigger size has fewer items</t>
        </is>
      </c>
      <c r="I356" s="30" t="inlineStr">
        <is>
          <t>Deluxe &lt; Standard for Cellophane.  -&gt;  Live sizes: no bigger size has fewer items</t>
        </is>
      </c>
      <c r="J356" s="30" t="inlineStr">
        <is>
          <t>Joomla export 7 Oct</t>
        </is>
      </c>
      <c r="K356" s="30" t="n"/>
    </row>
    <row r="357" ht="15" customHeight="1" s="24">
      <c r="A357" s="28" t="n"/>
      <c r="B357" s="30" t="n"/>
      <c r="C357" s="30" t="inlineStr">
        <is>
          <t>AUBLXNZ-04</t>
        </is>
      </c>
      <c r="D357" s="30" t="inlineStr">
        <is>
          <t>Roses &amp; Alstroemeria Medley</t>
        </is>
      </c>
      <c r="E357" s="30" t="inlineStr">
        <is>
          <t>Bouquets</t>
        </is>
      </c>
      <c r="F357" s="30" t="inlineStr">
        <is>
          <t>Label removed (live Joomla)</t>
        </is>
      </c>
      <c r="G357" s="29" t="inlineStr">
        <is>
          <t>Joomla export 7 Oct</t>
        </is>
      </c>
      <c r="H357" s="30" t="inlineStr">
        <is>
          <t>Bigger size has fewer items</t>
        </is>
      </c>
      <c r="I357" s="30" t="inlineStr">
        <is>
          <t>Standard &lt; Petite for Roses light pink.  -&gt;  Live sizes: no bigger size has fewer items</t>
        </is>
      </c>
      <c r="J357" s="30" t="inlineStr">
        <is>
          <t>Joomla export 7 Oct</t>
        </is>
      </c>
      <c r="K357" s="30" t="n"/>
    </row>
    <row r="358" ht="22.35" customHeight="1" s="24">
      <c r="A358" s="28" t="n"/>
      <c r="B358" s="30" t="n"/>
      <c r="C358" s="30" t="inlineStr">
        <is>
          <t>AUFS-03</t>
        </is>
      </c>
      <c r="D358" s="30" t="inlineStr">
        <is>
          <t>Dozen Roses, Chocolates, Vase &amp; Card</t>
        </is>
      </c>
      <c r="E358" s="30" t="inlineStr">
        <is>
          <t>Roses</t>
        </is>
      </c>
      <c r="F358" s="30" t="inlineStr">
        <is>
          <t>Label removed (live Joomla)</t>
        </is>
      </c>
      <c r="G358" s="29" t="inlineStr">
        <is>
          <t>Joomla export 7 Oct</t>
        </is>
      </c>
      <c r="H358" s="30" t="inlineStr">
        <is>
          <t>Bigger size has fewer items</t>
        </is>
      </c>
      <c r="I358" s="30" t="inlineStr">
        <is>
          <t>Deluxe &lt; Standard for Cellophane.  -&gt;  Live sizes: no bigger size has fewer items</t>
        </is>
      </c>
      <c r="J358" s="30" t="inlineStr">
        <is>
          <t>Joomla export 7 Oct</t>
        </is>
      </c>
      <c r="K358" s="30" t="n"/>
    </row>
    <row r="359" ht="15" customHeight="1" s="24">
      <c r="A359" s="28" t="n"/>
      <c r="B359" s="30" t="n"/>
      <c r="C359" s="30" t="inlineStr">
        <is>
          <t>AUGF16-82</t>
        </is>
      </c>
      <c r="D359" s="30" t="inlineStr">
        <is>
          <t>Just Because</t>
        </is>
      </c>
      <c r="E359" s="30" t="inlineStr">
        <is>
          <t>Bouquets</t>
        </is>
      </c>
      <c r="F359" s="30" t="inlineStr">
        <is>
          <t>Label removed (live Joomla)</t>
        </is>
      </c>
      <c r="G359" s="29" t="inlineStr">
        <is>
          <t>Joomla export 7 Oct</t>
        </is>
      </c>
      <c r="H359" s="30" t="inlineStr">
        <is>
          <t>Bigger size has fewer items</t>
        </is>
      </c>
      <c r="I359" s="30" t="inlineStr">
        <is>
          <t>Standard &lt; Petite for Alstroemeria Yellow.  -&gt;  Live sizes: no bigger size has fewer items</t>
        </is>
      </c>
      <c r="J359" s="30" t="inlineStr">
        <is>
          <t>Joomla export 7 Oct</t>
        </is>
      </c>
      <c r="K359" s="30" t="n"/>
    </row>
    <row r="360" ht="15" customHeight="1" s="24">
      <c r="A360" s="28" t="n"/>
      <c r="B360" s="30" t="n"/>
      <c r="C360" s="30" t="inlineStr">
        <is>
          <t>AUMJ-NW-001</t>
        </is>
      </c>
      <c r="D360" s="30" t="inlineStr">
        <is>
          <t>Purple Rain Bouquet in Mason Jar</t>
        </is>
      </c>
      <c r="E360" s="30" t="inlineStr">
        <is>
          <t>Mason Jar</t>
        </is>
      </c>
      <c r="F360" s="30" t="inlineStr">
        <is>
          <t>Label removed (live Joomla)</t>
        </is>
      </c>
      <c r="G360" s="29" t="inlineStr">
        <is>
          <t>Joomla export 7 Oct</t>
        </is>
      </c>
      <c r="H360" s="30" t="inlineStr">
        <is>
          <t>Bigger size has fewer items</t>
        </is>
      </c>
      <c r="I360" s="30" t="inlineStr">
        <is>
          <t>Supersize &lt; Deluxe for Mini Carnations Purple.  -&gt;  Live sizes: no bigger size has fewer items</t>
        </is>
      </c>
      <c r="J360" s="30" t="inlineStr">
        <is>
          <t>Joomla export 7 Oct</t>
        </is>
      </c>
      <c r="K360" s="30" t="n"/>
    </row>
    <row r="361" ht="15" customHeight="1" s="24">
      <c r="A361" s="28" t="n"/>
      <c r="B361" s="30" t="n"/>
      <c r="C361" s="30" t="inlineStr">
        <is>
          <t>LF100-586</t>
        </is>
      </c>
      <c r="D361" s="30" t="inlineStr">
        <is>
          <t>Touch Of Red Roses</t>
        </is>
      </c>
      <c r="E361" s="30" t="inlineStr">
        <is>
          <t>Roses</t>
        </is>
      </c>
      <c r="F361" s="30" t="inlineStr">
        <is>
          <t>Label removed (live Joomla)</t>
        </is>
      </c>
      <c r="G361" s="29" t="inlineStr">
        <is>
          <t>Joomla export 7 Oct</t>
        </is>
      </c>
      <c r="H361" s="30" t="inlineStr">
        <is>
          <t>Bigger size has fewer items</t>
        </is>
      </c>
      <c r="I361" s="30" t="inlineStr">
        <is>
          <t>Deluxe &lt; Standard for Red Ribbon.  -&gt;  Live sizes: no bigger size has fewer items</t>
        </is>
      </c>
      <c r="J361" s="30" t="inlineStr">
        <is>
          <t>Joomla export 7 Oct</t>
        </is>
      </c>
      <c r="K361" s="30" t="n"/>
    </row>
    <row r="362" ht="22.35" customHeight="1" s="24">
      <c r="A362" s="28" t="n"/>
      <c r="B362" s="30" t="n"/>
      <c r="C362" s="30" t="inlineStr">
        <is>
          <t>LF100-595</t>
        </is>
      </c>
      <c r="D362" s="30" t="inlineStr">
        <is>
          <t>Warm Regards Funeral Flower Package</t>
        </is>
      </c>
      <c r="E362" s="30" t="inlineStr">
        <is>
          <t>Sympathy</t>
        </is>
      </c>
      <c r="F362" s="30" t="inlineStr">
        <is>
          <t>Label removed (live Joomla)</t>
        </is>
      </c>
      <c r="G362" s="29" t="inlineStr">
        <is>
          <t>Joomla export 7 Oct</t>
        </is>
      </c>
      <c r="H362" s="30" t="inlineStr">
        <is>
          <t>Bigger size has fewer items</t>
        </is>
      </c>
      <c r="I362" s="30" t="inlineStr">
        <is>
          <t>Standard &lt; Petite for Roses Spray Red, Carnation Red.  -&gt;  Live sizes: no bigger size has fewer items</t>
        </is>
      </c>
      <c r="J362" s="30" t="inlineStr">
        <is>
          <t>Joomla export 7 Oct</t>
        </is>
      </c>
      <c r="K362" s="30" t="n"/>
    </row>
    <row r="363" ht="22.35" customHeight="1" s="24">
      <c r="A363" s="28" t="n"/>
      <c r="B363" s="30" t="n"/>
      <c r="C363" s="30" t="inlineStr">
        <is>
          <t>LF100-595</t>
        </is>
      </c>
      <c r="D363" s="30" t="inlineStr">
        <is>
          <t>Warm Regards Funeral Flower Package</t>
        </is>
      </c>
      <c r="E363" s="30" t="inlineStr">
        <is>
          <t>Sympathy</t>
        </is>
      </c>
      <c r="F363" s="30" t="inlineStr">
        <is>
          <t>Label removed (live Joomla)</t>
        </is>
      </c>
      <c r="G363" s="29" t="inlineStr">
        <is>
          <t>Joomla export 7 Oct</t>
        </is>
      </c>
      <c r="H363" s="30" t="inlineStr">
        <is>
          <t>Bigger size has fewer items</t>
        </is>
      </c>
      <c r="I363" s="30" t="inlineStr">
        <is>
          <t>Deluxe &lt; Standard for Roses Red, Chrysanthemum Daisies Red, Baby's Breath, Red Bow….  -&gt;  Live sizes: no bigger size has fewer items</t>
        </is>
      </c>
      <c r="J363" s="30" t="inlineStr">
        <is>
          <t>Joomla export 7 Oct</t>
        </is>
      </c>
      <c r="K363" s="30" t="n"/>
    </row>
    <row r="364" ht="22.35" customHeight="1" s="24">
      <c r="A364" s="28" t="n"/>
      <c r="B364" s="30" t="n"/>
      <c r="C364" s="30" t="inlineStr">
        <is>
          <t>RDC-03</t>
        </is>
      </c>
      <c r="D364" s="30" t="inlineStr">
        <is>
          <t>Rainbow Daisy Collection III</t>
        </is>
      </c>
      <c r="E364" s="30" t="inlineStr">
        <is>
          <t>Bouquets</t>
        </is>
      </c>
      <c r="F364" s="30" t="inlineStr">
        <is>
          <t>Label removed (live Joomla)</t>
        </is>
      </c>
      <c r="G364" s="29" t="inlineStr">
        <is>
          <t>Joomla export 7 Oct</t>
        </is>
      </c>
      <c r="H364" s="30" t="inlineStr">
        <is>
          <t>Bigger size has fewer items</t>
        </is>
      </c>
      <c r="I364" s="30" t="inlineStr">
        <is>
          <t>Standard &lt; Petite for Chrysanthemum Spray White.  -&gt;  Live sizes: no bigger size has fewer items</t>
        </is>
      </c>
      <c r="J364" s="30" t="inlineStr">
        <is>
          <t>Joomla export 7 Oct</t>
        </is>
      </c>
      <c r="K364" s="30" t="n"/>
    </row>
    <row r="365" ht="22.35" customHeight="1" s="24">
      <c r="A365" s="28" t="n"/>
      <c r="B365" s="30" t="n"/>
      <c r="C365" s="30" t="inlineStr">
        <is>
          <t>RDC-03</t>
        </is>
      </c>
      <c r="D365" s="30" t="inlineStr">
        <is>
          <t>Rainbow Daisy Collection III</t>
        </is>
      </c>
      <c r="E365" s="30" t="inlineStr">
        <is>
          <t>Bouquets</t>
        </is>
      </c>
      <c r="F365" s="30" t="inlineStr">
        <is>
          <t>Label removed (live Joomla)</t>
        </is>
      </c>
      <c r="G365" s="29" t="inlineStr">
        <is>
          <t>Joomla export 7 Oct</t>
        </is>
      </c>
      <c r="H365" s="30" t="inlineStr">
        <is>
          <t>Bigger size has fewer items</t>
        </is>
      </c>
      <c r="I365" s="30" t="inlineStr">
        <is>
          <t>Deluxe &lt; Standard for Chrysanthemum spray orange.  -&gt;  Live sizes: no bigger size has fewer items</t>
        </is>
      </c>
      <c r="J365" s="30" t="inlineStr">
        <is>
          <t>Joomla export 7 Oct</t>
        </is>
      </c>
      <c r="K365" s="30" t="n"/>
    </row>
    <row r="366" ht="22.35" customHeight="1" s="24">
      <c r="A366" s="28" t="n"/>
      <c r="B366" s="30" t="n"/>
      <c r="C366" s="30" t="inlineStr">
        <is>
          <t>RDC-04</t>
        </is>
      </c>
      <c r="D366" s="30" t="inlineStr">
        <is>
          <t>Rainbow Daisy Collection IV</t>
        </is>
      </c>
      <c r="E366" s="30" t="inlineStr">
        <is>
          <t>Bouquets</t>
        </is>
      </c>
      <c r="F366" s="30" t="inlineStr">
        <is>
          <t>Label removed (live Joomla)</t>
        </is>
      </c>
      <c r="G366" s="29" t="inlineStr">
        <is>
          <t>Joomla export 7 Oct</t>
        </is>
      </c>
      <c r="H366" s="30" t="inlineStr">
        <is>
          <t>Bigger size has fewer items</t>
        </is>
      </c>
      <c r="I366" s="30" t="inlineStr">
        <is>
          <t>Standard &lt; Petite for Chrysanthemum Spray White.  -&gt;  Live sizes: no bigger size has fewer items</t>
        </is>
      </c>
      <c r="J366" s="30" t="inlineStr">
        <is>
          <t>Joomla export 7 Oct</t>
        </is>
      </c>
      <c r="K366" s="30" t="n"/>
    </row>
    <row r="367" ht="22.35" customHeight="1" s="24">
      <c r="A367" s="28" t="n"/>
      <c r="B367" s="30" t="n"/>
      <c r="C367" s="30" t="inlineStr">
        <is>
          <t>RDC-04</t>
        </is>
      </c>
      <c r="D367" s="30" t="inlineStr">
        <is>
          <t>Rainbow Daisy Collection IV</t>
        </is>
      </c>
      <c r="E367" s="30" t="inlineStr">
        <is>
          <t>Bouquets</t>
        </is>
      </c>
      <c r="F367" s="30" t="inlineStr">
        <is>
          <t>Label removed (live Joomla)</t>
        </is>
      </c>
      <c r="G367" s="29" t="inlineStr">
        <is>
          <t>Joomla export 7 Oct</t>
        </is>
      </c>
      <c r="H367" s="30" t="inlineStr">
        <is>
          <t>Bigger size has fewer items</t>
        </is>
      </c>
      <c r="I367" s="30" t="inlineStr">
        <is>
          <t>Deluxe &lt; Standard for Chrysanthemum spray orange.  -&gt;  Live sizes: no bigger size has fewer items</t>
        </is>
      </c>
      <c r="J367" s="30" t="inlineStr">
        <is>
          <t>Joomla export 7 Oct</t>
        </is>
      </c>
      <c r="K367" s="30" t="n"/>
    </row>
    <row r="368" ht="22.35" customHeight="1" s="24">
      <c r="A368" s="28" t="n"/>
      <c r="B368" s="30" t="n"/>
      <c r="C368" s="30" t="inlineStr">
        <is>
          <t>RDC-04</t>
        </is>
      </c>
      <c r="D368" s="30" t="inlineStr">
        <is>
          <t>Rainbow Daisy Collection IV</t>
        </is>
      </c>
      <c r="E368" s="30" t="inlineStr">
        <is>
          <t>Bouquets</t>
        </is>
      </c>
      <c r="F368" s="30" t="inlineStr">
        <is>
          <t>Label removed (live Joomla)</t>
        </is>
      </c>
      <c r="G368" s="29" t="inlineStr">
        <is>
          <t>Joomla export 7 Oct</t>
        </is>
      </c>
      <c r="H368" s="30" t="inlineStr">
        <is>
          <t>Bigger size has fewer items</t>
        </is>
      </c>
      <c r="I368" s="30" t="inlineStr">
        <is>
          <t>Supersize &lt; Deluxe for Chrysanthemum Daisies Pink.  -&gt;  Live sizes: no bigger size has fewer items</t>
        </is>
      </c>
      <c r="J368" s="30" t="inlineStr">
        <is>
          <t>Joomla export 7 Oct</t>
        </is>
      </c>
      <c r="K368" s="30" t="n"/>
    </row>
    <row r="369" ht="15" customHeight="1" s="24">
      <c r="A369" s="28" t="n"/>
      <c r="B369" s="30" t="n"/>
      <c r="C369" s="30" t="inlineStr">
        <is>
          <t>SHR-01</t>
        </is>
      </c>
      <c r="D369" s="30" t="inlineStr">
        <is>
          <t>12 Sweetheart Roses I</t>
        </is>
      </c>
      <c r="E369" s="30" t="inlineStr">
        <is>
          <t>Roses</t>
        </is>
      </c>
      <c r="F369" s="30" t="inlineStr">
        <is>
          <t>Label removed (live Joomla)</t>
        </is>
      </c>
      <c r="G369" s="29" t="inlineStr">
        <is>
          <t>Joomla export 7 Oct</t>
        </is>
      </c>
      <c r="H369" s="30" t="inlineStr">
        <is>
          <t>Bigger size has fewer items</t>
        </is>
      </c>
      <c r="I369" s="30" t="inlineStr">
        <is>
          <t>Deluxe &lt; Standard for Cellophane.  -&gt;  Live sizes: no bigger size has fewer items</t>
        </is>
      </c>
      <c r="J369" s="30" t="inlineStr">
        <is>
          <t>Joomla export 7 Oct</t>
        </is>
      </c>
      <c r="K369" s="30" t="n"/>
    </row>
    <row r="370" ht="22.35" customHeight="1" s="24">
      <c r="A370" s="28" t="n"/>
      <c r="B370" s="30" t="n"/>
      <c r="C370" s="30" t="inlineStr">
        <is>
          <t>AU13-47</t>
        </is>
      </c>
      <c r="D370" s="30" t="inlineStr">
        <is>
          <t>Dozen Boxed Red Roses Combo III</t>
        </is>
      </c>
      <c r="E370" s="30" t="inlineStr">
        <is>
          <t>Add-Ons</t>
        </is>
      </c>
      <c r="F370" s="30" t="inlineStr">
        <is>
          <t>Label removed (live Joomla)</t>
        </is>
      </c>
      <c r="G370" s="29" t="inlineStr">
        <is>
          <t>Joomla export 7 Oct</t>
        </is>
      </c>
      <c r="H370" s="30" t="inlineStr">
        <is>
          <t>Current text: Gift/container in recipe not mentioned: balloon</t>
        </is>
      </c>
      <c r="I370" s="30" t="inlineStr">
        <is>
          <t>Recipe includes balloon but the description doesn't mention it.  -&gt;  Live recipe has no balloon</t>
        </is>
      </c>
      <c r="J370" s="30" t="inlineStr">
        <is>
          <t>Joomla export 7 Oct</t>
        </is>
      </c>
      <c r="K370" s="30" t="n"/>
    </row>
    <row r="371" ht="22.35" customHeight="1" s="24">
      <c r="A371" s="28" t="n"/>
      <c r="B371" s="30" t="n"/>
      <c r="C371" s="30" t="inlineStr">
        <is>
          <t>AU112-90</t>
        </is>
      </c>
      <c r="D371" s="30" t="inlineStr">
        <is>
          <t>Simply Sweet</t>
        </is>
      </c>
      <c r="E371" s="30" t="inlineStr">
        <is>
          <t>Bouquets</t>
        </is>
      </c>
      <c r="F371" s="30" t="inlineStr">
        <is>
          <t>Label removed (live Joomla)</t>
        </is>
      </c>
      <c r="G371" s="29" t="inlineStr">
        <is>
          <t>Joomla export 7 Oct</t>
        </is>
      </c>
      <c r="H371" s="30" t="inlineStr">
        <is>
          <t>Decision needed (Benny or Jarrod)</t>
        </is>
      </c>
      <c r="I371" s="30" t="inlineStr">
        <is>
          <t>Master 5 vs Jarrod 3  -&gt;  Live shows 3 alstroemeria pink = Jarrod; the 5 only remains in the master file (correct the master)</t>
        </is>
      </c>
      <c r="J371" s="30" t="inlineStr">
        <is>
          <t>Joomla export 7 Oct</t>
        </is>
      </c>
      <c r="K371" s="30" t="n"/>
    </row>
    <row r="372" ht="22.35" customHeight="1" s="24">
      <c r="A372" s="28" t="n"/>
      <c r="B372" s="30" t="n"/>
      <c r="C372" s="30" t="inlineStr">
        <is>
          <t>AURP04</t>
        </is>
      </c>
      <c r="D372" s="30" t="inlineStr">
        <is>
          <t>Glass Vase (Hand blown)</t>
        </is>
      </c>
      <c r="E372" s="30" t="inlineStr">
        <is>
          <t>Add-Ons</t>
        </is>
      </c>
      <c r="F372" s="30" t="inlineStr">
        <is>
          <t>Label removed (live Joomla)</t>
        </is>
      </c>
      <c r="G372" s="29" t="inlineStr">
        <is>
          <t>Joomla export 7 Oct</t>
        </is>
      </c>
      <c r="H372" s="30" t="inlineStr">
        <is>
          <t>Duplicate title (info)</t>
        </is>
      </c>
      <c r="I372" s="30" t="inlineStr">
        <is>
          <t>Duplicate product title in catalogue (same name, different SKU) — rename or merge.  -&gt;  Live title is unique</t>
        </is>
      </c>
      <c r="J372" s="30" t="inlineStr">
        <is>
          <t>Joomla export 7 Oct</t>
        </is>
      </c>
      <c r="K372" s="30" t="n"/>
    </row>
    <row r="373" ht="22.35" customHeight="1" s="24">
      <c r="A373" s="28" t="n"/>
      <c r="B373" s="30" t="n"/>
      <c r="C373" s="30" t="inlineStr">
        <is>
          <t>MJ100-06</t>
        </is>
      </c>
      <c r="D373" s="30" t="inlineStr">
        <is>
          <t>Assorted Roses In Mason Jar</t>
        </is>
      </c>
      <c r="E373" s="30" t="inlineStr">
        <is>
          <t>Mason Jar</t>
        </is>
      </c>
      <c r="F373" s="30" t="inlineStr">
        <is>
          <t>Label removed (live Joomla)</t>
        </is>
      </c>
      <c r="G373" s="29" t="inlineStr">
        <is>
          <t>Joomla export 7 Oct</t>
        </is>
      </c>
      <c r="H373" s="30" t="inlineStr">
        <is>
          <t>Duplicate title (info)</t>
        </is>
      </c>
      <c r="I373" s="30" t="inlineStr">
        <is>
          <t>Duplicate product title in catalogue (same name, different SKU) — rename or merge.  -&gt;  Live title is unique</t>
        </is>
      </c>
      <c r="J373" s="30" t="inlineStr">
        <is>
          <t>Joomla export 7 Oct</t>
        </is>
      </c>
      <c r="K373" s="30" t="n"/>
    </row>
    <row r="374" ht="22.35" customHeight="1" s="24">
      <c r="A374" s="28" t="n"/>
      <c r="B374" s="30" t="n"/>
      <c r="C374" s="30" t="inlineStr">
        <is>
          <t>MJ100-07</t>
        </is>
      </c>
      <c r="D374" s="30" t="inlineStr">
        <is>
          <t>Thirty Blooms Of Alstroemeria In Mason Jar</t>
        </is>
      </c>
      <c r="E374" s="30" t="inlineStr">
        <is>
          <t>Mason Jar</t>
        </is>
      </c>
      <c r="F374" s="30" t="inlineStr">
        <is>
          <t>Label removed (live Joomla)</t>
        </is>
      </c>
      <c r="G374" s="29" t="inlineStr">
        <is>
          <t>Joomla export 7 Oct</t>
        </is>
      </c>
      <c r="H374" s="30" t="inlineStr">
        <is>
          <t>Duplicate title (info)</t>
        </is>
      </c>
      <c r="I374" s="30" t="inlineStr">
        <is>
          <t>Duplicate product title in catalogue (same name, different SKU) — rename or merge.  -&gt;  Live title is unique</t>
        </is>
      </c>
      <c r="J374" s="30" t="inlineStr">
        <is>
          <t>Joomla export 7 Oct</t>
        </is>
      </c>
      <c r="K374" s="30" t="n"/>
    </row>
    <row r="375" ht="22.35" customHeight="1" s="24">
      <c r="A375" s="28" t="n"/>
      <c r="B375" s="30" t="n"/>
      <c r="C375" s="30" t="inlineStr">
        <is>
          <t>MJ100-17</t>
        </is>
      </c>
      <c r="D375" s="30" t="inlineStr">
        <is>
          <t>Thirty Blooms of Alstroemeria in Mason Jar</t>
        </is>
      </c>
      <c r="E375" s="30" t="inlineStr">
        <is>
          <t>Mason Jar</t>
        </is>
      </c>
      <c r="F375" s="30" t="inlineStr">
        <is>
          <t>Label removed (live Joomla)</t>
        </is>
      </c>
      <c r="G375" s="29" t="inlineStr">
        <is>
          <t>Joomla export 7 Oct</t>
        </is>
      </c>
      <c r="H375" s="30" t="inlineStr">
        <is>
          <t>Duplicate title (info)</t>
        </is>
      </c>
      <c r="I375" s="30" t="inlineStr">
        <is>
          <t>Duplicate product title in catalogue (same name, different SKU) — rename or merge.  -&gt;  Live title is unique</t>
        </is>
      </c>
      <c r="J375" s="30" t="inlineStr">
        <is>
          <t>Joomla export 7 Oct</t>
        </is>
      </c>
      <c r="K375" s="30" t="n"/>
    </row>
    <row r="376" ht="22.35" customHeight="1" s="24">
      <c r="A376" s="28" t="n"/>
      <c r="B376" s="30" t="n"/>
      <c r="C376" s="30" t="inlineStr">
        <is>
          <t>MJ100-24</t>
        </is>
      </c>
      <c r="D376" s="30" t="inlineStr">
        <is>
          <t>Assorted Roses in Mason Jar</t>
        </is>
      </c>
      <c r="E376" s="30" t="inlineStr">
        <is>
          <t>Mason Jar</t>
        </is>
      </c>
      <c r="F376" s="30" t="inlineStr">
        <is>
          <t>Label removed (live Joomla)</t>
        </is>
      </c>
      <c r="G376" s="29" t="inlineStr">
        <is>
          <t>Joomla export 7 Oct</t>
        </is>
      </c>
      <c r="H376" s="30" t="inlineStr">
        <is>
          <t>Duplicate title (info)</t>
        </is>
      </c>
      <c r="I376" s="30" t="inlineStr">
        <is>
          <t>Duplicate product title in catalogue (same name, different SKU) — rename or merge.  -&gt;  Live title is unique</t>
        </is>
      </c>
      <c r="J376" s="30" t="inlineStr">
        <is>
          <t>Joomla export 7 Oct</t>
        </is>
      </c>
      <c r="K376" s="30" t="n"/>
    </row>
    <row r="377" ht="22.35" customHeight="1" s="24">
      <c r="A377" s="28" t="n"/>
      <c r="B377" s="30" t="n"/>
      <c r="C377" s="30" t="inlineStr">
        <is>
          <t>MJ11-30</t>
        </is>
      </c>
      <c r="D377" s="30" t="inlineStr">
        <is>
          <t>Sweetheart Roses in Mason Jar</t>
        </is>
      </c>
      <c r="E377" s="30" t="inlineStr">
        <is>
          <t>Mason Jar</t>
        </is>
      </c>
      <c r="F377" s="30" t="inlineStr">
        <is>
          <t>Label removed (live Joomla)</t>
        </is>
      </c>
      <c r="G377" s="29" t="inlineStr">
        <is>
          <t>Joomla export 7 Oct</t>
        </is>
      </c>
      <c r="H377" s="30" t="inlineStr">
        <is>
          <t>Duplicate title (info)</t>
        </is>
      </c>
      <c r="I377" s="30" t="inlineStr">
        <is>
          <t>Duplicate product title in catalogue (same name, different SKU) — rename or merge.  -&gt;  Live title is unique</t>
        </is>
      </c>
      <c r="J377" s="30" t="inlineStr">
        <is>
          <t>Joomla export 7 Oct</t>
        </is>
      </c>
      <c r="K377" s="30" t="n"/>
    </row>
    <row r="378" ht="22.35" customHeight="1" s="24">
      <c r="A378" s="28" t="n"/>
      <c r="B378" s="30" t="n"/>
      <c r="C378" s="30" t="inlineStr">
        <is>
          <t>MJ11-30BNZ</t>
        </is>
      </c>
      <c r="D378" s="30" t="inlineStr">
        <is>
          <t>Sweetheart Roses In Mason Jar</t>
        </is>
      </c>
      <c r="E378" s="30" t="inlineStr">
        <is>
          <t>Mason Jar</t>
        </is>
      </c>
      <c r="F378" s="30" t="inlineStr">
        <is>
          <t>Label removed (live Joomla)</t>
        </is>
      </c>
      <c r="G378" s="29" t="inlineStr">
        <is>
          <t>Joomla export 7 Oct</t>
        </is>
      </c>
      <c r="H378" s="30" t="inlineStr">
        <is>
          <t>Duplicate title (info)</t>
        </is>
      </c>
      <c r="I378" s="30" t="inlineStr">
        <is>
          <t>Duplicate product title in catalogue (same name, different SKU) — rename or merge.  -&gt;  Live title is unique</t>
        </is>
      </c>
      <c r="J378" s="30" t="inlineStr">
        <is>
          <t>Joomla export 7 Oct</t>
        </is>
      </c>
      <c r="K378" s="30" t="n"/>
    </row>
    <row r="379" ht="22.35" customHeight="1" s="24">
      <c r="A379" s="28" t="n"/>
      <c r="B379" s="30" t="n"/>
      <c r="C379" s="30" t="inlineStr">
        <is>
          <t>MJ22-10</t>
        </is>
      </c>
      <c r="D379" s="30" t="inlineStr">
        <is>
          <t>Shades of Pink in Mason Jar</t>
        </is>
      </c>
      <c r="E379" s="30" t="inlineStr">
        <is>
          <t>Mason Jar</t>
        </is>
      </c>
      <c r="F379" s="30" t="inlineStr">
        <is>
          <t>Label removed (live Joomla)</t>
        </is>
      </c>
      <c r="G379" s="29" t="inlineStr">
        <is>
          <t>Joomla export 7 Oct</t>
        </is>
      </c>
      <c r="H379" s="30" t="inlineStr">
        <is>
          <t>Duplicate title (info)</t>
        </is>
      </c>
      <c r="I379" s="30" t="inlineStr">
        <is>
          <t>Duplicate product title in catalogue (same name, different SKU) — rename or merge.  -&gt;  Live title is unique</t>
        </is>
      </c>
      <c r="J379" s="30" t="inlineStr">
        <is>
          <t>Joomla export 7 Oct</t>
        </is>
      </c>
      <c r="K379" s="30" t="n"/>
    </row>
    <row r="380" ht="22.35" customHeight="1" s="24">
      <c r="A380" s="28" t="n"/>
      <c r="B380" s="30" t="n"/>
      <c r="C380" s="30" t="inlineStr">
        <is>
          <t>MJ22-10BNZ</t>
        </is>
      </c>
      <c r="D380" s="30" t="inlineStr">
        <is>
          <t>Shades Of Pink In Mason Jar</t>
        </is>
      </c>
      <c r="E380" s="30" t="inlineStr">
        <is>
          <t>Mason Jar</t>
        </is>
      </c>
      <c r="F380" s="30" t="inlineStr">
        <is>
          <t>Label removed (live Joomla)</t>
        </is>
      </c>
      <c r="G380" s="29" t="inlineStr">
        <is>
          <t>Joomla export 7 Oct</t>
        </is>
      </c>
      <c r="H380" s="30" t="inlineStr">
        <is>
          <t>Duplicate title (info)</t>
        </is>
      </c>
      <c r="I380" s="30" t="inlineStr">
        <is>
          <t>Duplicate product title in catalogue (same name, different SKU) — rename or merge.  -&gt;  Live title is unique</t>
        </is>
      </c>
      <c r="J380" s="30" t="inlineStr">
        <is>
          <t>Joomla export 7 Oct</t>
        </is>
      </c>
      <c r="K380" s="30" t="n"/>
    </row>
    <row r="381" ht="22.35" customHeight="1" s="24">
      <c r="A381" s="28" t="n"/>
      <c r="B381" s="30" t="n"/>
      <c r="C381" s="30" t="inlineStr">
        <is>
          <t>AUFS-11</t>
        </is>
      </c>
      <c r="D381" s="30" t="inlineStr">
        <is>
          <t>Dozen Red Roses, Wine &amp; Truffles</t>
        </is>
      </c>
      <c r="E381" s="30" t="inlineStr">
        <is>
          <t>Roses</t>
        </is>
      </c>
      <c r="F381" s="30" t="inlineStr">
        <is>
          <t>Label removed (live Joomla)</t>
        </is>
      </c>
      <c r="G381" s="29" t="inlineStr">
        <is>
          <t>Joomla export 7 Oct</t>
        </is>
      </c>
      <c r="H381" s="30" t="inlineStr">
        <is>
          <t>Flag for Jarrod (confirm wine and truffles in the Classic build)</t>
        </is>
      </c>
      <c r="I381" s="30" t="inlineStr">
        <is>
          <t>Wine and truffles are in the master Standard but not in Jarrod's recipe  -&gt;  Live Standard already has Red Wine x1 and Truffles 100g x1</t>
        </is>
      </c>
      <c r="J381" s="30" t="inlineStr">
        <is>
          <t>Joomla export 7 Oct</t>
        </is>
      </c>
      <c r="K381" s="30" t="n"/>
    </row>
    <row r="382" ht="15" customHeight="1" s="24">
      <c r="A382" s="28" t="n"/>
      <c r="B382" s="30" t="n"/>
      <c r="C382" s="30" t="inlineStr">
        <is>
          <t>AU111-41</t>
        </is>
      </c>
      <c r="D382" s="30" t="inlineStr">
        <is>
          <t>Classic Mauve Daisy Bouquet</t>
        </is>
      </c>
      <c r="E382" s="30" t="inlineStr">
        <is>
          <t>Bouquets</t>
        </is>
      </c>
      <c r="F382" s="30" t="inlineStr">
        <is>
          <t>Label removed (live Joomla)</t>
        </is>
      </c>
      <c r="G382" s="29" t="inlineStr">
        <is>
          <t>Joomla export 7 Oct</t>
        </is>
      </c>
      <c r="H382" s="30" t="inlineStr">
        <is>
          <t>Gate: Number to confirm</t>
        </is>
      </c>
      <c r="I382" s="30" t="inlineStr">
        <is>
          <t>Israeli ruscus is 2 in the master; Jarrod gave no quantity  -&gt;  Live shows Israeli ruscus x2</t>
        </is>
      </c>
      <c r="J382" s="30" t="inlineStr">
        <is>
          <t>Joomla export 7 Oct</t>
        </is>
      </c>
      <c r="K382" s="30" t="n"/>
    </row>
    <row r="383" ht="15" customHeight="1" s="24">
      <c r="A383" s="28" t="n"/>
      <c r="B383" s="30" t="n"/>
      <c r="C383" s="30" t="inlineStr">
        <is>
          <t>AU100-71</t>
        </is>
      </c>
      <c r="D383" s="30" t="inlineStr">
        <is>
          <t>Full Heart</t>
        </is>
      </c>
      <c r="E383" s="30" t="inlineStr">
        <is>
          <t>Sympathy</t>
        </is>
      </c>
      <c r="F383" s="30" t="inlineStr">
        <is>
          <t>Label removed (live Joomla)</t>
        </is>
      </c>
      <c r="G383" s="29" t="inlineStr">
        <is>
          <t>Joomla export 7 Oct</t>
        </is>
      </c>
      <c r="H383" s="30" t="inlineStr">
        <is>
          <t>Gate: confirm product status</t>
        </is>
      </c>
      <c r="I383" s="30" t="inlineStr">
        <is>
          <t>Not on the live storefront on 6 Oct  -&gt;  Joomla export 7 Oct shows status Y (live)</t>
        </is>
      </c>
      <c r="J383" s="30" t="inlineStr">
        <is>
          <t>Joomla export 7 Oct</t>
        </is>
      </c>
      <c r="K383" s="30" t="n"/>
    </row>
    <row r="384" ht="15" customHeight="1" s="24">
      <c r="A384" s="28" t="n"/>
      <c r="B384" s="30" t="n"/>
      <c r="C384" s="30" t="inlineStr">
        <is>
          <t>AU112-56</t>
        </is>
      </c>
      <c r="D384" s="30" t="inlineStr">
        <is>
          <t>Rose Impression</t>
        </is>
      </c>
      <c r="E384" s="30" t="inlineStr">
        <is>
          <t>Sympathy</t>
        </is>
      </c>
      <c r="F384" s="30" t="inlineStr">
        <is>
          <t>Label removed (live Joomla)</t>
        </is>
      </c>
      <c r="G384" s="29" t="inlineStr">
        <is>
          <t>Joomla export 7 Oct</t>
        </is>
      </c>
      <c r="H384" s="30" t="inlineStr">
        <is>
          <t>Gate: confirm product status</t>
        </is>
      </c>
      <c r="I384" s="30" t="inlineStr">
        <is>
          <t>Not on the live storefront on 6 Oct  -&gt;  Joomla export 7 Oct shows status Y (live)</t>
        </is>
      </c>
      <c r="J384" s="30" t="inlineStr">
        <is>
          <t>Joomla export 7 Oct</t>
        </is>
      </c>
      <c r="K384" s="30" t="n"/>
    </row>
    <row r="385" ht="15" customHeight="1" s="24">
      <c r="A385" s="28" t="n"/>
      <c r="B385" s="30" t="n"/>
      <c r="C385" s="30" t="inlineStr">
        <is>
          <t>AU216-63</t>
        </is>
      </c>
      <c r="D385" s="30" t="inlineStr">
        <is>
          <t>Colourful Inspiration</t>
        </is>
      </c>
      <c r="E385" s="30" t="inlineStr">
        <is>
          <t>Bouquets</t>
        </is>
      </c>
      <c r="F385" s="30" t="inlineStr">
        <is>
          <t>Label removed (live Joomla)</t>
        </is>
      </c>
      <c r="G385" s="29" t="inlineStr">
        <is>
          <t>Joomla export 7 Oct</t>
        </is>
      </c>
      <c r="H385" s="30" t="inlineStr">
        <is>
          <t>Gate: confirm product status</t>
        </is>
      </c>
      <c r="I385" s="30" t="inlineStr">
        <is>
          <t>Not on the live storefront on 6 Oct  -&gt;  Joomla export 7 Oct shows status Y (live)</t>
        </is>
      </c>
      <c r="J385" s="30" t="inlineStr">
        <is>
          <t>Joomla export 7 Oct</t>
        </is>
      </c>
      <c r="K385" s="30" t="n"/>
    </row>
    <row r="386" ht="15" customHeight="1" s="24">
      <c r="A386" s="28" t="n"/>
      <c r="B386" s="30" t="n"/>
      <c r="C386" s="30" t="inlineStr">
        <is>
          <t>AU31-31</t>
        </is>
      </c>
      <c r="D386" s="30" t="inlineStr">
        <is>
          <t>Crimson Kiss</t>
        </is>
      </c>
      <c r="E386" s="30" t="inlineStr">
        <is>
          <t>Bouquets</t>
        </is>
      </c>
      <c r="F386" s="30" t="inlineStr">
        <is>
          <t>Label removed (live Joomla)</t>
        </is>
      </c>
      <c r="G386" s="29" t="inlineStr">
        <is>
          <t>Joomla export 7 Oct</t>
        </is>
      </c>
      <c r="H386" s="30" t="inlineStr">
        <is>
          <t>Missing size (info)</t>
        </is>
      </c>
      <c r="I386" s="30" t="inlineStr">
        <is>
          <t>Missing variant(s): Petite.  -&gt;  Live has a Petite</t>
        </is>
      </c>
      <c r="J386" s="30" t="inlineStr">
        <is>
          <t>Joomla export 7 Oct</t>
        </is>
      </c>
      <c r="K386" s="30" t="n"/>
    </row>
    <row r="387" ht="15" customHeight="1" s="24">
      <c r="A387" s="28" t="n"/>
      <c r="B387" s="30" t="n"/>
      <c r="C387" s="30" t="inlineStr">
        <is>
          <t>AUMJ100-05</t>
        </is>
      </c>
      <c r="D387" s="30" t="inlineStr">
        <is>
          <t>Gerbera Daisies in Mason Jar</t>
        </is>
      </c>
      <c r="E387" s="30" t="inlineStr">
        <is>
          <t>Mason Jar</t>
        </is>
      </c>
      <c r="F387" s="30" t="inlineStr">
        <is>
          <t>Label removed (live Joomla)</t>
        </is>
      </c>
      <c r="G387" s="29" t="inlineStr">
        <is>
          <t>Joomla export 7 Oct</t>
        </is>
      </c>
      <c r="H387" s="30" t="inlineStr">
        <is>
          <t>Missing size (info)</t>
        </is>
      </c>
      <c r="I387" s="30" t="inlineStr">
        <is>
          <t>Missing variant(s): Petite.  -&gt;  Live has a Petite</t>
        </is>
      </c>
      <c r="J387" s="30" t="inlineStr">
        <is>
          <t>Joomla export 7 Oct</t>
        </is>
      </c>
      <c r="K387" s="30" t="n"/>
    </row>
    <row r="388" ht="15" customHeight="1" s="24">
      <c r="A388" s="28" t="n"/>
      <c r="B388" s="30" t="n"/>
      <c r="C388" s="30" t="inlineStr">
        <is>
          <t>AUSSR-02</t>
        </is>
      </c>
      <c r="D388" s="30" t="inlineStr">
        <is>
          <t>Snowdrop Solo</t>
        </is>
      </c>
      <c r="E388" s="30" t="inlineStr">
        <is>
          <t>Bouquets</t>
        </is>
      </c>
      <c r="F388" s="30" t="inlineStr">
        <is>
          <t>Label removed (live Joomla)</t>
        </is>
      </c>
      <c r="G388" s="29" t="inlineStr">
        <is>
          <t>Joomla export 7 Oct</t>
        </is>
      </c>
      <c r="H388" s="30" t="inlineStr">
        <is>
          <t>Missing size (info)</t>
        </is>
      </c>
      <c r="I388" s="30" t="inlineStr">
        <is>
          <t>Missing variant(s): Petite.  -&gt;  Live has a Petite</t>
        </is>
      </c>
      <c r="J388" s="30" t="inlineStr">
        <is>
          <t>Joomla export 7 Oct</t>
        </is>
      </c>
      <c r="K388" s="30" t="n"/>
    </row>
    <row r="389" ht="15" customHeight="1" s="24">
      <c r="A389" s="28" t="n"/>
      <c r="B389" s="30" t="n"/>
      <c r="C389" s="30" t="inlineStr">
        <is>
          <t>AUSSR-03</t>
        </is>
      </c>
      <c r="D389" s="30" t="inlineStr">
        <is>
          <t>Sunny Smile</t>
        </is>
      </c>
      <c r="E389" s="30" t="inlineStr">
        <is>
          <t>Bouquets</t>
        </is>
      </c>
      <c r="F389" s="30" t="inlineStr">
        <is>
          <t>Label removed (live Joomla)</t>
        </is>
      </c>
      <c r="G389" s="29" t="inlineStr">
        <is>
          <t>Joomla export 7 Oct</t>
        </is>
      </c>
      <c r="H389" s="30" t="inlineStr">
        <is>
          <t>Missing size (info)</t>
        </is>
      </c>
      <c r="I389" s="30" t="inlineStr">
        <is>
          <t>Missing variant(s): Petite.  -&gt;  Live has a Petite</t>
        </is>
      </c>
      <c r="J389" s="30" t="inlineStr">
        <is>
          <t>Joomla export 7 Oct</t>
        </is>
      </c>
      <c r="K389" s="30" t="n"/>
    </row>
    <row r="390" ht="15" customHeight="1" s="24">
      <c r="A390" s="28" t="n"/>
      <c r="B390" s="30" t="n"/>
      <c r="C390" s="30" t="inlineStr">
        <is>
          <t>AUSTRT-04</t>
        </is>
      </c>
      <c r="D390" s="30" t="inlineStr">
        <is>
          <t>Ruby Rose Trio</t>
        </is>
      </c>
      <c r="E390" s="30" t="inlineStr">
        <is>
          <t>Mason Jar</t>
        </is>
      </c>
      <c r="F390" s="30" t="inlineStr">
        <is>
          <t>Label removed (live Joomla)</t>
        </is>
      </c>
      <c r="G390" s="29" t="inlineStr">
        <is>
          <t>Joomla export 7 Oct</t>
        </is>
      </c>
      <c r="H390" s="30" t="inlineStr">
        <is>
          <t>Missing size (info)</t>
        </is>
      </c>
      <c r="I390" s="30" t="inlineStr">
        <is>
          <t>Missing variant(s): Petite.  -&gt;  Live has a Petite</t>
        </is>
      </c>
      <c r="J390" s="30" t="inlineStr">
        <is>
          <t>Joomla export 7 Oct</t>
        </is>
      </c>
      <c r="K390" s="30" t="n"/>
    </row>
    <row r="391" ht="15" customHeight="1" s="24">
      <c r="A391" s="28" t="n"/>
      <c r="B391" s="30" t="n"/>
      <c r="C391" s="30" t="inlineStr">
        <is>
          <t>MJ55-01</t>
        </is>
      </c>
      <c r="D391" s="30" t="inlineStr">
        <is>
          <t>Radiant Roses in Mason Jar</t>
        </is>
      </c>
      <c r="E391" s="30" t="inlineStr">
        <is>
          <t>Mason Jar</t>
        </is>
      </c>
      <c r="F391" s="30" t="inlineStr">
        <is>
          <t>Label removed (live Joomla)</t>
        </is>
      </c>
      <c r="G391" s="29" t="inlineStr">
        <is>
          <t>Joomla export 7 Oct</t>
        </is>
      </c>
      <c r="H391" s="30" t="inlineStr">
        <is>
          <t>Missing size (info)</t>
        </is>
      </c>
      <c r="I391" s="30" t="inlineStr">
        <is>
          <t>Missing variant(s): Petite.  -&gt;  Live has a Petite</t>
        </is>
      </c>
      <c r="J391" s="30" t="inlineStr">
        <is>
          <t>Joomla export 7 Oct</t>
        </is>
      </c>
      <c r="K391" s="30" t="n"/>
    </row>
    <row r="392" ht="15" customHeight="1" s="24">
      <c r="A392" s="28" t="n"/>
      <c r="B392" s="30" t="n"/>
      <c r="C392" s="30" t="inlineStr">
        <is>
          <t>AU100-545</t>
        </is>
      </c>
      <c r="D392" s="30" t="inlineStr">
        <is>
          <t>Gentle Thoughts Spray</t>
        </is>
      </c>
      <c r="E392" s="30" t="inlineStr">
        <is>
          <t>Sympathy</t>
        </is>
      </c>
      <c r="F392" s="30" t="inlineStr">
        <is>
          <t>Label removed (live Joomla)</t>
        </is>
      </c>
      <c r="G392" s="29" t="inlineStr">
        <is>
          <t>Joomla export 7 Oct</t>
        </is>
      </c>
      <c r="H392" s="30" t="inlineStr">
        <is>
          <t>Single variant (info)</t>
        </is>
      </c>
      <c r="I392" s="30" t="inlineStr">
        <is>
          <t>Single variant (Standard only) — OK if intentional.  -&gt;  Live has 4 sizes</t>
        </is>
      </c>
      <c r="J392" s="30" t="inlineStr">
        <is>
          <t>Joomla export 7 Oct</t>
        </is>
      </c>
      <c r="K392" s="30" t="n"/>
    </row>
    <row r="393" ht="15" customHeight="1" s="24">
      <c r="A393" s="28" t="n"/>
      <c r="B393" s="30" t="n"/>
      <c r="C393" s="30" t="inlineStr">
        <is>
          <t>AU100-555</t>
        </is>
      </c>
      <c r="D393" s="30" t="inlineStr">
        <is>
          <t>Deepest Faith</t>
        </is>
      </c>
      <c r="E393" s="30" t="inlineStr">
        <is>
          <t>Sympathy</t>
        </is>
      </c>
      <c r="F393" s="30" t="inlineStr">
        <is>
          <t>Label removed (live Joomla)</t>
        </is>
      </c>
      <c r="G393" s="29" t="inlineStr">
        <is>
          <t>Joomla export 7 Oct</t>
        </is>
      </c>
      <c r="H393" s="30" t="inlineStr">
        <is>
          <t>Single variant (info)</t>
        </is>
      </c>
      <c r="I393" s="30" t="inlineStr">
        <is>
          <t>Single variant (Standard only) — OK if intentional.  -&gt;  Live has 4 sizes</t>
        </is>
      </c>
      <c r="J393" s="30" t="inlineStr">
        <is>
          <t>Joomla export 7 Oct</t>
        </is>
      </c>
      <c r="K393" s="30" t="n"/>
    </row>
    <row r="394" ht="15" customHeight="1" s="24">
      <c r="A394" s="28" t="n"/>
      <c r="B394" s="30" t="n"/>
      <c r="C394" s="30" t="inlineStr">
        <is>
          <t>AU100-557</t>
        </is>
      </c>
      <c r="D394" s="30" t="inlineStr">
        <is>
          <t>Pink Tribute Spray</t>
        </is>
      </c>
      <c r="E394" s="30" t="inlineStr">
        <is>
          <t>Sympathy</t>
        </is>
      </c>
      <c r="F394" s="30" t="inlineStr">
        <is>
          <t>Label removed (live Joomla)</t>
        </is>
      </c>
      <c r="G394" s="29" t="inlineStr">
        <is>
          <t>Joomla export 7 Oct</t>
        </is>
      </c>
      <c r="H394" s="30" t="inlineStr">
        <is>
          <t>Single variant (info)</t>
        </is>
      </c>
      <c r="I394" s="30" t="inlineStr">
        <is>
          <t>Single variant (Standard only) — OK if intentional.  -&gt;  Live has 4 sizes</t>
        </is>
      </c>
      <c r="J394" s="30" t="inlineStr">
        <is>
          <t>Joomla export 7 Oct</t>
        </is>
      </c>
      <c r="K394" s="30" t="n"/>
    </row>
    <row r="395" ht="15" customHeight="1" s="24">
      <c r="A395" s="28" t="n"/>
      <c r="B395" s="30" t="n"/>
      <c r="C395" s="30" t="inlineStr">
        <is>
          <t>AU100-571</t>
        </is>
      </c>
      <c r="D395" s="30" t="inlineStr">
        <is>
          <t>Hope &amp; Honour Cross</t>
        </is>
      </c>
      <c r="E395" s="30" t="inlineStr">
        <is>
          <t>Sympathy</t>
        </is>
      </c>
      <c r="F395" s="30" t="inlineStr">
        <is>
          <t>Label removed (live Joomla)</t>
        </is>
      </c>
      <c r="G395" s="29" t="inlineStr">
        <is>
          <t>Joomla export 7 Oct</t>
        </is>
      </c>
      <c r="H395" s="30" t="inlineStr">
        <is>
          <t>Single variant (info)</t>
        </is>
      </c>
      <c r="I395" s="30" t="inlineStr">
        <is>
          <t>Single variant (Standard only) — OK if intentional.  -&gt;  Live has 4 sizes</t>
        </is>
      </c>
      <c r="J395" s="30" t="inlineStr">
        <is>
          <t>Joomla export 7 Oct</t>
        </is>
      </c>
      <c r="K395" s="30" t="n"/>
    </row>
    <row r="396" ht="15" customHeight="1" s="24">
      <c r="A396" s="28" t="n"/>
      <c r="B396" s="30" t="n"/>
      <c r="C396" s="30" t="inlineStr">
        <is>
          <t>AU100-577</t>
        </is>
      </c>
      <c r="D396" s="30" t="inlineStr">
        <is>
          <t>Garden of Grandeur Casket Spray</t>
        </is>
      </c>
      <c r="E396" s="30" t="inlineStr">
        <is>
          <t>Sympathy</t>
        </is>
      </c>
      <c r="F396" s="30" t="inlineStr">
        <is>
          <t>Label removed (live Joomla)</t>
        </is>
      </c>
      <c r="G396" s="29" t="inlineStr">
        <is>
          <t>Joomla export 7 Oct</t>
        </is>
      </c>
      <c r="H396" s="30" t="inlineStr">
        <is>
          <t>Single variant (info)</t>
        </is>
      </c>
      <c r="I396" s="30" t="inlineStr">
        <is>
          <t>Single variant (Standard only) — OK if intentional.  -&gt;  Live has 4 sizes</t>
        </is>
      </c>
      <c r="J396" s="30" t="inlineStr">
        <is>
          <t>Joomla export 7 Oct</t>
        </is>
      </c>
      <c r="K396" s="30" t="n"/>
    </row>
    <row r="397" ht="15" customHeight="1" s="24">
      <c r="A397" s="28" t="n"/>
      <c r="B397" s="30" t="n"/>
      <c r="C397" s="30" t="inlineStr">
        <is>
          <t>AU100-582</t>
        </is>
      </c>
      <c r="D397" s="30" t="inlineStr">
        <is>
          <t>Rose Garden Heart</t>
        </is>
      </c>
      <c r="E397" s="30" t="inlineStr">
        <is>
          <t>Sympathy</t>
        </is>
      </c>
      <c r="F397" s="30" t="inlineStr">
        <is>
          <t>Label removed (live Joomla)</t>
        </is>
      </c>
      <c r="G397" s="29" t="inlineStr">
        <is>
          <t>Joomla export 7 Oct</t>
        </is>
      </c>
      <c r="H397" s="30" t="inlineStr">
        <is>
          <t>Single variant (info)</t>
        </is>
      </c>
      <c r="I397" s="30" t="inlineStr">
        <is>
          <t>Single variant (Standard only) — OK if intentional.  -&gt;  Live has 4 sizes</t>
        </is>
      </c>
      <c r="J397" s="30" t="inlineStr">
        <is>
          <t>Joomla export 7 Oct</t>
        </is>
      </c>
      <c r="K397" s="30" t="n"/>
    </row>
    <row r="398" ht="15" customHeight="1" s="24">
      <c r="A398" s="28" t="n"/>
      <c r="B398" s="30" t="n"/>
      <c r="C398" s="30" t="inlineStr">
        <is>
          <t>AU100-599</t>
        </is>
      </c>
      <c r="D398" s="30" t="inlineStr">
        <is>
          <t>Deep in Our Hearts Spray</t>
        </is>
      </c>
      <c r="E398" s="30" t="inlineStr">
        <is>
          <t>Sympathy</t>
        </is>
      </c>
      <c r="F398" s="30" t="inlineStr">
        <is>
          <t>Label removed (live Joomla)</t>
        </is>
      </c>
      <c r="G398" s="29" t="inlineStr">
        <is>
          <t>Joomla export 7 Oct</t>
        </is>
      </c>
      <c r="H398" s="30" t="inlineStr">
        <is>
          <t>Single variant (info)</t>
        </is>
      </c>
      <c r="I398" s="30" t="inlineStr">
        <is>
          <t>Single variant (Standard only) — OK if intentional.  -&gt;  Live has 4 sizes</t>
        </is>
      </c>
      <c r="J398" s="30" t="inlineStr">
        <is>
          <t>Joomla export 7 Oct</t>
        </is>
      </c>
      <c r="K398" s="30" t="n"/>
    </row>
    <row r="399" ht="15" customHeight="1" s="24">
      <c r="A399" s="28" t="n"/>
      <c r="B399" s="30" t="n"/>
      <c r="C399" s="30" t="inlineStr">
        <is>
          <t>AU101-20</t>
        </is>
      </c>
      <c r="D399" s="30" t="inlineStr">
        <is>
          <t>Brighter Blessing Arrangement</t>
        </is>
      </c>
      <c r="E399" s="30" t="inlineStr">
        <is>
          <t>Sympathy</t>
        </is>
      </c>
      <c r="F399" s="30" t="inlineStr">
        <is>
          <t>Label removed (live Joomla)</t>
        </is>
      </c>
      <c r="G399" s="29" t="inlineStr">
        <is>
          <t>Joomla export 7 Oct</t>
        </is>
      </c>
      <c r="H399" s="30" t="inlineStr">
        <is>
          <t>Single variant (info)</t>
        </is>
      </c>
      <c r="I399" s="30" t="inlineStr">
        <is>
          <t>Single variant (Standard only) — OK if intentional.  -&gt;  Live has 4 sizes</t>
        </is>
      </c>
      <c r="J399" s="30" t="inlineStr">
        <is>
          <t>Joomla export 7 Oct</t>
        </is>
      </c>
      <c r="K399" s="30" t="n"/>
    </row>
    <row r="400" ht="22.35" customHeight="1" s="24">
      <c r="A400" s="28" t="n"/>
      <c r="B400" s="30" t="n"/>
      <c r="C400" s="30" t="inlineStr">
        <is>
          <t>AU101-46</t>
        </is>
      </c>
      <c r="D400" s="30" t="inlineStr">
        <is>
          <t>Faithful Memories Casket Arrangement</t>
        </is>
      </c>
      <c r="E400" s="30" t="inlineStr">
        <is>
          <t>Sympathy</t>
        </is>
      </c>
      <c r="F400" s="30" t="inlineStr">
        <is>
          <t>Label removed (live Joomla)</t>
        </is>
      </c>
      <c r="G400" s="29" t="inlineStr">
        <is>
          <t>Joomla export 7 Oct</t>
        </is>
      </c>
      <c r="H400" s="30" t="inlineStr">
        <is>
          <t>Single variant (info)</t>
        </is>
      </c>
      <c r="I400" s="30" t="inlineStr">
        <is>
          <t>Single variant (Standard only) — OK if intentional.  -&gt;  Live has 4 sizes</t>
        </is>
      </c>
      <c r="J400" s="30" t="inlineStr">
        <is>
          <t>Joomla export 7 Oct</t>
        </is>
      </c>
      <c r="K400" s="30" t="n"/>
    </row>
    <row r="401" ht="15" customHeight="1" s="24">
      <c r="A401" s="28" t="n"/>
      <c r="B401" s="30" t="n"/>
      <c r="C401" s="30" t="inlineStr">
        <is>
          <t>AU101-57</t>
        </is>
      </c>
      <c r="D401" s="30" t="inlineStr">
        <is>
          <t>Red and White Funeral Wreath</t>
        </is>
      </c>
      <c r="E401" s="30" t="inlineStr">
        <is>
          <t>Sympathy</t>
        </is>
      </c>
      <c r="F401" s="30" t="inlineStr">
        <is>
          <t>Label removed (live Joomla)</t>
        </is>
      </c>
      <c r="G401" s="29" t="inlineStr">
        <is>
          <t>Joomla export 7 Oct</t>
        </is>
      </c>
      <c r="H401" s="30" t="inlineStr">
        <is>
          <t>Single variant (info)</t>
        </is>
      </c>
      <c r="I401" s="30" t="inlineStr">
        <is>
          <t>Single variant (Standard only) — OK if intentional.  -&gt;  Live has 4 sizes</t>
        </is>
      </c>
      <c r="J401" s="30" t="inlineStr">
        <is>
          <t>Joomla export 7 Oct</t>
        </is>
      </c>
      <c r="K401" s="30" t="n"/>
    </row>
    <row r="402" ht="15" customHeight="1" s="24">
      <c r="A402" s="28" t="n"/>
      <c r="B402" s="30" t="n"/>
      <c r="C402" s="30" t="inlineStr">
        <is>
          <t>AU105-11</t>
        </is>
      </c>
      <c r="D402" s="30" t="inlineStr">
        <is>
          <t>In Love and Memories Spray</t>
        </is>
      </c>
      <c r="E402" s="30" t="inlineStr">
        <is>
          <t>Sympathy</t>
        </is>
      </c>
      <c r="F402" s="30" t="inlineStr">
        <is>
          <t>Label removed (live Joomla)</t>
        </is>
      </c>
      <c r="G402" s="29" t="inlineStr">
        <is>
          <t>Joomla export 7 Oct</t>
        </is>
      </c>
      <c r="H402" s="30" t="inlineStr">
        <is>
          <t>Single variant (info)</t>
        </is>
      </c>
      <c r="I402" s="30" t="inlineStr">
        <is>
          <t>Single variant (Standard only) — OK if intentional.  -&gt;  Live has 4 sizes</t>
        </is>
      </c>
      <c r="J402" s="30" t="inlineStr">
        <is>
          <t>Joomla export 7 Oct</t>
        </is>
      </c>
      <c r="K402" s="30" t="n"/>
    </row>
    <row r="403" ht="15" customHeight="1" s="24">
      <c r="A403" s="28" t="n"/>
      <c r="B403" s="30" t="n"/>
      <c r="C403" s="30" t="inlineStr">
        <is>
          <t>AU112-28</t>
        </is>
      </c>
      <c r="D403" s="30" t="inlineStr">
        <is>
          <t>Radiant Care Spray</t>
        </is>
      </c>
      <c r="E403" s="30" t="inlineStr">
        <is>
          <t>Sympathy</t>
        </is>
      </c>
      <c r="F403" s="30" t="inlineStr">
        <is>
          <t>Label removed (live Joomla)</t>
        </is>
      </c>
      <c r="G403" s="29" t="inlineStr">
        <is>
          <t>Joomla export 7 Oct</t>
        </is>
      </c>
      <c r="H403" s="30" t="inlineStr">
        <is>
          <t>Single variant (info)</t>
        </is>
      </c>
      <c r="I403" s="30" t="inlineStr">
        <is>
          <t>Single variant (Standard only) — OK if intentional.  -&gt;  Live has 4 sizes</t>
        </is>
      </c>
      <c r="J403" s="30" t="inlineStr">
        <is>
          <t>Joomla export 7 Oct</t>
        </is>
      </c>
      <c r="K403" s="30" t="n"/>
    </row>
    <row r="404" ht="15" customHeight="1" s="24">
      <c r="A404" s="28" t="n"/>
      <c r="B404" s="30" t="n"/>
      <c r="C404" s="30" t="inlineStr">
        <is>
          <t>AU189-01</t>
        </is>
      </c>
      <c r="D404" s="30" t="inlineStr">
        <is>
          <t>Classic Sympathy Wreath</t>
        </is>
      </c>
      <c r="E404" s="30" t="inlineStr">
        <is>
          <t>Sympathy</t>
        </is>
      </c>
      <c r="F404" s="30" t="inlineStr">
        <is>
          <t>Label removed (live Joomla)</t>
        </is>
      </c>
      <c r="G404" s="29" t="inlineStr">
        <is>
          <t>Joomla export 7 Oct</t>
        </is>
      </c>
      <c r="H404" s="30" t="inlineStr">
        <is>
          <t>Single variant (info)</t>
        </is>
      </c>
      <c r="I404" s="30" t="inlineStr">
        <is>
          <t>Single variant (Standard only) — OK if intentional.  -&gt;  Live has 4 sizes</t>
        </is>
      </c>
      <c r="J404" s="30" t="inlineStr">
        <is>
          <t>Joomla export 7 Oct</t>
        </is>
      </c>
      <c r="K404" s="30" t="n"/>
    </row>
    <row r="405" ht="15" customHeight="1" s="24">
      <c r="A405" s="28" t="n"/>
      <c r="B405" s="30" t="n"/>
      <c r="C405" s="30" t="inlineStr">
        <is>
          <t>AU189-07</t>
        </is>
      </c>
      <c r="D405" s="30" t="inlineStr">
        <is>
          <t>Red &amp; White Wreath</t>
        </is>
      </c>
      <c r="E405" s="30" t="inlineStr">
        <is>
          <t>Sympathy</t>
        </is>
      </c>
      <c r="F405" s="30" t="inlineStr">
        <is>
          <t>Label removed (live Joomla)</t>
        </is>
      </c>
      <c r="G405" s="29" t="inlineStr">
        <is>
          <t>Joomla export 7 Oct</t>
        </is>
      </c>
      <c r="H405" s="30" t="inlineStr">
        <is>
          <t>Single variant (info)</t>
        </is>
      </c>
      <c r="I405" s="30" t="inlineStr">
        <is>
          <t>Single variant (Standard only) — OK if intentional.  -&gt;  Live has 4 sizes</t>
        </is>
      </c>
      <c r="J405" s="30" t="inlineStr">
        <is>
          <t>Joomla export 7 Oct</t>
        </is>
      </c>
      <c r="K405" s="30" t="n"/>
    </row>
    <row r="406" ht="15" customHeight="1" s="24">
      <c r="A406" s="28" t="n"/>
      <c r="B406" s="30" t="n"/>
      <c r="C406" s="30" t="inlineStr">
        <is>
          <t>AU189-08</t>
        </is>
      </c>
      <c r="D406" s="30" t="inlineStr">
        <is>
          <t>Eternity Wreath</t>
        </is>
      </c>
      <c r="E406" s="30" t="inlineStr">
        <is>
          <t>Sympathy</t>
        </is>
      </c>
      <c r="F406" s="30" t="inlineStr">
        <is>
          <t>Label removed (live Joomla)</t>
        </is>
      </c>
      <c r="G406" s="29" t="inlineStr">
        <is>
          <t>Joomla export 7 Oct</t>
        </is>
      </c>
      <c r="H406" s="30" t="inlineStr">
        <is>
          <t>Single variant (info)</t>
        </is>
      </c>
      <c r="I406" s="30" t="inlineStr">
        <is>
          <t>Single variant (Standard only) — OK if intentional.  -&gt;  Live has 4 sizes</t>
        </is>
      </c>
      <c r="J406" s="30" t="inlineStr">
        <is>
          <t>Joomla export 7 Oct</t>
        </is>
      </c>
      <c r="K406" s="30" t="n"/>
    </row>
    <row r="407" ht="15" customHeight="1" s="24">
      <c r="A407" s="28" t="n"/>
      <c r="B407" s="30" t="n"/>
      <c r="C407" s="30" t="inlineStr">
        <is>
          <t>AU199-01</t>
        </is>
      </c>
      <c r="D407" s="30" t="inlineStr">
        <is>
          <t>Standing Heart</t>
        </is>
      </c>
      <c r="E407" s="30" t="inlineStr">
        <is>
          <t>Sympathy</t>
        </is>
      </c>
      <c r="F407" s="30" t="inlineStr">
        <is>
          <t>Label removed (live Joomla)</t>
        </is>
      </c>
      <c r="G407" s="29" t="inlineStr">
        <is>
          <t>Joomla export 7 Oct</t>
        </is>
      </c>
      <c r="H407" s="30" t="inlineStr">
        <is>
          <t>Single variant (info)</t>
        </is>
      </c>
      <c r="I407" s="30" t="inlineStr">
        <is>
          <t>Single variant (Standard only) — OK if intentional.  -&gt;  Live has 4 sizes</t>
        </is>
      </c>
      <c r="J407" s="30" t="inlineStr">
        <is>
          <t>Joomla export 7 Oct</t>
        </is>
      </c>
      <c r="K407" s="30" t="n"/>
    </row>
    <row r="408" ht="15" customHeight="1" s="24">
      <c r="A408" s="28" t="n"/>
      <c r="B408" s="30" t="n"/>
      <c r="C408" s="30" t="inlineStr">
        <is>
          <t>AU199-02</t>
        </is>
      </c>
      <c r="D408" s="30" t="inlineStr">
        <is>
          <t>White Daisy Heart</t>
        </is>
      </c>
      <c r="E408" s="30" t="inlineStr">
        <is>
          <t>Sympathy</t>
        </is>
      </c>
      <c r="F408" s="30" t="inlineStr">
        <is>
          <t>Label removed (live Joomla)</t>
        </is>
      </c>
      <c r="G408" s="29" t="inlineStr">
        <is>
          <t>Joomla export 7 Oct</t>
        </is>
      </c>
      <c r="H408" s="30" t="inlineStr">
        <is>
          <t>Single variant (info)</t>
        </is>
      </c>
      <c r="I408" s="30" t="inlineStr">
        <is>
          <t>Single variant (Standard only) — OK if intentional.  -&gt;  Live has 4 sizes</t>
        </is>
      </c>
      <c r="J408" s="30" t="inlineStr">
        <is>
          <t>Joomla export 7 Oct</t>
        </is>
      </c>
      <c r="K408" s="30" t="n"/>
    </row>
    <row r="409" ht="15" customHeight="1" s="24">
      <c r="A409" s="28" t="n"/>
      <c r="B409" s="30" t="n"/>
      <c r="C409" s="30" t="inlineStr">
        <is>
          <t>AU199-03</t>
        </is>
      </c>
      <c r="D409" s="30" t="inlineStr">
        <is>
          <t>Red Remembrance</t>
        </is>
      </c>
      <c r="E409" s="30" t="inlineStr">
        <is>
          <t>Sympathy</t>
        </is>
      </c>
      <c r="F409" s="30" t="inlineStr">
        <is>
          <t>Label removed (live Joomla)</t>
        </is>
      </c>
      <c r="G409" s="29" t="inlineStr">
        <is>
          <t>Joomla export 7 Oct</t>
        </is>
      </c>
      <c r="H409" s="30" t="inlineStr">
        <is>
          <t>Single variant (info)</t>
        </is>
      </c>
      <c r="I409" s="30" t="inlineStr">
        <is>
          <t>Single variant (Standard only) — OK if intentional.  -&gt;  Live has 4 sizes</t>
        </is>
      </c>
      <c r="J409" s="30" t="inlineStr">
        <is>
          <t>Joomla export 7 Oct</t>
        </is>
      </c>
      <c r="K409" s="30" t="n"/>
    </row>
    <row r="410" ht="15" customHeight="1" s="24">
      <c r="A410" s="28" t="n"/>
      <c r="B410" s="30" t="n"/>
      <c r="C410" s="30" t="inlineStr">
        <is>
          <t>AU199-07</t>
        </is>
      </c>
      <c r="D410" s="30" t="inlineStr">
        <is>
          <t>Green &amp; White Heart</t>
        </is>
      </c>
      <c r="E410" s="30" t="inlineStr">
        <is>
          <t>Sympathy</t>
        </is>
      </c>
      <c r="F410" s="30" t="inlineStr">
        <is>
          <t>Label removed (live Joomla)</t>
        </is>
      </c>
      <c r="G410" s="29" t="inlineStr">
        <is>
          <t>Joomla export 7 Oct</t>
        </is>
      </c>
      <c r="H410" s="30" t="inlineStr">
        <is>
          <t>Single variant (info)</t>
        </is>
      </c>
      <c r="I410" s="30" t="inlineStr">
        <is>
          <t>Single variant (Standard only) — OK if intentional.  -&gt;  Live has 4 sizes</t>
        </is>
      </c>
      <c r="J410" s="30" t="inlineStr">
        <is>
          <t>Joomla export 7 Oct</t>
        </is>
      </c>
      <c r="K410" s="30" t="n"/>
    </row>
    <row r="411" ht="15" customHeight="1" s="24">
      <c r="A411" s="28" t="n"/>
      <c r="B411" s="30" t="n"/>
      <c r="C411" s="30" t="inlineStr">
        <is>
          <t>AU199-09</t>
        </is>
      </c>
      <c r="D411" s="30" t="inlineStr">
        <is>
          <t>Purest Heart</t>
        </is>
      </c>
      <c r="E411" s="30" t="inlineStr">
        <is>
          <t>Sympathy</t>
        </is>
      </c>
      <c r="F411" s="30" t="inlineStr">
        <is>
          <t>Label removed (live Joomla)</t>
        </is>
      </c>
      <c r="G411" s="29" t="inlineStr">
        <is>
          <t>Joomla export 7 Oct</t>
        </is>
      </c>
      <c r="H411" s="30" t="inlineStr">
        <is>
          <t>Single variant (info)</t>
        </is>
      </c>
      <c r="I411" s="30" t="inlineStr">
        <is>
          <t>Single variant (Standard only) — OK if intentional.  -&gt;  Live has 4 sizes</t>
        </is>
      </c>
      <c r="J411" s="30" t="inlineStr">
        <is>
          <t>Joomla export 7 Oct</t>
        </is>
      </c>
      <c r="K411" s="30" t="n"/>
    </row>
    <row r="412" ht="22.35" customHeight="1" s="24">
      <c r="A412" s="28" t="n"/>
      <c r="B412" s="30" t="n"/>
      <c r="C412" s="30" t="inlineStr">
        <is>
          <t>LF100-395</t>
        </is>
      </c>
      <c r="D412" s="30" t="inlineStr">
        <is>
          <t>Pure Devotion Funeral Flower Package</t>
        </is>
      </c>
      <c r="E412" s="30" t="inlineStr">
        <is>
          <t>Sympathy</t>
        </is>
      </c>
      <c r="F412" s="30" t="inlineStr">
        <is>
          <t>Label removed (live Joomla)</t>
        </is>
      </c>
      <c r="G412" s="29" t="inlineStr">
        <is>
          <t>Joomla export 7 Oct</t>
        </is>
      </c>
      <c r="H412" s="30" t="inlineStr">
        <is>
          <t>Single variant (info)</t>
        </is>
      </c>
      <c r="I412" s="30" t="inlineStr">
        <is>
          <t>Single variant (Standard only) — OK if intentional.  -&gt;  Live has 4 sizes</t>
        </is>
      </c>
      <c r="J412" s="30" t="inlineStr">
        <is>
          <t>Joomla export 7 Oct</t>
        </is>
      </c>
      <c r="K412" s="30" t="n"/>
    </row>
    <row r="413" ht="15" customHeight="1" s="24">
      <c r="A413" s="28" t="n"/>
      <c r="B413" s="30" t="n"/>
      <c r="C413" s="30" t="inlineStr">
        <is>
          <t>LF100-578</t>
        </is>
      </c>
      <c r="D413" s="30" t="inlineStr">
        <is>
          <t>Golden Garden Casket Spray</t>
        </is>
      </c>
      <c r="E413" s="30" t="inlineStr">
        <is>
          <t>Sympathy</t>
        </is>
      </c>
      <c r="F413" s="30" t="inlineStr">
        <is>
          <t>Label removed (live Joomla)</t>
        </is>
      </c>
      <c r="G413" s="29" t="inlineStr">
        <is>
          <t>Joomla export 7 Oct</t>
        </is>
      </c>
      <c r="H413" s="30" t="inlineStr">
        <is>
          <t>Single variant (info)</t>
        </is>
      </c>
      <c r="I413" s="30" t="inlineStr">
        <is>
          <t>Single variant (Standard only) — OK if intentional.  -&gt;  Live has 4 sizes</t>
        </is>
      </c>
      <c r="J413" s="30" t="inlineStr">
        <is>
          <t>Joomla export 7 Oct</t>
        </is>
      </c>
      <c r="K413" s="30" t="n"/>
    </row>
    <row r="414" ht="15" customHeight="1" s="24">
      <c r="A414" s="28" t="n"/>
      <c r="B414" s="30" t="n"/>
      <c r="C414" s="30" t="inlineStr">
        <is>
          <t>LF100-590</t>
        </is>
      </c>
      <c r="D414" s="30" t="inlineStr">
        <is>
          <t>Purest Heart</t>
        </is>
      </c>
      <c r="E414" s="30" t="inlineStr">
        <is>
          <t>Sympathy</t>
        </is>
      </c>
      <c r="F414" s="30" t="inlineStr">
        <is>
          <t>Label removed (live Joomla)</t>
        </is>
      </c>
      <c r="G414" s="29" t="inlineStr">
        <is>
          <t>Joomla export 7 Oct</t>
        </is>
      </c>
      <c r="H414" s="30" t="inlineStr">
        <is>
          <t>Single variant (info)</t>
        </is>
      </c>
      <c r="I414" s="30" t="inlineStr">
        <is>
          <t>Single variant (Standard only) — OK if intentional.  -&gt;  Live has 4 sizes</t>
        </is>
      </c>
      <c r="J414" s="30" t="inlineStr">
        <is>
          <t>Joomla export 7 Oct</t>
        </is>
      </c>
      <c r="K414" s="30" t="n"/>
    </row>
    <row r="415" ht="15" customHeight="1" s="24">
      <c r="A415" s="28" t="n"/>
      <c r="B415" s="30" t="n"/>
      <c r="C415" s="30" t="inlineStr">
        <is>
          <t>SC01</t>
        </is>
      </c>
      <c r="D415" s="30" t="inlineStr">
        <is>
          <t>Full Size Sympathy Card</t>
        </is>
      </c>
      <c r="E415" s="30" t="inlineStr">
        <is>
          <t>Sympathy</t>
        </is>
      </c>
      <c r="F415" s="30" t="inlineStr">
        <is>
          <t>Label removed (live Joomla)</t>
        </is>
      </c>
      <c r="G415" s="29" t="inlineStr">
        <is>
          <t>Joomla export 7 Oct</t>
        </is>
      </c>
      <c r="H415" s="30" t="inlineStr">
        <is>
          <t>Single variant (info)</t>
        </is>
      </c>
      <c r="I415" s="30" t="inlineStr">
        <is>
          <t>Single variant (Standard only) — OK if intentional.  -&gt;  Live has 4 sizes</t>
        </is>
      </c>
      <c r="J415" s="30" t="inlineStr">
        <is>
          <t>Joomla export 7 Oct</t>
        </is>
      </c>
      <c r="K415" s="30" t="n"/>
    </row>
    <row r="416" ht="22.35" customHeight="1" s="24">
      <c r="A416" s="28" t="n"/>
      <c r="B416" s="30" t="n"/>
      <c r="C416" s="30" t="inlineStr">
        <is>
          <t>AU112-22</t>
        </is>
      </c>
      <c r="D416" s="30" t="inlineStr">
        <is>
          <t>Romantic Getaway</t>
        </is>
      </c>
      <c r="E416" s="30" t="inlineStr">
        <is>
          <t>Bouquets</t>
        </is>
      </c>
      <c r="F416" s="30" t="inlineStr">
        <is>
          <t>Label removed (live Joomla)</t>
        </is>
      </c>
      <c r="G416" s="29" t="inlineStr">
        <is>
          <t>Joomla export 7 Oct</t>
        </is>
      </c>
      <c r="H416" s="30" t="inlineStr">
        <is>
          <t>Standard adjusted by skill rule</t>
        </is>
      </c>
      <c r="I416" s="30" t="inlineStr">
        <is>
          <t>Carnation White: master Standard 1 -&gt; 2 (quantity dips below both Petite 2 and Deluxe 2; skill: quantity outlier)  -&gt;  Live Standard already has 2 x Carnation White</t>
        </is>
      </c>
      <c r="J416" s="30" t="inlineStr">
        <is>
          <t>Joomla export 7 Oct</t>
        </is>
      </c>
      <c r="K416" s="30" t="n"/>
    </row>
    <row r="417" ht="22.35" customHeight="1" s="24">
      <c r="A417" s="28" t="n"/>
      <c r="B417" s="30" t="n"/>
      <c r="C417" s="30" t="inlineStr">
        <is>
          <t>AUGF16-82</t>
        </is>
      </c>
      <c r="D417" s="30" t="inlineStr">
        <is>
          <t>Just Because</t>
        </is>
      </c>
      <c r="E417" s="30" t="inlineStr">
        <is>
          <t>Bouquets</t>
        </is>
      </c>
      <c r="F417" s="30" t="inlineStr">
        <is>
          <t>Label removed (live Joomla)</t>
        </is>
      </c>
      <c r="G417" s="29" t="inlineStr">
        <is>
          <t>Joomla export 7 Oct</t>
        </is>
      </c>
      <c r="H417" s="30" t="inlineStr">
        <is>
          <t>Standard adjusted by skill rule</t>
        </is>
      </c>
      <c r="I417" s="30" t="inlineStr">
        <is>
          <t>Alstroemeria Yellow: master Standard 1 -&gt; 2 (quantity dips below both Petite 2 and Deluxe 2; skill: quantity outlier)  -&gt;  Live Standard already has 2 x Alstroemeria Yellow</t>
        </is>
      </c>
      <c r="J417" s="30" t="inlineStr">
        <is>
          <t>Joomla export 7 Oct</t>
        </is>
      </c>
      <c r="K417" s="30" t="n"/>
    </row>
    <row r="418" ht="32.8" customHeight="1" s="24">
      <c r="A418" s="28" t="n"/>
      <c r="B418" s="30" t="n"/>
      <c r="C418" s="30" t="inlineStr">
        <is>
          <t>RDC-03</t>
        </is>
      </c>
      <c r="D418" s="30" t="inlineStr">
        <is>
          <t>Rainbow Daisy Collection III</t>
        </is>
      </c>
      <c r="E418" s="30" t="inlineStr">
        <is>
          <t>Bouquets</t>
        </is>
      </c>
      <c r="F418" s="30" t="inlineStr">
        <is>
          <t>Label removed (live Joomla)</t>
        </is>
      </c>
      <c r="G418" s="29" t="inlineStr">
        <is>
          <t>Joomla export 7 Oct</t>
        </is>
      </c>
      <c r="H418" s="30" t="inlineStr">
        <is>
          <t>Standard adjusted by skill rule</t>
        </is>
      </c>
      <c r="I418" s="30" t="inlineStr">
        <is>
          <t>Chrysanthemum Spray White: master Standard 2 -&gt; 3 (quantity dips below both Petite 3 and Deluxe 3; skill: quantity outlier)  -&gt;  Live Standard already has 3 x Chrysanthemum Spray White</t>
        </is>
      </c>
      <c r="J418" s="30" t="inlineStr">
        <is>
          <t>Joomla export 7 Oct</t>
        </is>
      </c>
      <c r="K418" s="30" t="n"/>
    </row>
    <row r="419" ht="32.8" customHeight="1" s="24">
      <c r="A419" s="28" t="n"/>
      <c r="B419" s="30" t="n"/>
      <c r="C419" s="30" t="inlineStr">
        <is>
          <t>RDC-04</t>
        </is>
      </c>
      <c r="D419" s="30" t="inlineStr">
        <is>
          <t>Rainbow Daisy Collection IV</t>
        </is>
      </c>
      <c r="E419" s="30" t="inlineStr">
        <is>
          <t>Bouquets</t>
        </is>
      </c>
      <c r="F419" s="30" t="inlineStr">
        <is>
          <t>Label removed (live Joomla)</t>
        </is>
      </c>
      <c r="G419" s="29" t="inlineStr">
        <is>
          <t>Joomla export 7 Oct</t>
        </is>
      </c>
      <c r="H419" s="30" t="inlineStr">
        <is>
          <t>Standard adjusted by skill rule</t>
        </is>
      </c>
      <c r="I419" s="30" t="inlineStr">
        <is>
          <t>Chrysanthemum Spray White: master Standard 2 -&gt; 4 (quantity dips below both Petite 4 and Deluxe 3; skill: quantity outlier)  -&gt;  Live Standard already has 4 x Chrysanthemum Spray White</t>
        </is>
      </c>
      <c r="J419" s="30" t="inlineStr">
        <is>
          <t>Joomla export 7 Oct</t>
        </is>
      </c>
      <c r="K419" s="30" t="n"/>
    </row>
    <row r="420" ht="15" customHeight="1" s="24">
      <c r="A420" s="28" t="n"/>
      <c r="B420" s="30" t="n"/>
      <c r="C420" s="30" t="inlineStr">
        <is>
          <t>AU112-90</t>
        </is>
      </c>
      <c r="D420" s="30" t="inlineStr">
        <is>
          <t>Simply Sweet</t>
        </is>
      </c>
      <c r="E420" s="30" t="inlineStr">
        <is>
          <t>Bouquets</t>
        </is>
      </c>
      <c r="F420" s="30" t="inlineStr">
        <is>
          <t>Live differs from master</t>
        </is>
      </c>
      <c r="G420" s="33" t="inlineStr">
        <is>
          <t>Master vs live</t>
        </is>
      </c>
      <c r="H420" s="30" t="inlineStr">
        <is>
          <t>Text follows live</t>
        </is>
      </c>
      <c r="I420" s="30" t="inlineStr">
        <is>
          <t>alstroemeria pink: reviewed 5, live 3</t>
        </is>
      </c>
      <c r="J420" s="30" t="inlineStr">
        <is>
          <t>Joomla export 7 Oct</t>
        </is>
      </c>
      <c r="K420" s="30" t="n"/>
    </row>
    <row r="421" ht="32.8" customHeight="1" s="24">
      <c r="A421" s="28" t="n"/>
      <c r="B421" s="30" t="n"/>
      <c r="C421" s="30" t="inlineStr">
        <is>
          <t>AU13-47</t>
        </is>
      </c>
      <c r="D421" s="30" t="inlineStr">
        <is>
          <t>Dozen Boxed Red Roses Combo III</t>
        </is>
      </c>
      <c r="E421" s="30" t="inlineStr">
        <is>
          <t>Add-Ons</t>
        </is>
      </c>
      <c r="F421" s="30" t="inlineStr">
        <is>
          <t>Live differs from master</t>
        </is>
      </c>
      <c r="G421" s="33" t="inlineStr">
        <is>
          <t>Master vs live</t>
        </is>
      </c>
      <c r="H421" s="30" t="inlineStr">
        <is>
          <t>Text follows live</t>
        </is>
      </c>
      <c r="I421" s="30" t="inlineStr">
        <is>
          <t>baby's breath: reviewed 2, live None; balloon - i love you: reviewed 1, live None; greeting card: reviewed 1, live None; red flower box: reviewed 1, live None; ruscus israeli: reviewed 3, live None; sparkling wine: reviewed None, live 2</t>
        </is>
      </c>
      <c r="J421" s="30" t="inlineStr">
        <is>
          <t>Joomla export 7 Oct</t>
        </is>
      </c>
      <c r="K421" s="30" t="n"/>
    </row>
    <row r="422" ht="22.35" customHeight="1" s="24">
      <c r="A422" s="28" t="n"/>
      <c r="B422" s="30" t="n"/>
      <c r="C422" s="30" t="inlineStr">
        <is>
          <t>AU501-02</t>
        </is>
      </c>
      <c r="D422" s="30" t="inlineStr">
        <is>
          <t>Red Rose Trio, Card &amp; Teddy</t>
        </is>
      </c>
      <c r="E422" s="30" t="inlineStr">
        <is>
          <t>Add-Ons</t>
        </is>
      </c>
      <c r="F422" s="30" t="inlineStr">
        <is>
          <t>Live differs from master</t>
        </is>
      </c>
      <c r="G422" s="33" t="inlineStr">
        <is>
          <t>Master vs live</t>
        </is>
      </c>
      <c r="H422" s="30" t="inlineStr">
        <is>
          <t>Text follows live</t>
        </is>
      </c>
      <c r="I422" s="30" t="inlineStr">
        <is>
          <t>greeting card: reviewed 1, live 2; roses red: reviewed 3, live 5; ruscus israeli: reviewed 1, live 2; small teddy bear: reviewed None, live 1; teddy bear: reviewed 1, live None</t>
        </is>
      </c>
      <c r="J422" s="30" t="inlineStr">
        <is>
          <t>Joomla export 7 Oct</t>
        </is>
      </c>
      <c r="K422" s="30" t="n"/>
    </row>
    <row r="423" ht="22.35" customHeight="1" s="24">
      <c r="A423" s="28" t="n"/>
      <c r="B423" s="30" t="n"/>
      <c r="C423" s="30" t="inlineStr">
        <is>
          <t>AU501-09</t>
        </is>
      </c>
      <c r="D423" s="30" t="inlineStr">
        <is>
          <t>Ten Red Roses, Card &amp; Teddy</t>
        </is>
      </c>
      <c r="E423" s="30" t="inlineStr">
        <is>
          <t>Add-Ons</t>
        </is>
      </c>
      <c r="F423" s="30" t="inlineStr">
        <is>
          <t>Live differs from master</t>
        </is>
      </c>
      <c r="G423" s="33" t="inlineStr">
        <is>
          <t>Master vs live</t>
        </is>
      </c>
      <c r="H423" s="30" t="inlineStr">
        <is>
          <t>Text follows live</t>
        </is>
      </c>
      <c r="I423" s="30" t="inlineStr">
        <is>
          <t>baby's breath: reviewed 1, live None; gypsophila: reviewed None, live 1; ruscus israeli: reviewed 2, live 1; small teddy bear: reviewed None, live 1; teddy bear: reviewed 1, live None</t>
        </is>
      </c>
      <c r="J423" s="30" t="inlineStr">
        <is>
          <t>Joomla export 7 Oct</t>
        </is>
      </c>
      <c r="K423" s="30" t="n"/>
    </row>
    <row r="424" ht="15" customHeight="1" s="24">
      <c r="A424" s="28" t="n"/>
      <c r="B424" s="30" t="n"/>
      <c r="C424" s="30" t="inlineStr">
        <is>
          <t>AUBLXNZ-04</t>
        </is>
      </c>
      <c r="D424" s="30" t="inlineStr">
        <is>
          <t>Roses &amp; Alstroemeria Medley</t>
        </is>
      </c>
      <c r="E424" s="30" t="inlineStr">
        <is>
          <t>Bouquets</t>
        </is>
      </c>
      <c r="F424" s="30" t="inlineStr">
        <is>
          <t>Live differs from master</t>
        </is>
      </c>
      <c r="G424" s="33" t="inlineStr">
        <is>
          <t>Master vs live</t>
        </is>
      </c>
      <c r="H424" s="30" t="inlineStr">
        <is>
          <t>Text follows live</t>
        </is>
      </c>
      <c r="I424" s="30" t="inlineStr">
        <is>
          <t>roses light pink: reviewed None, live 1</t>
        </is>
      </c>
      <c r="J424" s="30" t="inlineStr">
        <is>
          <t>Joomla export 7 Oct</t>
        </is>
      </c>
      <c r="K424" s="30" t="n"/>
    </row>
    <row r="425" ht="15" customHeight="1" s="24">
      <c r="A425" s="28" t="n"/>
      <c r="B425" s="30" t="n"/>
      <c r="C425" s="30" t="inlineStr">
        <is>
          <t>AURP-16sp</t>
        </is>
      </c>
      <c r="D425" s="30" t="inlineStr">
        <is>
          <t>Single Rose &amp; Card</t>
        </is>
      </c>
      <c r="E425" s="30" t="inlineStr">
        <is>
          <t>Add-Ons</t>
        </is>
      </c>
      <c r="F425" s="30" t="inlineStr">
        <is>
          <t>Live differs from master</t>
        </is>
      </c>
      <c r="G425" s="33" t="inlineStr">
        <is>
          <t>Master vs live</t>
        </is>
      </c>
      <c r="H425" s="30" t="inlineStr">
        <is>
          <t>Text follows live</t>
        </is>
      </c>
      <c r="I425" s="30" t="inlineStr">
        <is>
          <t>roses red: reviewed 1, live 2</t>
        </is>
      </c>
      <c r="J425" s="30" t="inlineStr">
        <is>
          <t>Joomla export 7 Oct</t>
        </is>
      </c>
      <c r="K425" s="30" t="n"/>
    </row>
    <row r="426" ht="15" customHeight="1" s="24">
      <c r="A426" s="28" t="n"/>
      <c r="B426" s="30" t="n"/>
      <c r="C426" s="30" t="inlineStr">
        <is>
          <t>AURP-C02</t>
        </is>
      </c>
      <c r="D426" s="30" t="inlineStr">
        <is>
          <t>Large Box of Premium Chocolates</t>
        </is>
      </c>
      <c r="E426" s="30" t="inlineStr">
        <is>
          <t>Add-Ons</t>
        </is>
      </c>
      <c r="F426" s="30" t="inlineStr">
        <is>
          <t>Live differs from master</t>
        </is>
      </c>
      <c r="G426" s="33" t="inlineStr">
        <is>
          <t>Master vs live</t>
        </is>
      </c>
      <c r="H426" s="30" t="inlineStr">
        <is>
          <t>Text follows live</t>
        </is>
      </c>
      <c r="I426" s="30" t="inlineStr">
        <is>
          <t>chocolatier gift box 140g: reviewed None, live 1; small chocolates: reviewed 1, live None</t>
        </is>
      </c>
      <c r="J426" s="30" t="inlineStr">
        <is>
          <t>Joomla export 7 Oct</t>
        </is>
      </c>
      <c r="K426" s="30" t="n"/>
    </row>
    <row r="427" ht="15" customHeight="1" s="24">
      <c r="A427" s="28" t="n"/>
      <c r="B427" s="30" t="n"/>
      <c r="C427" s="30" t="inlineStr">
        <is>
          <t>AURP04</t>
        </is>
      </c>
      <c r="D427" s="30" t="inlineStr">
        <is>
          <t>Glass Vase (Hand blown)</t>
        </is>
      </c>
      <c r="E427" s="30" t="inlineStr">
        <is>
          <t>Add-Ons</t>
        </is>
      </c>
      <c r="F427" s="30" t="inlineStr">
        <is>
          <t>Live differs from master</t>
        </is>
      </c>
      <c r="G427" s="33" t="inlineStr">
        <is>
          <t>Master vs live</t>
        </is>
      </c>
      <c r="H427" s="30" t="inlineStr">
        <is>
          <t>Text follows live</t>
        </is>
      </c>
      <c r="I427" s="30" t="inlineStr">
        <is>
          <t>glass vase clear: reviewed 1, live None; hand blown vase: reviewed None, live 1</t>
        </is>
      </c>
      <c r="J427" s="30" t="inlineStr">
        <is>
          <t>Joomla export 7 Oct</t>
        </is>
      </c>
      <c r="K427" s="30" t="n"/>
    </row>
    <row r="428" ht="15" customHeight="1" s="24">
      <c r="A428" s="28" t="n"/>
      <c r="B428" s="30" t="n"/>
      <c r="C428" s="30" t="inlineStr">
        <is>
          <t>AURP06</t>
        </is>
      </c>
      <c r="D428" s="30" t="inlineStr">
        <is>
          <t>Teddy Bear</t>
        </is>
      </c>
      <c r="E428" s="30" t="inlineStr">
        <is>
          <t>Add-Ons</t>
        </is>
      </c>
      <c r="F428" s="30" t="inlineStr">
        <is>
          <t>Live differs from master</t>
        </is>
      </c>
      <c r="G428" s="33" t="inlineStr">
        <is>
          <t>Master vs live</t>
        </is>
      </c>
      <c r="H428" s="30" t="inlineStr">
        <is>
          <t>Text follows live</t>
        </is>
      </c>
      <c r="I428" s="30" t="inlineStr">
        <is>
          <t>small teddy bear: reviewed None, live 1; teddy bear: reviewed 1, live None</t>
        </is>
      </c>
      <c r="J428" s="30" t="inlineStr">
        <is>
          <t>Joomla export 7 Oct</t>
        </is>
      </c>
      <c r="K428" s="30" t="n"/>
    </row>
    <row r="429" ht="32.8" customHeight="1" s="24">
      <c r="A429" s="28" t="inlineStr">
        <is>
          <t>update this rules for pricing rules for the AUS Master skill and MD artifact fo geral rules for aus;</t>
        </is>
      </c>
      <c r="B429" s="29" t="inlineStr">
        <is>
          <t>Added as rules PV1 to PV6 (pricing verification) in the MD, both skills and the Doc.</t>
        </is>
      </c>
      <c r="C429" s="30" t="n"/>
      <c r="D429" s="30" t="n"/>
      <c r="E429" s="30" t="n"/>
      <c r="F429" s="30" t="inlineStr">
        <is>
          <t>Rule added (pricing verification)</t>
        </is>
      </c>
      <c r="G429" s="28" t="inlineStr">
        <is>
          <t>Your pasted rules</t>
        </is>
      </c>
      <c r="H429" s="30" t="inlineStr">
        <is>
          <t>$0 IN AU-COST MASTER (NOT AVAILABLE)</t>
        </is>
      </c>
      <c r="I429" s="30" t="inlineStr">
        <is>
          <t>CRITICAL. The recipe uses an ingredient whose Price AUD is $0 or blank in the AU-Cost master, i.e. an item we don't have. A $0 ING price in products_list alone is not flagged.</t>
        </is>
      </c>
      <c r="J429" s="30" t="inlineStr">
        <is>
          <t>Your comment 8 Oct (rows 78-84)</t>
        </is>
      </c>
      <c r="K429" s="30" t="n"/>
    </row>
    <row r="430" ht="22.35" customHeight="1" s="24">
      <c r="A430" s="28" t="n"/>
      <c r="B430" s="30" t="n"/>
      <c r="C430" s="30" t="n"/>
      <c r="D430" s="30" t="n"/>
      <c r="E430" s="30" t="n"/>
      <c r="F430" s="30" t="inlineStr">
        <is>
          <t>Rule added (pricing verification)</t>
        </is>
      </c>
      <c r="G430" s="28" t="inlineStr">
        <is>
          <t>Your pasted rules</t>
        </is>
      </c>
      <c r="H430" s="30" t="inlineStr">
        <is>
          <t>BIGGER SIZE HAS FEWER ITEMS</t>
        </is>
      </c>
      <c r="I430" s="30" t="inlineStr">
        <is>
          <t>An ingredient has a lower qty in a bigger size than in the size below, or disappears. Each item is listed as smaller→bigger qty.</t>
        </is>
      </c>
      <c r="J430" s="30" t="inlineStr">
        <is>
          <t>Your comment 8 Oct (rows 78-84)</t>
        </is>
      </c>
      <c r="K430" s="30" t="n"/>
    </row>
    <row r="431" ht="22.35" customHeight="1" s="24">
      <c r="A431" s="28" t="n"/>
      <c r="B431" s="30" t="n"/>
      <c r="C431" s="30" t="n"/>
      <c r="D431" s="30" t="n"/>
      <c r="E431" s="30" t="n"/>
      <c r="F431" s="30" t="inlineStr">
        <is>
          <t>Rule added (pricing verification)</t>
        </is>
      </c>
      <c r="G431" s="28" t="inlineStr">
        <is>
          <t>Your pasted rules</t>
        </is>
      </c>
      <c r="H431" s="30" t="inlineStr">
        <is>
          <t>INGREDIENT MISMATCH</t>
        </is>
      </c>
      <c r="I431" s="30" t="inlineStr">
        <is>
          <t>Σ(qty × AU-Cost master price) for the variant ≠ ING price in products_list (tolerance $0.01). The Σ columns are live SUMIFS over the Recipe Lines tab.</t>
        </is>
      </c>
      <c r="J431" s="30" t="inlineStr">
        <is>
          <t>Your comment 8 Oct (rows 78-84)</t>
        </is>
      </c>
      <c r="K431" s="30" t="n"/>
    </row>
    <row r="432" ht="22.35" customHeight="1" s="24">
      <c r="A432" s="28" t="n"/>
      <c r="B432" s="30" t="n"/>
      <c r="C432" s="30" t="n"/>
      <c r="D432" s="30" t="n"/>
      <c r="E432" s="30" t="n"/>
      <c r="F432" s="30" t="inlineStr">
        <is>
          <t>Rule added (pricing verification)</t>
        </is>
      </c>
      <c r="G432" s="28" t="inlineStr">
        <is>
          <t>Your pasted rules</t>
        </is>
      </c>
      <c r="H432" s="30" t="inlineStr">
        <is>
          <t>Not checked</t>
        </is>
      </c>
      <c r="I432" s="30" t="inlineStr">
        <is>
          <t>Retail price vs cost; single-size products.</t>
        </is>
      </c>
      <c r="J432" s="30" t="inlineStr">
        <is>
          <t>Your comment 8 Oct (rows 78-84)</t>
        </is>
      </c>
      <c r="K432" s="30" t="n"/>
    </row>
    <row r="433" ht="22.35" customHeight="1" s="24">
      <c r="A433" s="28" t="n"/>
      <c r="B433" s="30" t="n"/>
      <c r="C433" s="30" t="n"/>
      <c r="D433" s="30" t="n"/>
      <c r="E433" s="30" t="n"/>
      <c r="F433" s="30" t="inlineStr">
        <is>
          <t>Rule added (pricing verification)</t>
        </is>
      </c>
      <c r="G433" s="28" t="inlineStr">
        <is>
          <t>Your pasted rules</t>
        </is>
      </c>
      <c r="H433" s="30" t="inlineStr">
        <is>
          <t>SMALLER SIZE HIGHER OR SAME PRICE</t>
        </is>
      </c>
      <c r="I433" s="30" t="inlineStr">
        <is>
          <t>A smaller size is priced above a bigger one, or two adjacent sizes share a price. Sizes with $0 price (single-variant products) and products with one price on every size are not flagged.</t>
        </is>
      </c>
      <c r="J433" s="30" t="inlineStr">
        <is>
          <t>Your comment 8 Oct (rows 78-84)</t>
        </is>
      </c>
      <c r="K433" s="30" t="n"/>
    </row>
    <row r="434" ht="22.35" customHeight="1" s="24">
      <c r="A434" s="28" t="n"/>
      <c r="B434" s="30" t="n"/>
      <c r="C434" s="30" t="n"/>
      <c r="D434" s="30" t="n"/>
      <c r="E434" s="30" t="n"/>
      <c r="F434" s="30" t="inlineStr">
        <is>
          <t>Rule added (pricing verification)</t>
        </is>
      </c>
      <c r="G434" s="28" t="inlineStr">
        <is>
          <t>Your pasted rules</t>
        </is>
      </c>
      <c r="H434" s="30" t="inlineStr">
        <is>
          <t>Scope</t>
        </is>
      </c>
      <c r="I434" s="30" t="inlineStr">
        <is>
          <t>Products in products_list (13) whose SKU is in the requested list. Requested SKUs not in products_list are ignored.</t>
        </is>
      </c>
      <c r="J434" s="30" t="inlineStr">
        <is>
          <t>Your comment 8 Oct (rows 78-84)</t>
        </is>
      </c>
      <c r="K434" s="30" t="n"/>
    </row>
    <row r="435" ht="22.35" customHeight="1" s="24">
      <c r="A435" s="28" t="n"/>
      <c r="B435" s="30" t="n"/>
      <c r="C435" s="30" t="inlineStr">
        <is>
          <t>AUDC-01</t>
        </is>
      </c>
      <c r="D435" s="30" t="inlineStr">
        <is>
          <t>Designer Collection I</t>
        </is>
      </c>
      <c r="E435" s="30" t="inlineStr">
        <is>
          <t>Designer Collection</t>
        </is>
      </c>
      <c r="F435" s="30" t="inlineStr">
        <is>
          <t>Rule applied (no action)</t>
        </is>
      </c>
      <c r="G435" s="34" t="inlineStr">
        <is>
          <t>Ashraf gate file</t>
        </is>
      </c>
      <c r="H435" s="30" t="inlineStr">
        <is>
          <t>Gate: "stemss" typo</t>
        </is>
      </c>
      <c r="I435" s="30" t="inlineStr">
        <is>
          <t>New text says florist's choice stems</t>
        </is>
      </c>
      <c r="J435" s="30" t="inlineStr">
        <is>
          <t>Ashraf gate file</t>
        </is>
      </c>
      <c r="K435" s="30" t="n"/>
    </row>
    <row r="436" ht="22.35" customHeight="1" s="24">
      <c r="A436" s="28" t="n"/>
      <c r="B436" s="30" t="n"/>
      <c r="C436" s="30" t="inlineStr">
        <is>
          <t>AUDC-02</t>
        </is>
      </c>
      <c r="D436" s="30" t="inlineStr">
        <is>
          <t>Designer Collection II</t>
        </is>
      </c>
      <c r="E436" s="30" t="inlineStr">
        <is>
          <t>Designer Collection</t>
        </is>
      </c>
      <c r="F436" s="30" t="inlineStr">
        <is>
          <t>Rule applied (no action)</t>
        </is>
      </c>
      <c r="G436" s="34" t="inlineStr">
        <is>
          <t>Ashraf gate file</t>
        </is>
      </c>
      <c r="H436" s="30" t="inlineStr">
        <is>
          <t>Gate: "stemss" typo</t>
        </is>
      </c>
      <c r="I436" s="30" t="inlineStr">
        <is>
          <t>New text says florist's choice stems</t>
        </is>
      </c>
      <c r="J436" s="30" t="inlineStr">
        <is>
          <t>Ashraf gate file</t>
        </is>
      </c>
      <c r="K436" s="30" t="n"/>
    </row>
    <row r="437" ht="22.35" customHeight="1" s="24">
      <c r="A437" s="28" t="n"/>
      <c r="B437" s="30" t="n"/>
      <c r="C437" s="30" t="inlineStr">
        <is>
          <t>AUDC-03</t>
        </is>
      </c>
      <c r="D437" s="30" t="inlineStr">
        <is>
          <t>Designer Collection III</t>
        </is>
      </c>
      <c r="E437" s="30" t="inlineStr">
        <is>
          <t>Designer Collection</t>
        </is>
      </c>
      <c r="F437" s="30" t="inlineStr">
        <is>
          <t>Rule applied (no action)</t>
        </is>
      </c>
      <c r="G437" s="34" t="inlineStr">
        <is>
          <t>Ashraf gate file</t>
        </is>
      </c>
      <c r="H437" s="30" t="inlineStr">
        <is>
          <t>Gate: "stemss" typo</t>
        </is>
      </c>
      <c r="I437" s="30" t="inlineStr">
        <is>
          <t>New text says florist's choice stems</t>
        </is>
      </c>
      <c r="J437" s="30" t="inlineStr">
        <is>
          <t>Ashraf gate file</t>
        </is>
      </c>
      <c r="K437" s="30" t="n"/>
    </row>
    <row r="438" ht="22.35" customHeight="1" s="24">
      <c r="A438" s="28" t="n"/>
      <c r="B438" s="30" t="n"/>
      <c r="C438" s="30" t="inlineStr">
        <is>
          <t>AUDC-04</t>
        </is>
      </c>
      <c r="D438" s="30" t="inlineStr">
        <is>
          <t>Designer Collection IV</t>
        </is>
      </c>
      <c r="E438" s="30" t="inlineStr">
        <is>
          <t>Designer Collection</t>
        </is>
      </c>
      <c r="F438" s="30" t="inlineStr">
        <is>
          <t>Rule applied (no action)</t>
        </is>
      </c>
      <c r="G438" s="34" t="inlineStr">
        <is>
          <t>Ashraf gate file</t>
        </is>
      </c>
      <c r="H438" s="30" t="inlineStr">
        <is>
          <t>Gate: "stemss" typo</t>
        </is>
      </c>
      <c r="I438" s="30" t="inlineStr">
        <is>
          <t>New text says florist's choice stems</t>
        </is>
      </c>
      <c r="J438" s="30" t="inlineStr">
        <is>
          <t>Ashraf gate file</t>
        </is>
      </c>
      <c r="K438" s="30" t="n"/>
    </row>
    <row r="439" ht="15" customHeight="1" s="24">
      <c r="A439" s="28" t="n"/>
      <c r="B439" s="30" t="n"/>
      <c r="C439" s="30" t="inlineStr">
        <is>
          <t>DCMJ-01A</t>
        </is>
      </c>
      <c r="D439" s="30" t="inlineStr">
        <is>
          <t>Designer Collection Mason Jar I</t>
        </is>
      </c>
      <c r="E439" s="30" t="inlineStr">
        <is>
          <t>Mason Jar</t>
        </is>
      </c>
      <c r="F439" s="30" t="inlineStr">
        <is>
          <t>Rule applied (no action)</t>
        </is>
      </c>
      <c r="G439" s="34" t="inlineStr">
        <is>
          <t>Ashraf gate file</t>
        </is>
      </c>
      <c r="H439" s="30" t="inlineStr">
        <is>
          <t>Gate: "stemss" typo</t>
        </is>
      </c>
      <c r="I439" s="30" t="inlineStr">
        <is>
          <t>New text says florist's choice stems</t>
        </is>
      </c>
      <c r="J439" s="30" t="inlineStr">
        <is>
          <t>Ashraf gate file</t>
        </is>
      </c>
      <c r="K439" s="30" t="n"/>
    </row>
    <row r="440" ht="15" customHeight="1" s="24">
      <c r="A440" s="28" t="n"/>
      <c r="B440" s="30" t="n"/>
      <c r="C440" s="30" t="inlineStr">
        <is>
          <t>DCMJ-02A</t>
        </is>
      </c>
      <c r="D440" s="30" t="inlineStr">
        <is>
          <t>Designer Collection Mason Jar II</t>
        </is>
      </c>
      <c r="E440" s="30" t="inlineStr">
        <is>
          <t>Mason Jar</t>
        </is>
      </c>
      <c r="F440" s="30" t="inlineStr">
        <is>
          <t>Rule applied (no action)</t>
        </is>
      </c>
      <c r="G440" s="34" t="inlineStr">
        <is>
          <t>Ashraf gate file</t>
        </is>
      </c>
      <c r="H440" s="30" t="inlineStr">
        <is>
          <t>Gate: "stemss" typo</t>
        </is>
      </c>
      <c r="I440" s="30" t="inlineStr">
        <is>
          <t>New text says florist's choice stems</t>
        </is>
      </c>
      <c r="J440" s="30" t="inlineStr">
        <is>
          <t>Ashraf gate file</t>
        </is>
      </c>
      <c r="K440" s="30" t="n"/>
    </row>
    <row r="441" ht="15" customHeight="1" s="24">
      <c r="A441" s="28" t="n"/>
      <c r="B441" s="30" t="n"/>
      <c r="C441" s="30" t="inlineStr">
        <is>
          <t>DCMJ-03A</t>
        </is>
      </c>
      <c r="D441" s="30" t="inlineStr">
        <is>
          <t>Designer Collection Mason Jar III</t>
        </is>
      </c>
      <c r="E441" s="30" t="inlineStr">
        <is>
          <t>Mason Jar</t>
        </is>
      </c>
      <c r="F441" s="30" t="inlineStr">
        <is>
          <t>Rule applied (no action)</t>
        </is>
      </c>
      <c r="G441" s="34" t="inlineStr">
        <is>
          <t>Ashraf gate file</t>
        </is>
      </c>
      <c r="H441" s="30" t="inlineStr">
        <is>
          <t>Gate: "stemss" typo</t>
        </is>
      </c>
      <c r="I441" s="30" t="inlineStr">
        <is>
          <t>New text says florist's choice stems</t>
        </is>
      </c>
      <c r="J441" s="30" t="inlineStr">
        <is>
          <t>Ashraf gate file</t>
        </is>
      </c>
      <c r="K441" s="30" t="n"/>
    </row>
    <row r="442" ht="15" customHeight="1" s="24">
      <c r="A442" s="28" t="n"/>
      <c r="B442" s="30" t="n"/>
      <c r="C442" s="30" t="inlineStr">
        <is>
          <t>DCMJ-04A</t>
        </is>
      </c>
      <c r="D442" s="30" t="inlineStr">
        <is>
          <t>Designer Collection Mason Jar IV</t>
        </is>
      </c>
      <c r="E442" s="30" t="inlineStr">
        <is>
          <t>Mason Jar</t>
        </is>
      </c>
      <c r="F442" s="30" t="inlineStr">
        <is>
          <t>Rule applied (no action)</t>
        </is>
      </c>
      <c r="G442" s="34" t="inlineStr">
        <is>
          <t>Ashraf gate file</t>
        </is>
      </c>
      <c r="H442" s="30" t="inlineStr">
        <is>
          <t>Gate: "stemss" typo</t>
        </is>
      </c>
      <c r="I442" s="30" t="inlineStr">
        <is>
          <t>New text says florist's choice stems</t>
        </is>
      </c>
      <c r="J442" s="30" t="inlineStr">
        <is>
          <t>Ashraf gate file</t>
        </is>
      </c>
      <c r="K442" s="30" t="n"/>
    </row>
    <row r="443" ht="15" customHeight="1" s="24">
      <c r="A443" s="28" t="n"/>
      <c r="B443" s="30" t="n"/>
      <c r="C443" s="30" t="inlineStr">
        <is>
          <t>MDMJ-03</t>
        </is>
      </c>
      <c r="D443" s="30" t="inlineStr">
        <is>
          <t>Blooming Glory in Mason Jar</t>
        </is>
      </c>
      <c r="E443" s="30" t="inlineStr">
        <is>
          <t>Mason Jar</t>
        </is>
      </c>
      <c r="F443" s="30" t="inlineStr">
        <is>
          <t>Rule applied (no action)</t>
        </is>
      </c>
      <c r="G443" s="34" t="inlineStr">
        <is>
          <t>Ashraf gate file</t>
        </is>
      </c>
      <c r="H443" s="30" t="inlineStr">
        <is>
          <t>Gate: "stemss" typo</t>
        </is>
      </c>
      <c r="I443" s="30" t="inlineStr">
        <is>
          <t>New text says florist's choice stems</t>
        </is>
      </c>
      <c r="J443" s="30" t="inlineStr">
        <is>
          <t>Ashraf gate file</t>
        </is>
      </c>
      <c r="K443" s="30" t="n"/>
    </row>
    <row r="444" ht="22.35" customHeight="1" s="24">
      <c r="A444" s="28" t="n"/>
      <c r="B444" s="30" t="n"/>
      <c r="C444" s="30" t="inlineStr">
        <is>
          <t>AU115-12</t>
        </is>
      </c>
      <c r="D444" s="30" t="inlineStr">
        <is>
          <t>12 Red Roses, Chocolates, Card &amp; Wine</t>
        </is>
      </c>
      <c r="E444" s="30" t="inlineStr">
        <is>
          <t>Roses</t>
        </is>
      </c>
      <c r="F444" s="30" t="inlineStr">
        <is>
          <t>Rule applied (no action)</t>
        </is>
      </c>
      <c r="G444" s="34" t="inlineStr">
        <is>
          <t>Ashraf gate file</t>
        </is>
      </c>
      <c r="H444" s="30" t="inlineStr">
        <is>
          <t>Gate: 18+ notice kept</t>
        </is>
      </c>
      <c r="I444" s="30" t="inlineStr">
        <is>
          <t>Liquor notice appended to every brand text</t>
        </is>
      </c>
      <c r="J444" s="30" t="inlineStr">
        <is>
          <t>Ashraf gate file</t>
        </is>
      </c>
      <c r="K444" s="30" t="n"/>
    </row>
    <row r="445" ht="15" customHeight="1" s="24">
      <c r="A445" s="28" t="n"/>
      <c r="B445" s="30" t="n"/>
      <c r="C445" s="30" t="inlineStr">
        <is>
          <t>AUFS-10</t>
        </is>
      </c>
      <c r="D445" s="30" t="inlineStr">
        <is>
          <t>Dozen Red Roses &amp; Shiraz</t>
        </is>
      </c>
      <c r="E445" s="30" t="inlineStr">
        <is>
          <t>Roses</t>
        </is>
      </c>
      <c r="F445" s="30" t="inlineStr">
        <is>
          <t>Rule applied (no action)</t>
        </is>
      </c>
      <c r="G445" s="34" t="inlineStr">
        <is>
          <t>Ashraf gate file</t>
        </is>
      </c>
      <c r="H445" s="30" t="inlineStr">
        <is>
          <t>Gate: 18+ notice kept</t>
        </is>
      </c>
      <c r="I445" s="30" t="inlineStr">
        <is>
          <t>Liquor notice appended to every brand text</t>
        </is>
      </c>
      <c r="J445" s="30" t="inlineStr">
        <is>
          <t>Ashraf gate file</t>
        </is>
      </c>
      <c r="K445" s="30" t="n"/>
    </row>
    <row r="446" ht="15" customHeight="1" s="24">
      <c r="A446" s="28" t="n"/>
      <c r="B446" s="30" t="n"/>
      <c r="C446" s="30" t="inlineStr">
        <is>
          <t>AUFS-11</t>
        </is>
      </c>
      <c r="D446" s="30" t="inlineStr">
        <is>
          <t>Dozen Red Roses, Wine &amp; Truffles</t>
        </is>
      </c>
      <c r="E446" s="30" t="inlineStr">
        <is>
          <t>Roses</t>
        </is>
      </c>
      <c r="F446" s="30" t="inlineStr">
        <is>
          <t>Rule applied (no action)</t>
        </is>
      </c>
      <c r="G446" s="34" t="inlineStr">
        <is>
          <t>Ashraf gate file</t>
        </is>
      </c>
      <c r="H446" s="30" t="inlineStr">
        <is>
          <t>Gate: 18+ notice kept</t>
        </is>
      </c>
      <c r="I446" s="30" t="inlineStr">
        <is>
          <t>Liquor notice appended to every brand text</t>
        </is>
      </c>
      <c r="J446" s="30" t="inlineStr">
        <is>
          <t>Ashraf gate file</t>
        </is>
      </c>
      <c r="K446" s="30" t="n"/>
    </row>
    <row r="447" ht="15" customHeight="1" s="24">
      <c r="A447" s="28" t="n"/>
      <c r="B447" s="30" t="n"/>
      <c r="C447" s="30" t="inlineStr">
        <is>
          <t>AUFS-12</t>
        </is>
      </c>
      <c r="D447" s="30" t="inlineStr">
        <is>
          <t>Dozen Mixed Roses Super Combo</t>
        </is>
      </c>
      <c r="E447" s="30" t="inlineStr">
        <is>
          <t>Bouquets</t>
        </is>
      </c>
      <c r="F447" s="30" t="inlineStr">
        <is>
          <t>Rule applied (no action)</t>
        </is>
      </c>
      <c r="G447" s="34" t="inlineStr">
        <is>
          <t>Ashraf gate file</t>
        </is>
      </c>
      <c r="H447" s="30" t="inlineStr">
        <is>
          <t>Gate: 18+ notice kept</t>
        </is>
      </c>
      <c r="I447" s="30" t="inlineStr">
        <is>
          <t>Liquor notice appended to every brand text</t>
        </is>
      </c>
      <c r="J447" s="30" t="inlineStr">
        <is>
          <t>Ashraf gate file</t>
        </is>
      </c>
      <c r="K447" s="30" t="n"/>
    </row>
    <row r="448" ht="15" customHeight="1" s="24">
      <c r="A448" s="28" t="n"/>
      <c r="B448" s="30" t="n"/>
      <c r="C448" s="30" t="inlineStr">
        <is>
          <t>AU100-12</t>
        </is>
      </c>
      <c r="D448" s="30" t="inlineStr">
        <is>
          <t>Colour Me Yours</t>
        </is>
      </c>
      <c r="E448" s="30" t="inlineStr">
        <is>
          <t>Bouquets</t>
        </is>
      </c>
      <c r="F448" s="30" t="inlineStr">
        <is>
          <t>Rule applied (no action)</t>
        </is>
      </c>
      <c r="G448" s="34" t="inlineStr">
        <is>
          <t>Ashraf gate file</t>
        </is>
      </c>
      <c r="H448" s="30" t="inlineStr">
        <is>
          <t>Gate: designer wording applied</t>
        </is>
      </c>
      <c r="I448" s="30" t="inlineStr">
        <is>
          <t>Stem count + florist's choice + picture illustrative. 'Such as' list pending Benny</t>
        </is>
      </c>
      <c r="J448" s="30" t="inlineStr">
        <is>
          <t>Ashraf gate file</t>
        </is>
      </c>
      <c r="K448" s="30" t="inlineStr">
        <is>
          <t>Benny</t>
        </is>
      </c>
    </row>
    <row r="449" ht="15" customHeight="1" s="24">
      <c r="A449" s="28" t="n"/>
      <c r="B449" s="30" t="n"/>
      <c r="C449" s="30" t="inlineStr">
        <is>
          <t>AUBC-01</t>
        </is>
      </c>
      <c r="D449" s="30" t="inlineStr">
        <is>
          <t>Birthday Combo I</t>
        </is>
      </c>
      <c r="E449" s="30" t="inlineStr">
        <is>
          <t>Bouquets</t>
        </is>
      </c>
      <c r="F449" s="30" t="inlineStr">
        <is>
          <t>Rule applied (no action)</t>
        </is>
      </c>
      <c r="G449" s="34" t="inlineStr">
        <is>
          <t>Ashraf gate file</t>
        </is>
      </c>
      <c r="H449" s="30" t="inlineStr">
        <is>
          <t>Gate: designer wording applied</t>
        </is>
      </c>
      <c r="I449" s="30" t="inlineStr">
        <is>
          <t>Stem count + florist's choice + picture illustrative. 'Such as' list pending Benny</t>
        </is>
      </c>
      <c r="J449" s="30" t="inlineStr">
        <is>
          <t>Ashraf gate file</t>
        </is>
      </c>
      <c r="K449" s="30" t="inlineStr">
        <is>
          <t>Benny</t>
        </is>
      </c>
    </row>
    <row r="450" ht="15" customHeight="1" s="24">
      <c r="A450" s="28" t="n"/>
      <c r="B450" s="30" t="n"/>
      <c r="C450" s="30" t="inlineStr">
        <is>
          <t>AUBC-02</t>
        </is>
      </c>
      <c r="D450" s="30" t="inlineStr">
        <is>
          <t>Birthday Combo II</t>
        </is>
      </c>
      <c r="E450" s="30" t="inlineStr">
        <is>
          <t>Bouquets</t>
        </is>
      </c>
      <c r="F450" s="30" t="inlineStr">
        <is>
          <t>Rule applied (no action)</t>
        </is>
      </c>
      <c r="G450" s="34" t="inlineStr">
        <is>
          <t>Ashraf gate file</t>
        </is>
      </c>
      <c r="H450" s="30" t="inlineStr">
        <is>
          <t>Gate: designer wording applied</t>
        </is>
      </c>
      <c r="I450" s="30" t="inlineStr">
        <is>
          <t>Stem count + florist's choice + picture illustrative. 'Such as' list pending Benny</t>
        </is>
      </c>
      <c r="J450" s="30" t="inlineStr">
        <is>
          <t>Ashraf gate file</t>
        </is>
      </c>
      <c r="K450" s="30" t="inlineStr">
        <is>
          <t>Benny</t>
        </is>
      </c>
    </row>
    <row r="451" ht="15" customHeight="1" s="24">
      <c r="A451" s="28" t="n"/>
      <c r="B451" s="30" t="n"/>
      <c r="C451" s="30" t="inlineStr">
        <is>
          <t>AUBC-04</t>
        </is>
      </c>
      <c r="D451" s="30" t="inlineStr">
        <is>
          <t>Birthday Combo IV</t>
        </is>
      </c>
      <c r="E451" s="30" t="inlineStr">
        <is>
          <t>Bouquets</t>
        </is>
      </c>
      <c r="F451" s="30" t="inlineStr">
        <is>
          <t>Rule applied (no action)</t>
        </is>
      </c>
      <c r="G451" s="34" t="inlineStr">
        <is>
          <t>Ashraf gate file</t>
        </is>
      </c>
      <c r="H451" s="30" t="inlineStr">
        <is>
          <t>Gate: designer wording applied</t>
        </is>
      </c>
      <c r="I451" s="30" t="inlineStr">
        <is>
          <t>Stem count + florist's choice + picture illustrative. 'Such as' list pending Benny</t>
        </is>
      </c>
      <c r="J451" s="30" t="inlineStr">
        <is>
          <t>Ashraf gate file</t>
        </is>
      </c>
      <c r="K451" s="30" t="inlineStr">
        <is>
          <t>Benny</t>
        </is>
      </c>
    </row>
    <row r="452" ht="22.35" customHeight="1" s="24">
      <c r="A452" s="28" t="n"/>
      <c r="B452" s="30" t="n"/>
      <c r="C452" s="30" t="inlineStr">
        <is>
          <t>AUDC-01</t>
        </is>
      </c>
      <c r="D452" s="30" t="inlineStr">
        <is>
          <t>Designer Collection I</t>
        </is>
      </c>
      <c r="E452" s="30" t="inlineStr">
        <is>
          <t>Designer Collection</t>
        </is>
      </c>
      <c r="F452" s="30" t="inlineStr">
        <is>
          <t>Rule applied (no action)</t>
        </is>
      </c>
      <c r="G452" s="34" t="inlineStr">
        <is>
          <t>Ashraf gate file</t>
        </is>
      </c>
      <c r="H452" s="30" t="inlineStr">
        <is>
          <t>Gate: designer wording applied</t>
        </is>
      </c>
      <c r="I452" s="30" t="inlineStr">
        <is>
          <t>Stem count + florist's choice + picture illustrative. 'Such as' list pending Benny</t>
        </is>
      </c>
      <c r="J452" s="30" t="inlineStr">
        <is>
          <t>Ashraf gate file</t>
        </is>
      </c>
      <c r="K452" s="30" t="inlineStr">
        <is>
          <t>Benny</t>
        </is>
      </c>
    </row>
    <row r="453" ht="22.35" customHeight="1" s="24">
      <c r="A453" s="28" t="n"/>
      <c r="B453" s="30" t="n"/>
      <c r="C453" s="30" t="inlineStr">
        <is>
          <t>AUDC-02</t>
        </is>
      </c>
      <c r="D453" s="30" t="inlineStr">
        <is>
          <t>Designer Collection II</t>
        </is>
      </c>
      <c r="E453" s="30" t="inlineStr">
        <is>
          <t>Designer Collection</t>
        </is>
      </c>
      <c r="F453" s="30" t="inlineStr">
        <is>
          <t>Rule applied (no action)</t>
        </is>
      </c>
      <c r="G453" s="34" t="inlineStr">
        <is>
          <t>Ashraf gate file</t>
        </is>
      </c>
      <c r="H453" s="30" t="inlineStr">
        <is>
          <t>Gate: designer wording applied</t>
        </is>
      </c>
      <c r="I453" s="30" t="inlineStr">
        <is>
          <t>Stem count + florist's choice + picture illustrative. 'Such as' list pending Benny</t>
        </is>
      </c>
      <c r="J453" s="30" t="inlineStr">
        <is>
          <t>Ashraf gate file</t>
        </is>
      </c>
      <c r="K453" s="30" t="inlineStr">
        <is>
          <t>Benny</t>
        </is>
      </c>
    </row>
    <row r="454" ht="22.35" customHeight="1" s="24">
      <c r="A454" s="28" t="n"/>
      <c r="B454" s="30" t="n"/>
      <c r="C454" s="30" t="inlineStr">
        <is>
          <t>AUDC-03</t>
        </is>
      </c>
      <c r="D454" s="30" t="inlineStr">
        <is>
          <t>Designer Collection III</t>
        </is>
      </c>
      <c r="E454" s="30" t="inlineStr">
        <is>
          <t>Designer Collection</t>
        </is>
      </c>
      <c r="F454" s="30" t="inlineStr">
        <is>
          <t>Rule applied (no action)</t>
        </is>
      </c>
      <c r="G454" s="34" t="inlineStr">
        <is>
          <t>Ashraf gate file</t>
        </is>
      </c>
      <c r="H454" s="30" t="inlineStr">
        <is>
          <t>Gate: designer wording applied</t>
        </is>
      </c>
      <c r="I454" s="30" t="inlineStr">
        <is>
          <t>Stem count + florist's choice + picture illustrative. 'Such as' list pending Benny</t>
        </is>
      </c>
      <c r="J454" s="30" t="inlineStr">
        <is>
          <t>Ashraf gate file</t>
        </is>
      </c>
      <c r="K454" s="30" t="inlineStr">
        <is>
          <t>Benny</t>
        </is>
      </c>
    </row>
    <row r="455" ht="22.35" customHeight="1" s="24">
      <c r="A455" s="28" t="n"/>
      <c r="B455" s="30" t="n"/>
      <c r="C455" s="30" t="inlineStr">
        <is>
          <t>AUDC-04</t>
        </is>
      </c>
      <c r="D455" s="30" t="inlineStr">
        <is>
          <t>Designer Collection IV</t>
        </is>
      </c>
      <c r="E455" s="30" t="inlineStr">
        <is>
          <t>Designer Collection</t>
        </is>
      </c>
      <c r="F455" s="30" t="inlineStr">
        <is>
          <t>Rule applied (no action)</t>
        </is>
      </c>
      <c r="G455" s="34" t="inlineStr">
        <is>
          <t>Ashraf gate file</t>
        </is>
      </c>
      <c r="H455" s="30" t="inlineStr">
        <is>
          <t>Gate: designer wording applied</t>
        </is>
      </c>
      <c r="I455" s="30" t="inlineStr">
        <is>
          <t>Stem count + florist's choice + picture illustrative. 'Such as' list pending Benny</t>
        </is>
      </c>
      <c r="J455" s="30" t="inlineStr">
        <is>
          <t>Ashraf gate file</t>
        </is>
      </c>
      <c r="K455" s="30" t="inlineStr">
        <is>
          <t>Benny</t>
        </is>
      </c>
    </row>
    <row r="456" ht="22.35" customHeight="1" s="24">
      <c r="A456" s="28" t="n"/>
      <c r="B456" s="30" t="n"/>
      <c r="C456" s="30" t="inlineStr">
        <is>
          <t>AUDC-04A</t>
        </is>
      </c>
      <c r="D456" s="30" t="inlineStr">
        <is>
          <t>Designer Collection Anniversary IV</t>
        </is>
      </c>
      <c r="E456" s="30" t="inlineStr">
        <is>
          <t>Designer Collection</t>
        </is>
      </c>
      <c r="F456" s="30" t="inlineStr">
        <is>
          <t>Rule applied (no action)</t>
        </is>
      </c>
      <c r="G456" s="34" t="inlineStr">
        <is>
          <t>Ashraf gate file</t>
        </is>
      </c>
      <c r="H456" s="30" t="inlineStr">
        <is>
          <t>Gate: designer wording applied</t>
        </is>
      </c>
      <c r="I456" s="30" t="inlineStr">
        <is>
          <t>Stem count + florist's choice + picture illustrative. 'Such as' list pending Benny</t>
        </is>
      </c>
      <c r="J456" s="30" t="inlineStr">
        <is>
          <t>Ashraf gate file</t>
        </is>
      </c>
      <c r="K456" s="30" t="inlineStr">
        <is>
          <t>Benny</t>
        </is>
      </c>
    </row>
    <row r="457" ht="22.35" customHeight="1" s="24">
      <c r="A457" s="28" t="n"/>
      <c r="B457" s="30" t="n"/>
      <c r="C457" s="30" t="inlineStr">
        <is>
          <t>AUDNAT-01</t>
        </is>
      </c>
      <c r="D457" s="30" t="inlineStr">
        <is>
          <t>Native Flowers Bouquet Designer Collection I</t>
        </is>
      </c>
      <c r="E457" s="30" t="inlineStr">
        <is>
          <t>Designer Collection</t>
        </is>
      </c>
      <c r="F457" s="30" t="inlineStr">
        <is>
          <t>Rule applied (no action)</t>
        </is>
      </c>
      <c r="G457" s="34" t="inlineStr">
        <is>
          <t>Ashraf gate file</t>
        </is>
      </c>
      <c r="H457" s="30" t="inlineStr">
        <is>
          <t>Gate: designer wording applied</t>
        </is>
      </c>
      <c r="I457" s="30" t="inlineStr">
        <is>
          <t>Stem count + florist's choice + picture illustrative. 'Such as' list pending Benny</t>
        </is>
      </c>
      <c r="J457" s="30" t="inlineStr">
        <is>
          <t>Ashraf gate file</t>
        </is>
      </c>
      <c r="K457" s="30" t="inlineStr">
        <is>
          <t>Benny</t>
        </is>
      </c>
    </row>
    <row r="458" ht="22.35" customHeight="1" s="24">
      <c r="A458" s="28" t="n"/>
      <c r="B458" s="30" t="n"/>
      <c r="C458" s="30" t="inlineStr">
        <is>
          <t>AUDNAT-02</t>
        </is>
      </c>
      <c r="D458" s="30" t="inlineStr">
        <is>
          <t>Native Flowers Bouquet Designer Collection II</t>
        </is>
      </c>
      <c r="E458" s="30" t="inlineStr">
        <is>
          <t>Designer Collection</t>
        </is>
      </c>
      <c r="F458" s="30" t="inlineStr">
        <is>
          <t>Rule applied (no action)</t>
        </is>
      </c>
      <c r="G458" s="34" t="inlineStr">
        <is>
          <t>Ashraf gate file</t>
        </is>
      </c>
      <c r="H458" s="30" t="inlineStr">
        <is>
          <t>Gate: designer wording applied</t>
        </is>
      </c>
      <c r="I458" s="30" t="inlineStr">
        <is>
          <t>Stem count + florist's choice + picture illustrative. 'Such as' list pending Benny</t>
        </is>
      </c>
      <c r="J458" s="30" t="inlineStr">
        <is>
          <t>Ashraf gate file</t>
        </is>
      </c>
      <c r="K458" s="30" t="inlineStr">
        <is>
          <t>Benny</t>
        </is>
      </c>
    </row>
    <row r="459" ht="22.35" customHeight="1" s="24">
      <c r="A459" s="28" t="n"/>
      <c r="B459" s="30" t="n"/>
      <c r="C459" s="30" t="inlineStr">
        <is>
          <t>AUDNAT-03</t>
        </is>
      </c>
      <c r="D459" s="30" t="inlineStr">
        <is>
          <t>Native Flowers Bouquet Designer Collection III</t>
        </is>
      </c>
      <c r="E459" s="30" t="inlineStr">
        <is>
          <t>Designer Collection</t>
        </is>
      </c>
      <c r="F459" s="30" t="inlineStr">
        <is>
          <t>Rule applied (no action)</t>
        </is>
      </c>
      <c r="G459" s="34" t="inlineStr">
        <is>
          <t>Ashraf gate file</t>
        </is>
      </c>
      <c r="H459" s="30" t="inlineStr">
        <is>
          <t>Gate: designer wording applied</t>
        </is>
      </c>
      <c r="I459" s="30" t="inlineStr">
        <is>
          <t>Stem count + florist's choice + picture illustrative. 'Such as' list pending Benny</t>
        </is>
      </c>
      <c r="J459" s="30" t="inlineStr">
        <is>
          <t>Ashraf gate file</t>
        </is>
      </c>
      <c r="K459" s="30" t="inlineStr">
        <is>
          <t>Benny</t>
        </is>
      </c>
    </row>
    <row r="460" ht="22.35" customHeight="1" s="24">
      <c r="A460" s="28" t="n"/>
      <c r="B460" s="30" t="n"/>
      <c r="C460" s="30" t="inlineStr">
        <is>
          <t>AUMJ-NW-005</t>
        </is>
      </c>
      <c r="D460" s="30" t="inlineStr">
        <is>
          <t>Native Flowers Bouquet in Mason Jar</t>
        </is>
      </c>
      <c r="E460" s="30" t="inlineStr">
        <is>
          <t>Mason Jar</t>
        </is>
      </c>
      <c r="F460" s="30" t="inlineStr">
        <is>
          <t>Rule applied (no action)</t>
        </is>
      </c>
      <c r="G460" s="34" t="inlineStr">
        <is>
          <t>Ashraf gate file</t>
        </is>
      </c>
      <c r="H460" s="30" t="inlineStr">
        <is>
          <t>Gate: designer wording applied</t>
        </is>
      </c>
      <c r="I460" s="30" t="inlineStr">
        <is>
          <t>Stem count + florist's choice + picture illustrative. 'Such as' list pending Benny</t>
        </is>
      </c>
      <c r="J460" s="30" t="inlineStr">
        <is>
          <t>Ashraf gate file</t>
        </is>
      </c>
      <c r="K460" s="30" t="inlineStr">
        <is>
          <t>Benny</t>
        </is>
      </c>
    </row>
    <row r="461" ht="15" customHeight="1" s="24">
      <c r="A461" s="28" t="n"/>
      <c r="B461" s="30" t="n"/>
      <c r="C461" s="30" t="inlineStr">
        <is>
          <t>AURP-B29</t>
        </is>
      </c>
      <c r="D461" s="30" t="inlineStr">
        <is>
          <t>The Birthday Bundle</t>
        </is>
      </c>
      <c r="E461" s="30" t="inlineStr">
        <is>
          <t>Bouquets</t>
        </is>
      </c>
      <c r="F461" s="30" t="inlineStr">
        <is>
          <t>Rule applied (no action)</t>
        </is>
      </c>
      <c r="G461" s="34" t="inlineStr">
        <is>
          <t>Ashraf gate file</t>
        </is>
      </c>
      <c r="H461" s="30" t="inlineStr">
        <is>
          <t>Gate: designer wording applied</t>
        </is>
      </c>
      <c r="I461" s="30" t="inlineStr">
        <is>
          <t>Stem count + florist's choice + picture illustrative. 'Such as' list pending Benny</t>
        </is>
      </c>
      <c r="J461" s="30" t="inlineStr">
        <is>
          <t>Ashraf gate file</t>
        </is>
      </c>
      <c r="K461" s="30" t="inlineStr">
        <is>
          <t>Benny</t>
        </is>
      </c>
    </row>
    <row r="462" ht="22.35" customHeight="1" s="24">
      <c r="A462" s="28" t="n"/>
      <c r="B462" s="30" t="n"/>
      <c r="C462" s="30" t="inlineStr">
        <is>
          <t>DC-01B</t>
        </is>
      </c>
      <c r="D462" s="30" t="inlineStr">
        <is>
          <t>Birthday Designer Collection I</t>
        </is>
      </c>
      <c r="E462" s="30" t="inlineStr">
        <is>
          <t>Designer Collection</t>
        </is>
      </c>
      <c r="F462" s="30" t="inlineStr">
        <is>
          <t>Rule applied (no action)</t>
        </is>
      </c>
      <c r="G462" s="34" t="inlineStr">
        <is>
          <t>Ashraf gate file</t>
        </is>
      </c>
      <c r="H462" s="30" t="inlineStr">
        <is>
          <t>Gate: designer wording applied</t>
        </is>
      </c>
      <c r="I462" s="30" t="inlineStr">
        <is>
          <t>Stem count + florist's choice + picture illustrative. 'Such as' list pending Benny</t>
        </is>
      </c>
      <c r="J462" s="30" t="inlineStr">
        <is>
          <t>Ashraf gate file</t>
        </is>
      </c>
      <c r="K462" s="30" t="inlineStr">
        <is>
          <t>Benny</t>
        </is>
      </c>
    </row>
    <row r="463" ht="22.35" customHeight="1" s="24">
      <c r="A463" s="28" t="n"/>
      <c r="B463" s="30" t="n"/>
      <c r="C463" s="30" t="inlineStr">
        <is>
          <t>DC-01S</t>
        </is>
      </c>
      <c r="D463" s="30" t="inlineStr">
        <is>
          <t>Designer Sympathy Collection I</t>
        </is>
      </c>
      <c r="E463" s="30" t="inlineStr">
        <is>
          <t>Designer Collection</t>
        </is>
      </c>
      <c r="F463" s="30" t="inlineStr">
        <is>
          <t>Rule applied (no action)</t>
        </is>
      </c>
      <c r="G463" s="34" t="inlineStr">
        <is>
          <t>Ashraf gate file</t>
        </is>
      </c>
      <c r="H463" s="30" t="inlineStr">
        <is>
          <t>Gate: designer wording applied</t>
        </is>
      </c>
      <c r="I463" s="30" t="inlineStr">
        <is>
          <t>Stem count + florist's choice + picture illustrative. 'Such as' list pending Benny</t>
        </is>
      </c>
      <c r="J463" s="30" t="inlineStr">
        <is>
          <t>Ashraf gate file</t>
        </is>
      </c>
      <c r="K463" s="30" t="inlineStr">
        <is>
          <t>Benny</t>
        </is>
      </c>
    </row>
    <row r="464" ht="22.35" customHeight="1" s="24">
      <c r="A464" s="28" t="n"/>
      <c r="B464" s="30" t="n"/>
      <c r="C464" s="30" t="inlineStr">
        <is>
          <t>DC-02A</t>
        </is>
      </c>
      <c r="D464" s="30" t="inlineStr">
        <is>
          <t>Designer Collection Anniversary II</t>
        </is>
      </c>
      <c r="E464" s="30" t="inlineStr">
        <is>
          <t>Designer Collection</t>
        </is>
      </c>
      <c r="F464" s="30" t="inlineStr">
        <is>
          <t>Rule applied (no action)</t>
        </is>
      </c>
      <c r="G464" s="34" t="inlineStr">
        <is>
          <t>Ashraf gate file</t>
        </is>
      </c>
      <c r="H464" s="30" t="inlineStr">
        <is>
          <t>Gate: designer wording applied</t>
        </is>
      </c>
      <c r="I464" s="30" t="inlineStr">
        <is>
          <t>Stem count + florist's choice + picture illustrative. 'Such as' list pending Benny</t>
        </is>
      </c>
      <c r="J464" s="30" t="inlineStr">
        <is>
          <t>Ashraf gate file</t>
        </is>
      </c>
      <c r="K464" s="30" t="inlineStr">
        <is>
          <t>Benny</t>
        </is>
      </c>
    </row>
    <row r="465" ht="22.35" customHeight="1" s="24">
      <c r="A465" s="28" t="n"/>
      <c r="B465" s="30" t="n"/>
      <c r="C465" s="30" t="inlineStr">
        <is>
          <t>DC-02B</t>
        </is>
      </c>
      <c r="D465" s="30" t="inlineStr">
        <is>
          <t>Birthday Designer Collection II</t>
        </is>
      </c>
      <c r="E465" s="30" t="inlineStr">
        <is>
          <t>Designer Collection</t>
        </is>
      </c>
      <c r="F465" s="30" t="inlineStr">
        <is>
          <t>Rule applied (no action)</t>
        </is>
      </c>
      <c r="G465" s="34" t="inlineStr">
        <is>
          <t>Ashraf gate file</t>
        </is>
      </c>
      <c r="H465" s="30" t="inlineStr">
        <is>
          <t>Gate: designer wording applied</t>
        </is>
      </c>
      <c r="I465" s="30" t="inlineStr">
        <is>
          <t>Stem count + florist's choice + picture illustrative. 'Such as' list pending Benny</t>
        </is>
      </c>
      <c r="J465" s="30" t="inlineStr">
        <is>
          <t>Ashraf gate file</t>
        </is>
      </c>
      <c r="K465" s="30" t="inlineStr">
        <is>
          <t>Benny</t>
        </is>
      </c>
    </row>
    <row r="466" ht="22.35" customHeight="1" s="24">
      <c r="A466" s="28" t="n"/>
      <c r="B466" s="30" t="n"/>
      <c r="C466" s="30" t="inlineStr">
        <is>
          <t>DC-02S</t>
        </is>
      </c>
      <c r="D466" s="30" t="inlineStr">
        <is>
          <t>Designer Sympathy Collection II</t>
        </is>
      </c>
      <c r="E466" s="30" t="inlineStr">
        <is>
          <t>Designer Collection</t>
        </is>
      </c>
      <c r="F466" s="30" t="inlineStr">
        <is>
          <t>Rule applied (no action)</t>
        </is>
      </c>
      <c r="G466" s="34" t="inlineStr">
        <is>
          <t>Ashraf gate file</t>
        </is>
      </c>
      <c r="H466" s="30" t="inlineStr">
        <is>
          <t>Gate: designer wording applied</t>
        </is>
      </c>
      <c r="I466" s="30" t="inlineStr">
        <is>
          <t>Stem count + florist's choice + picture illustrative. 'Such as' list pending Benny</t>
        </is>
      </c>
      <c r="J466" s="30" t="inlineStr">
        <is>
          <t>Ashraf gate file</t>
        </is>
      </c>
      <c r="K466" s="30" t="inlineStr">
        <is>
          <t>Benny</t>
        </is>
      </c>
    </row>
    <row r="467" ht="22.35" customHeight="1" s="24">
      <c r="A467" s="28" t="n"/>
      <c r="B467" s="30" t="n"/>
      <c r="C467" s="30" t="inlineStr">
        <is>
          <t>DC-03A</t>
        </is>
      </c>
      <c r="D467" s="30" t="inlineStr">
        <is>
          <t>Designer Collection Anniversary III</t>
        </is>
      </c>
      <c r="E467" s="30" t="inlineStr">
        <is>
          <t>Designer Collection</t>
        </is>
      </c>
      <c r="F467" s="30" t="inlineStr">
        <is>
          <t>Rule applied (no action)</t>
        </is>
      </c>
      <c r="G467" s="34" t="inlineStr">
        <is>
          <t>Ashraf gate file</t>
        </is>
      </c>
      <c r="H467" s="30" t="inlineStr">
        <is>
          <t>Gate: designer wording applied</t>
        </is>
      </c>
      <c r="I467" s="30" t="inlineStr">
        <is>
          <t>Stem count + florist's choice + picture illustrative. 'Such as' list pending Benny</t>
        </is>
      </c>
      <c r="J467" s="30" t="inlineStr">
        <is>
          <t>Ashraf gate file</t>
        </is>
      </c>
      <c r="K467" s="30" t="inlineStr">
        <is>
          <t>Benny</t>
        </is>
      </c>
    </row>
    <row r="468" ht="22.35" customHeight="1" s="24">
      <c r="A468" s="28" t="n"/>
      <c r="B468" s="30" t="n"/>
      <c r="C468" s="30" t="inlineStr">
        <is>
          <t>DC-03B</t>
        </is>
      </c>
      <c r="D468" s="30" t="inlineStr">
        <is>
          <t>Birthday Designer Collection III</t>
        </is>
      </c>
      <c r="E468" s="30" t="inlineStr">
        <is>
          <t>Designer Collection</t>
        </is>
      </c>
      <c r="F468" s="30" t="inlineStr">
        <is>
          <t>Rule applied (no action)</t>
        </is>
      </c>
      <c r="G468" s="34" t="inlineStr">
        <is>
          <t>Ashraf gate file</t>
        </is>
      </c>
      <c r="H468" s="30" t="inlineStr">
        <is>
          <t>Gate: designer wording applied</t>
        </is>
      </c>
      <c r="I468" s="30" t="inlineStr">
        <is>
          <t>Stem count + florist's choice + picture illustrative. 'Such as' list pending Benny</t>
        </is>
      </c>
      <c r="J468" s="30" t="inlineStr">
        <is>
          <t>Ashraf gate file</t>
        </is>
      </c>
      <c r="K468" s="30" t="inlineStr">
        <is>
          <t>Benny</t>
        </is>
      </c>
    </row>
    <row r="469" ht="22.35" customHeight="1" s="24">
      <c r="A469" s="28" t="n"/>
      <c r="B469" s="30" t="n"/>
      <c r="C469" s="30" t="inlineStr">
        <is>
          <t>DC-03S</t>
        </is>
      </c>
      <c r="D469" s="30" t="inlineStr">
        <is>
          <t>Designer Sympathy Collection III</t>
        </is>
      </c>
      <c r="E469" s="30" t="inlineStr">
        <is>
          <t>Designer Collection</t>
        </is>
      </c>
      <c r="F469" s="30" t="inlineStr">
        <is>
          <t>Rule applied (no action)</t>
        </is>
      </c>
      <c r="G469" s="34" t="inlineStr">
        <is>
          <t>Ashraf gate file</t>
        </is>
      </c>
      <c r="H469" s="30" t="inlineStr">
        <is>
          <t>Gate: designer wording applied</t>
        </is>
      </c>
      <c r="I469" s="30" t="inlineStr">
        <is>
          <t>Stem count + florist's choice + picture illustrative. 'Such as' list pending Benny</t>
        </is>
      </c>
      <c r="J469" s="30" t="inlineStr">
        <is>
          <t>Ashraf gate file</t>
        </is>
      </c>
      <c r="K469" s="30" t="inlineStr">
        <is>
          <t>Benny</t>
        </is>
      </c>
    </row>
    <row r="470" ht="22.35" customHeight="1" s="24">
      <c r="A470" s="28" t="n"/>
      <c r="B470" s="30" t="n"/>
      <c r="C470" s="30" t="inlineStr">
        <is>
          <t>DC-04B</t>
        </is>
      </c>
      <c r="D470" s="30" t="inlineStr">
        <is>
          <t>Birthday Designer Collection IV</t>
        </is>
      </c>
      <c r="E470" s="30" t="inlineStr">
        <is>
          <t>Designer Collection</t>
        </is>
      </c>
      <c r="F470" s="30" t="inlineStr">
        <is>
          <t>Rule applied (no action)</t>
        </is>
      </c>
      <c r="G470" s="34" t="inlineStr">
        <is>
          <t>Ashraf gate file</t>
        </is>
      </c>
      <c r="H470" s="30" t="inlineStr">
        <is>
          <t>Gate: designer wording applied</t>
        </is>
      </c>
      <c r="I470" s="30" t="inlineStr">
        <is>
          <t>Stem count + florist's choice + picture illustrative. 'Such as' list pending Benny</t>
        </is>
      </c>
      <c r="J470" s="30" t="inlineStr">
        <is>
          <t>Ashraf gate file</t>
        </is>
      </c>
      <c r="K470" s="30" t="inlineStr">
        <is>
          <t>Benny</t>
        </is>
      </c>
    </row>
    <row r="471" ht="22.35" customHeight="1" s="24">
      <c r="A471" s="28" t="n"/>
      <c r="B471" s="30" t="n"/>
      <c r="C471" s="30" t="inlineStr">
        <is>
          <t>DC112-01</t>
        </is>
      </c>
      <c r="D471" s="30" t="inlineStr">
        <is>
          <t>Designers Collection I</t>
        </is>
      </c>
      <c r="E471" s="30" t="inlineStr">
        <is>
          <t>Designer Collection</t>
        </is>
      </c>
      <c r="F471" s="30" t="inlineStr">
        <is>
          <t>Rule applied (no action)</t>
        </is>
      </c>
      <c r="G471" s="34" t="inlineStr">
        <is>
          <t>Ashraf gate file</t>
        </is>
      </c>
      <c r="H471" s="30" t="inlineStr">
        <is>
          <t>Gate: designer wording applied</t>
        </is>
      </c>
      <c r="I471" s="30" t="inlineStr">
        <is>
          <t>Stem count + florist's choice + picture illustrative. 'Such as' list pending Benny</t>
        </is>
      </c>
      <c r="J471" s="30" t="inlineStr">
        <is>
          <t>Ashraf gate file</t>
        </is>
      </c>
      <c r="K471" s="30" t="inlineStr">
        <is>
          <t>Benny</t>
        </is>
      </c>
    </row>
    <row r="472" ht="22.35" customHeight="1" s="24">
      <c r="A472" s="28" t="n"/>
      <c r="B472" s="30" t="n"/>
      <c r="C472" s="30" t="inlineStr">
        <is>
          <t>DC112-01A</t>
        </is>
      </c>
      <c r="D472" s="30" t="inlineStr">
        <is>
          <t>Designers Collection I</t>
        </is>
      </c>
      <c r="E472" s="30" t="inlineStr">
        <is>
          <t>Designer Collection</t>
        </is>
      </c>
      <c r="F472" s="30" t="inlineStr">
        <is>
          <t>Rule applied (no action)</t>
        </is>
      </c>
      <c r="G472" s="34" t="inlineStr">
        <is>
          <t>Ashraf gate file</t>
        </is>
      </c>
      <c r="H472" s="30" t="inlineStr">
        <is>
          <t>Gate: designer wording applied</t>
        </is>
      </c>
      <c r="I472" s="30" t="inlineStr">
        <is>
          <t>Stem count + florist's choice + picture illustrative. 'Such as' list pending Benny</t>
        </is>
      </c>
      <c r="J472" s="30" t="inlineStr">
        <is>
          <t>Ashraf gate file</t>
        </is>
      </c>
      <c r="K472" s="30" t="inlineStr">
        <is>
          <t>Benny</t>
        </is>
      </c>
    </row>
    <row r="473" ht="22.35" customHeight="1" s="24">
      <c r="A473" s="28" t="n"/>
      <c r="B473" s="30" t="n"/>
      <c r="C473" s="30" t="inlineStr">
        <is>
          <t>DC112-02</t>
        </is>
      </c>
      <c r="D473" s="30" t="inlineStr">
        <is>
          <t>Designers Collection II</t>
        </is>
      </c>
      <c r="E473" s="30" t="inlineStr">
        <is>
          <t>Designer Collection</t>
        </is>
      </c>
      <c r="F473" s="30" t="inlineStr">
        <is>
          <t>Rule applied (no action)</t>
        </is>
      </c>
      <c r="G473" s="34" t="inlineStr">
        <is>
          <t>Ashraf gate file</t>
        </is>
      </c>
      <c r="H473" s="30" t="inlineStr">
        <is>
          <t>Gate: designer wording applied</t>
        </is>
      </c>
      <c r="I473" s="30" t="inlineStr">
        <is>
          <t>Stem count + florist's choice + picture illustrative. 'Such as' list pending Benny</t>
        </is>
      </c>
      <c r="J473" s="30" t="inlineStr">
        <is>
          <t>Ashraf gate file</t>
        </is>
      </c>
      <c r="K473" s="30" t="inlineStr">
        <is>
          <t>Benny</t>
        </is>
      </c>
    </row>
    <row r="474" ht="22.35" customHeight="1" s="24">
      <c r="A474" s="28" t="n"/>
      <c r="B474" s="30" t="n"/>
      <c r="C474" s="30" t="inlineStr">
        <is>
          <t>DC112-03</t>
        </is>
      </c>
      <c r="D474" s="30" t="inlineStr">
        <is>
          <t>Designers Collection III</t>
        </is>
      </c>
      <c r="E474" s="30" t="inlineStr">
        <is>
          <t>Designer Collection</t>
        </is>
      </c>
      <c r="F474" s="30" t="inlineStr">
        <is>
          <t>Rule applied (no action)</t>
        </is>
      </c>
      <c r="G474" s="34" t="inlineStr">
        <is>
          <t>Ashraf gate file</t>
        </is>
      </c>
      <c r="H474" s="30" t="inlineStr">
        <is>
          <t>Gate: designer wording applied</t>
        </is>
      </c>
      <c r="I474" s="30" t="inlineStr">
        <is>
          <t>Stem count + florist's choice + picture illustrative. 'Such as' list pending Benny</t>
        </is>
      </c>
      <c r="J474" s="30" t="inlineStr">
        <is>
          <t>Ashraf gate file</t>
        </is>
      </c>
      <c r="K474" s="30" t="inlineStr">
        <is>
          <t>Benny</t>
        </is>
      </c>
    </row>
    <row r="475" ht="22.35" customHeight="1" s="24">
      <c r="A475" s="28" t="n"/>
      <c r="B475" s="30" t="n"/>
      <c r="C475" s="30" t="inlineStr">
        <is>
          <t>DC112-04</t>
        </is>
      </c>
      <c r="D475" s="30" t="inlineStr">
        <is>
          <t>Designer Collection IV</t>
        </is>
      </c>
      <c r="E475" s="30" t="inlineStr">
        <is>
          <t>Designer Collection</t>
        </is>
      </c>
      <c r="F475" s="30" t="inlineStr">
        <is>
          <t>Rule applied (no action)</t>
        </is>
      </c>
      <c r="G475" s="34" t="inlineStr">
        <is>
          <t>Ashraf gate file</t>
        </is>
      </c>
      <c r="H475" s="30" t="inlineStr">
        <is>
          <t>Gate: designer wording applied</t>
        </is>
      </c>
      <c r="I475" s="30" t="inlineStr">
        <is>
          <t>Stem count + florist's choice + picture illustrative. 'Such as' list pending Benny</t>
        </is>
      </c>
      <c r="J475" s="30" t="inlineStr">
        <is>
          <t>Ashraf gate file</t>
        </is>
      </c>
      <c r="K475" s="30" t="inlineStr">
        <is>
          <t>Benny</t>
        </is>
      </c>
    </row>
    <row r="476" ht="22.35" customHeight="1" s="24">
      <c r="A476" s="28" t="n"/>
      <c r="B476" s="30" t="n"/>
      <c r="C476" s="30" t="inlineStr">
        <is>
          <t>DCA-01-00</t>
        </is>
      </c>
      <c r="D476" s="30" t="inlineStr">
        <is>
          <t>Anniversary Designer Collection I</t>
        </is>
      </c>
      <c r="E476" s="30" t="inlineStr">
        <is>
          <t>Designer Collection</t>
        </is>
      </c>
      <c r="F476" s="30" t="inlineStr">
        <is>
          <t>Rule applied (no action)</t>
        </is>
      </c>
      <c r="G476" s="34" t="inlineStr">
        <is>
          <t>Ashraf gate file</t>
        </is>
      </c>
      <c r="H476" s="30" t="inlineStr">
        <is>
          <t>Gate: designer wording applied</t>
        </is>
      </c>
      <c r="I476" s="30" t="inlineStr">
        <is>
          <t>Stem count + florist's choice + picture illustrative. 'Such as' list pending Benny</t>
        </is>
      </c>
      <c r="J476" s="30" t="inlineStr">
        <is>
          <t>Ashraf gate file</t>
        </is>
      </c>
      <c r="K476" s="30" t="inlineStr">
        <is>
          <t>Benny</t>
        </is>
      </c>
    </row>
    <row r="477" ht="22.35" customHeight="1" s="24">
      <c r="A477" s="28" t="n"/>
      <c r="B477" s="30" t="n"/>
      <c r="C477" s="30" t="inlineStr">
        <is>
          <t>DCA-02-00</t>
        </is>
      </c>
      <c r="D477" s="30" t="inlineStr">
        <is>
          <t>Anniversary Designer Collection II</t>
        </is>
      </c>
      <c r="E477" s="30" t="inlineStr">
        <is>
          <t>Designer Collection</t>
        </is>
      </c>
      <c r="F477" s="30" t="inlineStr">
        <is>
          <t>Rule applied (no action)</t>
        </is>
      </c>
      <c r="G477" s="34" t="inlineStr">
        <is>
          <t>Ashraf gate file</t>
        </is>
      </c>
      <c r="H477" s="30" t="inlineStr">
        <is>
          <t>Gate: designer wording applied</t>
        </is>
      </c>
      <c r="I477" s="30" t="inlineStr">
        <is>
          <t>Stem count + florist's choice + picture illustrative. 'Such as' list pending Benny</t>
        </is>
      </c>
      <c r="J477" s="30" t="inlineStr">
        <is>
          <t>Ashraf gate file</t>
        </is>
      </c>
      <c r="K477" s="30" t="inlineStr">
        <is>
          <t>Benny</t>
        </is>
      </c>
    </row>
    <row r="478" ht="22.35" customHeight="1" s="24">
      <c r="A478" s="28" t="n"/>
      <c r="B478" s="30" t="n"/>
      <c r="C478" s="30" t="inlineStr">
        <is>
          <t>DCA-03-00</t>
        </is>
      </c>
      <c r="D478" s="30" t="inlineStr">
        <is>
          <t>Anniversary Designer Collection III</t>
        </is>
      </c>
      <c r="E478" s="30" t="inlineStr">
        <is>
          <t>Designer Collection</t>
        </is>
      </c>
      <c r="F478" s="30" t="inlineStr">
        <is>
          <t>Rule applied (no action)</t>
        </is>
      </c>
      <c r="G478" s="34" t="inlineStr">
        <is>
          <t>Ashraf gate file</t>
        </is>
      </c>
      <c r="H478" s="30" t="inlineStr">
        <is>
          <t>Gate: designer wording applied</t>
        </is>
      </c>
      <c r="I478" s="30" t="inlineStr">
        <is>
          <t>Stem count + florist's choice + picture illustrative. 'Such as' list pending Benny</t>
        </is>
      </c>
      <c r="J478" s="30" t="inlineStr">
        <is>
          <t>Ashraf gate file</t>
        </is>
      </c>
      <c r="K478" s="30" t="inlineStr">
        <is>
          <t>Benny</t>
        </is>
      </c>
    </row>
    <row r="479" ht="22.35" customHeight="1" s="24">
      <c r="A479" s="28" t="n"/>
      <c r="B479" s="30" t="n"/>
      <c r="C479" s="30" t="inlineStr">
        <is>
          <t>DCA-04-00</t>
        </is>
      </c>
      <c r="D479" s="30" t="inlineStr">
        <is>
          <t>Anniversary Designer Collection IV</t>
        </is>
      </c>
      <c r="E479" s="30" t="inlineStr">
        <is>
          <t>Designer Collection</t>
        </is>
      </c>
      <c r="F479" s="30" t="inlineStr">
        <is>
          <t>Rule applied (no action)</t>
        </is>
      </c>
      <c r="G479" s="34" t="inlineStr">
        <is>
          <t>Ashraf gate file</t>
        </is>
      </c>
      <c r="H479" s="30" t="inlineStr">
        <is>
          <t>Gate: designer wording applied</t>
        </is>
      </c>
      <c r="I479" s="30" t="inlineStr">
        <is>
          <t>Stem count + florist's choice + picture illustrative. 'Such as' list pending Benny</t>
        </is>
      </c>
      <c r="J479" s="30" t="inlineStr">
        <is>
          <t>Ashraf gate file</t>
        </is>
      </c>
      <c r="K479" s="30" t="inlineStr">
        <is>
          <t>Benny</t>
        </is>
      </c>
    </row>
    <row r="480" ht="22.35" customHeight="1" s="24">
      <c r="A480" s="28" t="n"/>
      <c r="B480" s="30" t="n"/>
      <c r="C480" s="30" t="inlineStr">
        <is>
          <t>DCB-01</t>
        </is>
      </c>
      <c r="D480" s="30" t="inlineStr">
        <is>
          <t>Birthday Designer Collection I</t>
        </is>
      </c>
      <c r="E480" s="30" t="inlineStr">
        <is>
          <t>Designer Collection</t>
        </is>
      </c>
      <c r="F480" s="30" t="inlineStr">
        <is>
          <t>Rule applied (no action)</t>
        </is>
      </c>
      <c r="G480" s="34" t="inlineStr">
        <is>
          <t>Ashraf gate file</t>
        </is>
      </c>
      <c r="H480" s="30" t="inlineStr">
        <is>
          <t>Gate: designer wording applied</t>
        </is>
      </c>
      <c r="I480" s="30" t="inlineStr">
        <is>
          <t>Stem count + florist's choice + picture illustrative. 'Such as' list pending Benny</t>
        </is>
      </c>
      <c r="J480" s="30" t="inlineStr">
        <is>
          <t>Ashraf gate file</t>
        </is>
      </c>
      <c r="K480" s="30" t="inlineStr">
        <is>
          <t>Benny</t>
        </is>
      </c>
    </row>
    <row r="481" ht="22.35" customHeight="1" s="24">
      <c r="A481" s="28" t="n"/>
      <c r="B481" s="30" t="n"/>
      <c r="C481" s="30" t="inlineStr">
        <is>
          <t>DCB-01C</t>
        </is>
      </c>
      <c r="D481" s="30" t="inlineStr">
        <is>
          <t>Birthday Designer Collection I Combo</t>
        </is>
      </c>
      <c r="E481" s="30" t="inlineStr">
        <is>
          <t>Designer Collection</t>
        </is>
      </c>
      <c r="F481" s="30" t="inlineStr">
        <is>
          <t>Rule applied (no action)</t>
        </is>
      </c>
      <c r="G481" s="34" t="inlineStr">
        <is>
          <t>Ashraf gate file</t>
        </is>
      </c>
      <c r="H481" s="30" t="inlineStr">
        <is>
          <t>Gate: designer wording applied</t>
        </is>
      </c>
      <c r="I481" s="30" t="inlineStr">
        <is>
          <t>Stem count + florist's choice + picture illustrative. 'Such as' list pending Benny</t>
        </is>
      </c>
      <c r="J481" s="30" t="inlineStr">
        <is>
          <t>Ashraf gate file</t>
        </is>
      </c>
      <c r="K481" s="30" t="inlineStr">
        <is>
          <t>Benny</t>
        </is>
      </c>
    </row>
    <row r="482" ht="22.35" customHeight="1" s="24">
      <c r="A482" s="28" t="n"/>
      <c r="B482" s="30" t="n"/>
      <c r="C482" s="30" t="inlineStr">
        <is>
          <t>DCB-02</t>
        </is>
      </c>
      <c r="D482" s="30" t="inlineStr">
        <is>
          <t>Birthday Designer Collection II</t>
        </is>
      </c>
      <c r="E482" s="30" t="inlineStr">
        <is>
          <t>Designer Collection</t>
        </is>
      </c>
      <c r="F482" s="30" t="inlineStr">
        <is>
          <t>Rule applied (no action)</t>
        </is>
      </c>
      <c r="G482" s="34" t="inlineStr">
        <is>
          <t>Ashraf gate file</t>
        </is>
      </c>
      <c r="H482" s="30" t="inlineStr">
        <is>
          <t>Gate: designer wording applied</t>
        </is>
      </c>
      <c r="I482" s="30" t="inlineStr">
        <is>
          <t>Stem count + florist's choice + picture illustrative. 'Such as' list pending Benny</t>
        </is>
      </c>
      <c r="J482" s="30" t="inlineStr">
        <is>
          <t>Ashraf gate file</t>
        </is>
      </c>
      <c r="K482" s="30" t="inlineStr">
        <is>
          <t>Benny</t>
        </is>
      </c>
    </row>
    <row r="483" ht="22.35" customHeight="1" s="24">
      <c r="A483" s="28" t="n"/>
      <c r="B483" s="30" t="n"/>
      <c r="C483" s="30" t="inlineStr">
        <is>
          <t>DCB-03</t>
        </is>
      </c>
      <c r="D483" s="30" t="inlineStr">
        <is>
          <t>Birthday Designer Collection III</t>
        </is>
      </c>
      <c r="E483" s="30" t="inlineStr">
        <is>
          <t>Designer Collection</t>
        </is>
      </c>
      <c r="F483" s="30" t="inlineStr">
        <is>
          <t>Rule applied (no action)</t>
        </is>
      </c>
      <c r="G483" s="34" t="inlineStr">
        <is>
          <t>Ashraf gate file</t>
        </is>
      </c>
      <c r="H483" s="30" t="inlineStr">
        <is>
          <t>Gate: designer wording applied</t>
        </is>
      </c>
      <c r="I483" s="30" t="inlineStr">
        <is>
          <t>Stem count + florist's choice + picture illustrative. 'Such as' list pending Benny</t>
        </is>
      </c>
      <c r="J483" s="30" t="inlineStr">
        <is>
          <t>Ashraf gate file</t>
        </is>
      </c>
      <c r="K483" s="30" t="inlineStr">
        <is>
          <t>Benny</t>
        </is>
      </c>
    </row>
    <row r="484" ht="22.35" customHeight="1" s="24">
      <c r="A484" s="28" t="n"/>
      <c r="B484" s="30" t="n"/>
      <c r="C484" s="30" t="inlineStr">
        <is>
          <t>DCB-04</t>
        </is>
      </c>
      <c r="D484" s="30" t="inlineStr">
        <is>
          <t>Birthday Designer Collection IV</t>
        </is>
      </c>
      <c r="E484" s="30" t="inlineStr">
        <is>
          <t>Designer Collection</t>
        </is>
      </c>
      <c r="F484" s="30" t="inlineStr">
        <is>
          <t>Rule applied (no action)</t>
        </is>
      </c>
      <c r="G484" s="34" t="inlineStr">
        <is>
          <t>Ashraf gate file</t>
        </is>
      </c>
      <c r="H484" s="30" t="inlineStr">
        <is>
          <t>Gate: designer wording applied</t>
        </is>
      </c>
      <c r="I484" s="30" t="inlineStr">
        <is>
          <t>Stem count + florist's choice + picture illustrative. 'Such as' list pending Benny</t>
        </is>
      </c>
      <c r="J484" s="30" t="inlineStr">
        <is>
          <t>Ashraf gate file</t>
        </is>
      </c>
      <c r="K484" s="30" t="inlineStr">
        <is>
          <t>Benny</t>
        </is>
      </c>
    </row>
    <row r="485" ht="15" customHeight="1" s="24">
      <c r="A485" s="28" t="n"/>
      <c r="B485" s="30" t="n"/>
      <c r="C485" s="30" t="inlineStr">
        <is>
          <t>DCMJ-01</t>
        </is>
      </c>
      <c r="D485" s="30" t="inlineStr">
        <is>
          <t>Designer Collection Mason Jar I</t>
        </is>
      </c>
      <c r="E485" s="30" t="inlineStr">
        <is>
          <t>Mason Jar</t>
        </is>
      </c>
      <c r="F485" s="30" t="inlineStr">
        <is>
          <t>Rule applied (no action)</t>
        </is>
      </c>
      <c r="G485" s="34" t="inlineStr">
        <is>
          <t>Ashraf gate file</t>
        </is>
      </c>
      <c r="H485" s="30" t="inlineStr">
        <is>
          <t>Gate: designer wording applied</t>
        </is>
      </c>
      <c r="I485" s="30" t="inlineStr">
        <is>
          <t>Stem count + florist's choice + picture illustrative. 'Such as' list pending Benny</t>
        </is>
      </c>
      <c r="J485" s="30" t="inlineStr">
        <is>
          <t>Ashraf gate file</t>
        </is>
      </c>
      <c r="K485" s="30" t="inlineStr">
        <is>
          <t>Benny</t>
        </is>
      </c>
    </row>
    <row r="486" ht="15" customHeight="1" s="24">
      <c r="A486" s="28" t="n"/>
      <c r="B486" s="30" t="n"/>
      <c r="C486" s="30" t="inlineStr">
        <is>
          <t>DCMJ-01A</t>
        </is>
      </c>
      <c r="D486" s="30" t="inlineStr">
        <is>
          <t>Designer Collection Mason Jar I</t>
        </is>
      </c>
      <c r="E486" s="30" t="inlineStr">
        <is>
          <t>Mason Jar</t>
        </is>
      </c>
      <c r="F486" s="30" t="inlineStr">
        <is>
          <t>Rule applied (no action)</t>
        </is>
      </c>
      <c r="G486" s="34" t="inlineStr">
        <is>
          <t>Ashraf gate file</t>
        </is>
      </c>
      <c r="H486" s="30" t="inlineStr">
        <is>
          <t>Gate: designer wording applied</t>
        </is>
      </c>
      <c r="I486" s="30" t="inlineStr">
        <is>
          <t>Stem count + florist's choice + picture illustrative. 'Such as' list pending Benny</t>
        </is>
      </c>
      <c r="J486" s="30" t="inlineStr">
        <is>
          <t>Ashraf gate file</t>
        </is>
      </c>
      <c r="K486" s="30" t="inlineStr">
        <is>
          <t>Benny</t>
        </is>
      </c>
    </row>
    <row r="487" ht="15" customHeight="1" s="24">
      <c r="A487" s="28" t="n"/>
      <c r="B487" s="30" t="n"/>
      <c r="C487" s="30" t="inlineStr">
        <is>
          <t>DCMJ-02</t>
        </is>
      </c>
      <c r="D487" s="30" t="inlineStr">
        <is>
          <t>Designer Collection Mason Jar II</t>
        </is>
      </c>
      <c r="E487" s="30" t="inlineStr">
        <is>
          <t>Mason Jar</t>
        </is>
      </c>
      <c r="F487" s="30" t="inlineStr">
        <is>
          <t>Rule applied (no action)</t>
        </is>
      </c>
      <c r="G487" s="34" t="inlineStr">
        <is>
          <t>Ashraf gate file</t>
        </is>
      </c>
      <c r="H487" s="30" t="inlineStr">
        <is>
          <t>Gate: designer wording applied</t>
        </is>
      </c>
      <c r="I487" s="30" t="inlineStr">
        <is>
          <t>Stem count + florist's choice + picture illustrative. 'Such as' list pending Benny</t>
        </is>
      </c>
      <c r="J487" s="30" t="inlineStr">
        <is>
          <t>Ashraf gate file</t>
        </is>
      </c>
      <c r="K487" s="30" t="inlineStr">
        <is>
          <t>Benny</t>
        </is>
      </c>
    </row>
    <row r="488" ht="15" customHeight="1" s="24">
      <c r="A488" s="28" t="n"/>
      <c r="B488" s="30" t="n"/>
      <c r="C488" s="30" t="inlineStr">
        <is>
          <t>DCMJ-02A</t>
        </is>
      </c>
      <c r="D488" s="30" t="inlineStr">
        <is>
          <t>Designer Collection Mason Jar II</t>
        </is>
      </c>
      <c r="E488" s="30" t="inlineStr">
        <is>
          <t>Mason Jar</t>
        </is>
      </c>
      <c r="F488" s="30" t="inlineStr">
        <is>
          <t>Rule applied (no action)</t>
        </is>
      </c>
      <c r="G488" s="34" t="inlineStr">
        <is>
          <t>Ashraf gate file</t>
        </is>
      </c>
      <c r="H488" s="30" t="inlineStr">
        <is>
          <t>Gate: designer wording applied</t>
        </is>
      </c>
      <c r="I488" s="30" t="inlineStr">
        <is>
          <t>Stem count + florist's choice + picture illustrative. 'Such as' list pending Benny</t>
        </is>
      </c>
      <c r="J488" s="30" t="inlineStr">
        <is>
          <t>Ashraf gate file</t>
        </is>
      </c>
      <c r="K488" s="30" t="inlineStr">
        <is>
          <t>Benny</t>
        </is>
      </c>
    </row>
    <row r="489" ht="15" customHeight="1" s="24">
      <c r="A489" s="28" t="n"/>
      <c r="B489" s="30" t="n"/>
      <c r="C489" s="30" t="inlineStr">
        <is>
          <t>DCMJ-03</t>
        </is>
      </c>
      <c r="D489" s="30" t="inlineStr">
        <is>
          <t>Designer Collection Mason Jar III</t>
        </is>
      </c>
      <c r="E489" s="30" t="inlineStr">
        <is>
          <t>Mason Jar</t>
        </is>
      </c>
      <c r="F489" s="30" t="inlineStr">
        <is>
          <t>Rule applied (no action)</t>
        </is>
      </c>
      <c r="G489" s="34" t="inlineStr">
        <is>
          <t>Ashraf gate file</t>
        </is>
      </c>
      <c r="H489" s="30" t="inlineStr">
        <is>
          <t>Gate: designer wording applied</t>
        </is>
      </c>
      <c r="I489" s="30" t="inlineStr">
        <is>
          <t>Stem count + florist's choice + picture illustrative. 'Such as' list pending Benny</t>
        </is>
      </c>
      <c r="J489" s="30" t="inlineStr">
        <is>
          <t>Ashraf gate file</t>
        </is>
      </c>
      <c r="K489" s="30" t="inlineStr">
        <is>
          <t>Benny</t>
        </is>
      </c>
    </row>
    <row r="490" ht="15" customHeight="1" s="24">
      <c r="A490" s="28" t="n"/>
      <c r="B490" s="30" t="n"/>
      <c r="C490" s="30" t="inlineStr">
        <is>
          <t>DCMJ-03A</t>
        </is>
      </c>
      <c r="D490" s="30" t="inlineStr">
        <is>
          <t>Designer Collection Mason Jar III</t>
        </is>
      </c>
      <c r="E490" s="30" t="inlineStr">
        <is>
          <t>Mason Jar</t>
        </is>
      </c>
      <c r="F490" s="30" t="inlineStr">
        <is>
          <t>Rule applied (no action)</t>
        </is>
      </c>
      <c r="G490" s="34" t="inlineStr">
        <is>
          <t>Ashraf gate file</t>
        </is>
      </c>
      <c r="H490" s="30" t="inlineStr">
        <is>
          <t>Gate: designer wording applied</t>
        </is>
      </c>
      <c r="I490" s="30" t="inlineStr">
        <is>
          <t>Stem count + florist's choice + picture illustrative. 'Such as' list pending Benny</t>
        </is>
      </c>
      <c r="J490" s="30" t="inlineStr">
        <is>
          <t>Ashraf gate file</t>
        </is>
      </c>
      <c r="K490" s="30" t="inlineStr">
        <is>
          <t>Benny</t>
        </is>
      </c>
    </row>
    <row r="491" ht="15" customHeight="1" s="24">
      <c r="A491" s="28" t="n"/>
      <c r="B491" s="30" t="n"/>
      <c r="C491" s="30" t="inlineStr">
        <is>
          <t>DCMJ-04</t>
        </is>
      </c>
      <c r="D491" s="30" t="inlineStr">
        <is>
          <t>Designer Collection Mason Jar IV</t>
        </is>
      </c>
      <c r="E491" s="30" t="inlineStr">
        <is>
          <t>Mason Jar</t>
        </is>
      </c>
      <c r="F491" s="30" t="inlineStr">
        <is>
          <t>Rule applied (no action)</t>
        </is>
      </c>
      <c r="G491" s="34" t="inlineStr">
        <is>
          <t>Ashraf gate file</t>
        </is>
      </c>
      <c r="H491" s="30" t="inlineStr">
        <is>
          <t>Gate: designer wording applied</t>
        </is>
      </c>
      <c r="I491" s="30" t="inlineStr">
        <is>
          <t>Stem count + florist's choice + picture illustrative. 'Such as' list pending Benny</t>
        </is>
      </c>
      <c r="J491" s="30" t="inlineStr">
        <is>
          <t>Ashraf gate file</t>
        </is>
      </c>
      <c r="K491" s="30" t="inlineStr">
        <is>
          <t>Benny</t>
        </is>
      </c>
    </row>
    <row r="492" ht="15" customHeight="1" s="24">
      <c r="A492" s="28" t="n"/>
      <c r="B492" s="30" t="n"/>
      <c r="C492" s="30" t="inlineStr">
        <is>
          <t>DCMJ-04A</t>
        </is>
      </c>
      <c r="D492" s="30" t="inlineStr">
        <is>
          <t>Designer Collection Mason Jar IV</t>
        </is>
      </c>
      <c r="E492" s="30" t="inlineStr">
        <is>
          <t>Mason Jar</t>
        </is>
      </c>
      <c r="F492" s="30" t="inlineStr">
        <is>
          <t>Rule applied (no action)</t>
        </is>
      </c>
      <c r="G492" s="34" t="inlineStr">
        <is>
          <t>Ashraf gate file</t>
        </is>
      </c>
      <c r="H492" s="30" t="inlineStr">
        <is>
          <t>Gate: designer wording applied</t>
        </is>
      </c>
      <c r="I492" s="30" t="inlineStr">
        <is>
          <t>Stem count + florist's choice + picture illustrative. 'Such as' list pending Benny</t>
        </is>
      </c>
      <c r="J492" s="30" t="inlineStr">
        <is>
          <t>Ashraf gate file</t>
        </is>
      </c>
      <c r="K492" s="30" t="inlineStr">
        <is>
          <t>Benny</t>
        </is>
      </c>
    </row>
    <row r="493" ht="22.35" customHeight="1" s="24">
      <c r="A493" s="28" t="n"/>
      <c r="B493" s="30" t="n"/>
      <c r="C493" s="30" t="inlineStr">
        <is>
          <t>DCS-01</t>
        </is>
      </c>
      <c r="D493" s="30" t="inlineStr">
        <is>
          <t>Designer Sympathy Collection I</t>
        </is>
      </c>
      <c r="E493" s="30" t="inlineStr">
        <is>
          <t>Designer Collection</t>
        </is>
      </c>
      <c r="F493" s="30" t="inlineStr">
        <is>
          <t>Rule applied (no action)</t>
        </is>
      </c>
      <c r="G493" s="34" t="inlineStr">
        <is>
          <t>Ashraf gate file</t>
        </is>
      </c>
      <c r="H493" s="30" t="inlineStr">
        <is>
          <t>Gate: designer wording applied</t>
        </is>
      </c>
      <c r="I493" s="30" t="inlineStr">
        <is>
          <t>Stem count + florist's choice + picture illustrative. 'Such as' list pending Benny</t>
        </is>
      </c>
      <c r="J493" s="30" t="inlineStr">
        <is>
          <t>Ashraf gate file</t>
        </is>
      </c>
      <c r="K493" s="30" t="inlineStr">
        <is>
          <t>Benny</t>
        </is>
      </c>
    </row>
    <row r="494" ht="22.35" customHeight="1" s="24">
      <c r="A494" s="28" t="n"/>
      <c r="B494" s="30" t="n"/>
      <c r="C494" s="30" t="inlineStr">
        <is>
          <t>DCS-02</t>
        </is>
      </c>
      <c r="D494" s="30" t="inlineStr">
        <is>
          <t>Designer Sympathy Collection II</t>
        </is>
      </c>
      <c r="E494" s="30" t="inlineStr">
        <is>
          <t>Designer Collection</t>
        </is>
      </c>
      <c r="F494" s="30" t="inlineStr">
        <is>
          <t>Rule applied (no action)</t>
        </is>
      </c>
      <c r="G494" s="34" t="inlineStr">
        <is>
          <t>Ashraf gate file</t>
        </is>
      </c>
      <c r="H494" s="30" t="inlineStr">
        <is>
          <t>Gate: designer wording applied</t>
        </is>
      </c>
      <c r="I494" s="30" t="inlineStr">
        <is>
          <t>Stem count + florist's choice + picture illustrative. 'Such as' list pending Benny</t>
        </is>
      </c>
      <c r="J494" s="30" t="inlineStr">
        <is>
          <t>Ashraf gate file</t>
        </is>
      </c>
      <c r="K494" s="30" t="inlineStr">
        <is>
          <t>Benny</t>
        </is>
      </c>
    </row>
    <row r="495" ht="22.35" customHeight="1" s="24">
      <c r="A495" s="28" t="n"/>
      <c r="B495" s="30" t="n"/>
      <c r="C495" s="30" t="inlineStr">
        <is>
          <t>DCS-03</t>
        </is>
      </c>
      <c r="D495" s="30" t="inlineStr">
        <is>
          <t>Designer Sympathy Collection III</t>
        </is>
      </c>
      <c r="E495" s="30" t="inlineStr">
        <is>
          <t>Designer Collection</t>
        </is>
      </c>
      <c r="F495" s="30" t="inlineStr">
        <is>
          <t>Rule applied (no action)</t>
        </is>
      </c>
      <c r="G495" s="34" t="inlineStr">
        <is>
          <t>Ashraf gate file</t>
        </is>
      </c>
      <c r="H495" s="30" t="inlineStr">
        <is>
          <t>Gate: designer wording applied</t>
        </is>
      </c>
      <c r="I495" s="30" t="inlineStr">
        <is>
          <t>Stem count + florist's choice + picture illustrative. 'Such as' list pending Benny</t>
        </is>
      </c>
      <c r="J495" s="30" t="inlineStr">
        <is>
          <t>Ashraf gate file</t>
        </is>
      </c>
      <c r="K495" s="30" t="inlineStr">
        <is>
          <t>Benny</t>
        </is>
      </c>
    </row>
    <row r="496" ht="22.35" customHeight="1" s="24">
      <c r="A496" s="28" t="n"/>
      <c r="B496" s="30" t="n"/>
      <c r="C496" s="30" t="inlineStr">
        <is>
          <t>DCS-04</t>
        </is>
      </c>
      <c r="D496" s="30" t="inlineStr">
        <is>
          <t>Designer Sympathy Collection IV</t>
        </is>
      </c>
      <c r="E496" s="30" t="inlineStr">
        <is>
          <t>Designer Collection</t>
        </is>
      </c>
      <c r="F496" s="30" t="inlineStr">
        <is>
          <t>Rule applied (no action)</t>
        </is>
      </c>
      <c r="G496" s="34" t="inlineStr">
        <is>
          <t>Ashraf gate file</t>
        </is>
      </c>
      <c r="H496" s="30" t="inlineStr">
        <is>
          <t>Gate: designer wording applied</t>
        </is>
      </c>
      <c r="I496" s="30" t="inlineStr">
        <is>
          <t>Stem count + florist's choice + picture illustrative. 'Such as' list pending Benny</t>
        </is>
      </c>
      <c r="J496" s="30" t="inlineStr">
        <is>
          <t>Ashraf gate file</t>
        </is>
      </c>
      <c r="K496" s="30" t="inlineStr">
        <is>
          <t>Benny</t>
        </is>
      </c>
    </row>
    <row r="497" ht="22.35" customHeight="1" s="24">
      <c r="A497" s="28" t="n"/>
      <c r="B497" s="30" t="n"/>
      <c r="C497" s="30" t="inlineStr">
        <is>
          <t>EEEE</t>
        </is>
      </c>
      <c r="D497" s="30" t="inlineStr">
        <is>
          <t>WWWW</t>
        </is>
      </c>
      <c r="E497" s="30" t="inlineStr">
        <is>
          <t>Designer Collection</t>
        </is>
      </c>
      <c r="F497" s="30" t="inlineStr">
        <is>
          <t>Rule applied (no action)</t>
        </is>
      </c>
      <c r="G497" s="34" t="inlineStr">
        <is>
          <t>Ashraf gate file</t>
        </is>
      </c>
      <c r="H497" s="30" t="inlineStr">
        <is>
          <t>Gate: designer wording applied</t>
        </is>
      </c>
      <c r="I497" s="30" t="inlineStr">
        <is>
          <t>Stem count + florist's choice + picture illustrative. 'Such as' list pending Benny</t>
        </is>
      </c>
      <c r="J497" s="30" t="inlineStr">
        <is>
          <t>Ashraf gate file</t>
        </is>
      </c>
      <c r="K497" s="30" t="inlineStr">
        <is>
          <t>Benny</t>
        </is>
      </c>
    </row>
    <row r="498" ht="15" customHeight="1" s="24">
      <c r="A498" s="28" t="n"/>
      <c r="B498" s="30" t="n"/>
      <c r="C498" s="30" t="inlineStr">
        <is>
          <t>MDMJ-03</t>
        </is>
      </c>
      <c r="D498" s="30" t="inlineStr">
        <is>
          <t>Blooming Glory in Mason Jar</t>
        </is>
      </c>
      <c r="E498" s="30" t="inlineStr">
        <is>
          <t>Mason Jar</t>
        </is>
      </c>
      <c r="F498" s="30" t="inlineStr">
        <is>
          <t>Rule applied (no action)</t>
        </is>
      </c>
      <c r="G498" s="34" t="inlineStr">
        <is>
          <t>Ashraf gate file</t>
        </is>
      </c>
      <c r="H498" s="30" t="inlineStr">
        <is>
          <t>Gate: designer wording applied</t>
        </is>
      </c>
      <c r="I498" s="30" t="inlineStr">
        <is>
          <t>Stem count + florist's choice + picture illustrative. 'Such as' list pending Benny</t>
        </is>
      </c>
      <c r="J498" s="30" t="inlineStr">
        <is>
          <t>Ashraf gate file</t>
        </is>
      </c>
      <c r="K498" s="30" t="inlineStr">
        <is>
          <t>Benny</t>
        </is>
      </c>
    </row>
    <row r="499" ht="22.35" customHeight="1" s="24">
      <c r="A499" s="28" t="n"/>
      <c r="B499" s="30" t="n"/>
      <c r="C499" s="30" t="inlineStr">
        <is>
          <t>AUMJ-NW-004</t>
        </is>
      </c>
      <c r="D499" s="30" t="inlineStr">
        <is>
          <t>Sending Solace Bouquet in Mason Jar</t>
        </is>
      </c>
      <c r="E499" s="30" t="inlineStr">
        <is>
          <t>Mason Jar</t>
        </is>
      </c>
      <c r="F499" s="30" t="inlineStr">
        <is>
          <t>Rule applied (no action)</t>
        </is>
      </c>
      <c r="G499" s="34" t="inlineStr">
        <is>
          <t>Ashraf gate file</t>
        </is>
      </c>
      <c r="H499" s="30" t="inlineStr">
        <is>
          <t>Gate: moved to sympathy line</t>
        </is>
      </c>
      <c r="I499" s="30" t="inlineStr">
        <is>
          <t>Sympathy tribute line used</t>
        </is>
      </c>
      <c r="J499" s="30" t="inlineStr">
        <is>
          <t>Ashraf gate file</t>
        </is>
      </c>
      <c r="K499" s="30" t="n"/>
    </row>
    <row r="500" ht="22.35" customHeight="1" s="24">
      <c r="A500" s="28" t="n"/>
      <c r="B500" s="30" t="n"/>
      <c r="C500" s="30" t="inlineStr">
        <is>
          <t>AU0511-17</t>
        </is>
      </c>
      <c r="D500" s="30" t="inlineStr">
        <is>
          <t>Summer Blooms</t>
        </is>
      </c>
      <c r="E500" s="30" t="inlineStr">
        <is>
          <t>Bouquets</t>
        </is>
      </c>
      <c r="F500" s="30" t="inlineStr">
        <is>
          <t>Rule applied (no action)</t>
        </is>
      </c>
      <c r="G500" s="34" t="inlineStr">
        <is>
          <t>Ashraf gate file</t>
        </is>
      </c>
      <c r="H500" s="30" t="inlineStr">
        <is>
          <t>Gate: was on the hold list, now handled by rule</t>
        </is>
      </c>
      <c r="I500" s="30" t="inlineStr">
        <is>
          <t>Not held: see the suggested recipe fix and the Flags column</t>
        </is>
      </c>
      <c r="J500" s="30" t="inlineStr">
        <is>
          <t>Ashraf gate file</t>
        </is>
      </c>
      <c r="K500" s="30" t="n"/>
    </row>
    <row r="501" ht="22.35" customHeight="1" s="24">
      <c r="A501" s="28" t="n"/>
      <c r="B501" s="30" t="n"/>
      <c r="C501" s="30" t="inlineStr">
        <is>
          <t>AU111-41</t>
        </is>
      </c>
      <c r="D501" s="30" t="inlineStr">
        <is>
          <t>Classic Mauve Daisy Bouquet</t>
        </is>
      </c>
      <c r="E501" s="30" t="inlineStr">
        <is>
          <t>Bouquets</t>
        </is>
      </c>
      <c r="F501" s="30" t="inlineStr">
        <is>
          <t>Rule applied (no action)</t>
        </is>
      </c>
      <c r="G501" s="34" t="inlineStr">
        <is>
          <t>Ashraf gate file</t>
        </is>
      </c>
      <c r="H501" s="30" t="inlineStr">
        <is>
          <t>Gate: was on the hold list, now handled by rule</t>
        </is>
      </c>
      <c r="I501" s="30" t="inlineStr">
        <is>
          <t>Not held: see the suggested recipe fix and the Flags column</t>
        </is>
      </c>
      <c r="J501" s="30" t="inlineStr">
        <is>
          <t>Ashraf gate file</t>
        </is>
      </c>
      <c r="K501" s="30" t="n"/>
    </row>
    <row r="502" ht="22.35" customHeight="1" s="24">
      <c r="A502" s="28" t="n"/>
      <c r="B502" s="30" t="n"/>
      <c r="C502" s="30" t="inlineStr">
        <is>
          <t>AU1111-04</t>
        </is>
      </c>
      <c r="D502" s="30" t="inlineStr">
        <is>
          <t>24 Pink and White Roses</t>
        </is>
      </c>
      <c r="E502" s="30" t="inlineStr">
        <is>
          <t>Bouquets</t>
        </is>
      </c>
      <c r="F502" s="30" t="inlineStr">
        <is>
          <t>Rule applied (no action)</t>
        </is>
      </c>
      <c r="G502" s="34" t="inlineStr">
        <is>
          <t>Ashraf gate file</t>
        </is>
      </c>
      <c r="H502" s="30" t="inlineStr">
        <is>
          <t>Gate: was on the hold list, now handled by rule</t>
        </is>
      </c>
      <c r="I502" s="30" t="inlineStr">
        <is>
          <t>Not held: see the suggested recipe fix and the Flags column</t>
        </is>
      </c>
      <c r="J502" s="30" t="inlineStr">
        <is>
          <t>Ashraf gate file</t>
        </is>
      </c>
      <c r="K502" s="30" t="n"/>
    </row>
    <row r="503" ht="22.35" customHeight="1" s="24">
      <c r="A503" s="28" t="n"/>
      <c r="B503" s="30" t="n"/>
      <c r="C503" s="30" t="inlineStr">
        <is>
          <t>AU112-90</t>
        </is>
      </c>
      <c r="D503" s="30" t="inlineStr">
        <is>
          <t>Simply Sweet</t>
        </is>
      </c>
      <c r="E503" s="30" t="inlineStr">
        <is>
          <t>Bouquets</t>
        </is>
      </c>
      <c r="F503" s="30" t="inlineStr">
        <is>
          <t>Rule applied (no action)</t>
        </is>
      </c>
      <c r="G503" s="34" t="inlineStr">
        <is>
          <t>Ashraf gate file</t>
        </is>
      </c>
      <c r="H503" s="30" t="inlineStr">
        <is>
          <t>Gate: was on the hold list, now handled by rule</t>
        </is>
      </c>
      <c r="I503" s="30" t="inlineStr">
        <is>
          <t>Not held: see the suggested recipe fix and the Flags column</t>
        </is>
      </c>
      <c r="J503" s="30" t="inlineStr">
        <is>
          <t>Ashraf gate file</t>
        </is>
      </c>
      <c r="K503" s="30" t="n"/>
    </row>
    <row r="504" ht="22.35" customHeight="1" s="24">
      <c r="A504" s="28" t="n"/>
      <c r="B504" s="30" t="n"/>
      <c r="C504" s="30" t="inlineStr">
        <is>
          <t>AU1211-04</t>
        </is>
      </c>
      <c r="D504" s="30" t="inlineStr">
        <is>
          <t>24 Red and Yellow Roses</t>
        </is>
      </c>
      <c r="E504" s="30" t="inlineStr">
        <is>
          <t>Roses</t>
        </is>
      </c>
      <c r="F504" s="30" t="inlineStr">
        <is>
          <t>Rule applied (no action)</t>
        </is>
      </c>
      <c r="G504" s="34" t="inlineStr">
        <is>
          <t>Ashraf gate file</t>
        </is>
      </c>
      <c r="H504" s="30" t="inlineStr">
        <is>
          <t>Gate: was on the hold list, now handled by rule</t>
        </is>
      </c>
      <c r="I504" s="30" t="inlineStr">
        <is>
          <t>Not held: see the suggested recipe fix and the Flags column</t>
        </is>
      </c>
      <c r="J504" s="30" t="inlineStr">
        <is>
          <t>Ashraf gate file</t>
        </is>
      </c>
      <c r="K504" s="30" t="n"/>
    </row>
    <row r="505" ht="22.35" customHeight="1" s="24">
      <c r="A505" s="28" t="n"/>
      <c r="B505" s="30" t="n"/>
      <c r="C505" s="30" t="inlineStr">
        <is>
          <t>AU219-40</t>
        </is>
      </c>
      <c r="D505" s="30" t="inlineStr">
        <is>
          <t>Pink and Lavender Bouquet</t>
        </is>
      </c>
      <c r="E505" s="30" t="inlineStr">
        <is>
          <t>Bouquets</t>
        </is>
      </c>
      <c r="F505" s="30" t="inlineStr">
        <is>
          <t>Rule applied (no action)</t>
        </is>
      </c>
      <c r="G505" s="34" t="inlineStr">
        <is>
          <t>Ashraf gate file</t>
        </is>
      </c>
      <c r="H505" s="30" t="inlineStr">
        <is>
          <t>Gate: was on the hold list, now handled by rule</t>
        </is>
      </c>
      <c r="I505" s="30" t="inlineStr">
        <is>
          <t>Not held: see the suggested recipe fix and the Flags column</t>
        </is>
      </c>
      <c r="J505" s="30" t="inlineStr">
        <is>
          <t>Ashraf gate file</t>
        </is>
      </c>
      <c r="K505" s="30" t="n"/>
    </row>
    <row r="506" ht="22.35" customHeight="1" s="24">
      <c r="A506" s="28" t="n"/>
      <c r="B506" s="30" t="n"/>
      <c r="C506" s="30" t="inlineStr">
        <is>
          <t>AUFS-11</t>
        </is>
      </c>
      <c r="D506" s="30" t="inlineStr">
        <is>
          <t>Dozen Red Roses, Wine &amp; Truffles</t>
        </is>
      </c>
      <c r="E506" s="30" t="inlineStr">
        <is>
          <t>Roses</t>
        </is>
      </c>
      <c r="F506" s="30" t="inlineStr">
        <is>
          <t>Rule applied (no action)</t>
        </is>
      </c>
      <c r="G506" s="34" t="inlineStr">
        <is>
          <t>Ashraf gate file</t>
        </is>
      </c>
      <c r="H506" s="30" t="inlineStr">
        <is>
          <t>Gate: was on the hold list, now handled by rule</t>
        </is>
      </c>
      <c r="I506" s="30" t="inlineStr">
        <is>
          <t>Not held: see the suggested recipe fix and the Flags column</t>
        </is>
      </c>
      <c r="J506" s="30" t="inlineStr">
        <is>
          <t>Ashraf gate file</t>
        </is>
      </c>
      <c r="K506" s="30" t="n"/>
    </row>
    <row r="507" ht="22.35" customHeight="1" s="24">
      <c r="A507" s="28" t="n"/>
      <c r="B507" s="30" t="n"/>
      <c r="C507" s="30" t="inlineStr">
        <is>
          <t>FBAU76-60</t>
        </is>
      </c>
      <c r="D507" s="30" t="inlineStr">
        <is>
          <t>Fruits &amp; Chocolates</t>
        </is>
      </c>
      <c r="E507" s="30" t="inlineStr">
        <is>
          <t>Bouquets</t>
        </is>
      </c>
      <c r="F507" s="30" t="inlineStr">
        <is>
          <t>Rule applied (no action)</t>
        </is>
      </c>
      <c r="G507" s="34" t="inlineStr">
        <is>
          <t>Ashraf gate file</t>
        </is>
      </c>
      <c r="H507" s="30" t="inlineStr">
        <is>
          <t>Gate: was on the hold list, now handled by rule</t>
        </is>
      </c>
      <c r="I507" s="30" t="inlineStr">
        <is>
          <t>Not held: see the suggested recipe fix and the Flags column</t>
        </is>
      </c>
      <c r="J507" s="30" t="inlineStr">
        <is>
          <t>Ashraf gate file</t>
        </is>
      </c>
      <c r="K507" s="30" t="n"/>
    </row>
    <row r="508" ht="22.35" customHeight="1" s="24">
      <c r="A508" s="28" t="n"/>
      <c r="B508" s="30" t="n"/>
      <c r="C508" s="30" t="inlineStr">
        <is>
          <t>MJ100-17</t>
        </is>
      </c>
      <c r="D508" s="30" t="inlineStr">
        <is>
          <t>Thirty Blooms of Alstroemeria in Mason Jar</t>
        </is>
      </c>
      <c r="E508" s="30" t="inlineStr">
        <is>
          <t>Mason Jar</t>
        </is>
      </c>
      <c r="F508" s="30" t="inlineStr">
        <is>
          <t>Rule applied (no action)</t>
        </is>
      </c>
      <c r="G508" s="34" t="inlineStr">
        <is>
          <t>Ashraf gate file</t>
        </is>
      </c>
      <c r="H508" s="30" t="inlineStr">
        <is>
          <t>Gate: was on the hold list, now handled by rule</t>
        </is>
      </c>
      <c r="I508" s="30" t="inlineStr">
        <is>
          <t>Not held: see the suggested recipe fix and the Flags column</t>
        </is>
      </c>
      <c r="J508" s="30" t="inlineStr">
        <is>
          <t>Ashraf gate file</t>
        </is>
      </c>
      <c r="K508" s="30" t="n"/>
    </row>
    <row r="509" ht="22.35" customHeight="1" s="24">
      <c r="A509" s="28" t="n"/>
      <c r="B509" s="30" t="n"/>
      <c r="C509" s="30" t="inlineStr">
        <is>
          <t>MJ102-53</t>
        </is>
      </c>
      <c r="D509" s="30" t="inlineStr">
        <is>
          <t>Make a Wish in Mason Jar Birthday Bundle</t>
        </is>
      </c>
      <c r="E509" s="30" t="inlineStr">
        <is>
          <t>Mason Jar</t>
        </is>
      </c>
      <c r="F509" s="30" t="inlineStr">
        <is>
          <t>Rule applied (no action)</t>
        </is>
      </c>
      <c r="G509" s="34" t="inlineStr">
        <is>
          <t>Ashraf gate file</t>
        </is>
      </c>
      <c r="H509" s="30" t="inlineStr">
        <is>
          <t>Gate: was on the hold list, now handled by rule</t>
        </is>
      </c>
      <c r="I509" s="30" t="inlineStr">
        <is>
          <t>Not held: see the suggested recipe fix and the Flags column</t>
        </is>
      </c>
      <c r="J509" s="30" t="inlineStr">
        <is>
          <t>Ashraf gate file</t>
        </is>
      </c>
      <c r="K509" s="30" t="n"/>
    </row>
    <row r="510" ht="22.35" customHeight="1" s="24">
      <c r="A510" s="28" t="n"/>
      <c r="B510" s="30" t="n"/>
      <c r="C510" s="30" t="inlineStr">
        <is>
          <t>MJ11-57</t>
        </is>
      </c>
      <c r="D510" s="30" t="inlineStr">
        <is>
          <t>Half Dozen Assorted Roses in Mason Jar</t>
        </is>
      </c>
      <c r="E510" s="30" t="inlineStr">
        <is>
          <t>Mason Jar</t>
        </is>
      </c>
      <c r="F510" s="30" t="inlineStr">
        <is>
          <t>Rule applied (no action)</t>
        </is>
      </c>
      <c r="G510" s="34" t="inlineStr">
        <is>
          <t>Ashraf gate file</t>
        </is>
      </c>
      <c r="H510" s="30" t="inlineStr">
        <is>
          <t>Gate: was on the hold list, now handled by rule</t>
        </is>
      </c>
      <c r="I510" s="30" t="inlineStr">
        <is>
          <t>Not held: see the suggested recipe fix and the Flags column</t>
        </is>
      </c>
      <c r="J510" s="30" t="inlineStr">
        <is>
          <t>Ashraf gate file</t>
        </is>
      </c>
      <c r="K510" s="30" t="n"/>
    </row>
    <row r="511" ht="22.35" customHeight="1" s="24">
      <c r="A511" s="28" t="n"/>
      <c r="B511" s="30" t="n"/>
      <c r="C511" s="30" t="inlineStr">
        <is>
          <t>RBC-02C</t>
        </is>
      </c>
      <c r="D511" s="30" t="inlineStr">
        <is>
          <t>Bunches Purply Pink Collection III</t>
        </is>
      </c>
      <c r="E511" s="30" t="inlineStr">
        <is>
          <t>Bouquets</t>
        </is>
      </c>
      <c r="F511" s="30" t="inlineStr">
        <is>
          <t>Rule applied (no action)</t>
        </is>
      </c>
      <c r="G511" s="34" t="inlineStr">
        <is>
          <t>Ashraf gate file</t>
        </is>
      </c>
      <c r="H511" s="30" t="inlineStr">
        <is>
          <t>Gate: was on the hold list, now handled by rule</t>
        </is>
      </c>
      <c r="I511" s="30" t="inlineStr">
        <is>
          <t>Not held: see the suggested recipe fix and the Flags column</t>
        </is>
      </c>
      <c r="J511" s="30" t="inlineStr">
        <is>
          <t>Ashraf gate file</t>
        </is>
      </c>
      <c r="K511" s="30" t="n"/>
    </row>
    <row r="512" ht="15" customHeight="1" s="24">
      <c r="A512" s="28" t="n"/>
      <c r="B512" s="30" t="n"/>
      <c r="C512" s="30" t="inlineStr">
        <is>
          <t>AU101-20</t>
        </is>
      </c>
      <c r="D512" s="30" t="inlineStr">
        <is>
          <t>Brighter Blessing Arrangement</t>
        </is>
      </c>
      <c r="E512" s="30" t="inlineStr">
        <is>
          <t>Sympathy</t>
        </is>
      </c>
      <c r="F512" s="30" t="inlineStr">
        <is>
          <t>Rule applied (no action)</t>
        </is>
      </c>
      <c r="G512" s="30" t="inlineStr">
        <is>
          <t>Brand voice report</t>
        </is>
      </c>
      <c r="H512" s="30" t="inlineStr">
        <is>
          <t>Voice: all-white chrysanthemum design</t>
        </is>
      </c>
      <c r="I512" s="30" t="inlineStr">
        <is>
          <t>Neutral occasion line used</t>
        </is>
      </c>
      <c r="J512" s="30" t="inlineStr">
        <is>
          <t>Brand voice report</t>
        </is>
      </c>
      <c r="K512" s="30" t="n"/>
    </row>
    <row r="513" ht="15" customHeight="1" s="24">
      <c r="A513" s="28" t="n"/>
      <c r="B513" s="30" t="n"/>
      <c r="C513" s="30" t="inlineStr">
        <is>
          <t>AU111-42</t>
        </is>
      </c>
      <c r="D513" s="30" t="inlineStr">
        <is>
          <t>Classic White Daisies</t>
        </is>
      </c>
      <c r="E513" s="30" t="inlineStr">
        <is>
          <t>Bouquets</t>
        </is>
      </c>
      <c r="F513" s="30" t="inlineStr">
        <is>
          <t>Rule applied (no action)</t>
        </is>
      </c>
      <c r="G513" s="30" t="inlineStr">
        <is>
          <t>Brand voice report</t>
        </is>
      </c>
      <c r="H513" s="30" t="inlineStr">
        <is>
          <t>Voice: all-white chrysanthemum design</t>
        </is>
      </c>
      <c r="I513" s="30" t="inlineStr">
        <is>
          <t>Neutral occasion line used</t>
        </is>
      </c>
      <c r="J513" s="30" t="inlineStr">
        <is>
          <t>Brand voice report</t>
        </is>
      </c>
      <c r="K513" s="30" t="n"/>
    </row>
    <row r="514" ht="15" customHeight="1" s="24">
      <c r="A514" s="28" t="n"/>
      <c r="B514" s="30" t="n"/>
      <c r="C514" s="30" t="inlineStr">
        <is>
          <t>AU116-30</t>
        </is>
      </c>
      <c r="D514" s="30" t="inlineStr">
        <is>
          <t>Fairest Sentiments</t>
        </is>
      </c>
      <c r="E514" s="30" t="inlineStr">
        <is>
          <t>Sympathy</t>
        </is>
      </c>
      <c r="F514" s="30" t="inlineStr">
        <is>
          <t>Rule applied (no action)</t>
        </is>
      </c>
      <c r="G514" s="30" t="inlineStr">
        <is>
          <t>Brand voice report</t>
        </is>
      </c>
      <c r="H514" s="30" t="inlineStr">
        <is>
          <t>Voice: all-white chrysanthemum design</t>
        </is>
      </c>
      <c r="I514" s="30" t="inlineStr">
        <is>
          <t>Neutral occasion line used</t>
        </is>
      </c>
      <c r="J514" s="30" t="inlineStr">
        <is>
          <t>Brand voice report</t>
        </is>
      </c>
      <c r="K514" s="30" t="n"/>
    </row>
    <row r="515" ht="15" customHeight="1" s="24">
      <c r="A515" s="28" t="n"/>
      <c r="B515" s="30" t="n"/>
      <c r="C515" s="30" t="inlineStr">
        <is>
          <t>AU189-01</t>
        </is>
      </c>
      <c r="D515" s="30" t="inlineStr">
        <is>
          <t>Classic Sympathy Wreath</t>
        </is>
      </c>
      <c r="E515" s="30" t="inlineStr">
        <is>
          <t>Sympathy</t>
        </is>
      </c>
      <c r="F515" s="30" t="inlineStr">
        <is>
          <t>Rule applied (no action)</t>
        </is>
      </c>
      <c r="G515" s="30" t="inlineStr">
        <is>
          <t>Brand voice report</t>
        </is>
      </c>
      <c r="H515" s="30" t="inlineStr">
        <is>
          <t>Voice: all-white chrysanthemum design</t>
        </is>
      </c>
      <c r="I515" s="30" t="inlineStr">
        <is>
          <t>Neutral occasion line used</t>
        </is>
      </c>
      <c r="J515" s="30" t="inlineStr">
        <is>
          <t>Brand voice report</t>
        </is>
      </c>
      <c r="K515" s="30" t="n"/>
    </row>
    <row r="516" ht="15" customHeight="1" s="24">
      <c r="A516" s="28" t="n"/>
      <c r="B516" s="30" t="n"/>
      <c r="C516" s="30" t="inlineStr">
        <is>
          <t>AU199-07</t>
        </is>
      </c>
      <c r="D516" s="30" t="inlineStr">
        <is>
          <t>Green &amp; White Heart</t>
        </is>
      </c>
      <c r="E516" s="30" t="inlineStr">
        <is>
          <t>Sympathy</t>
        </is>
      </c>
      <c r="F516" s="30" t="inlineStr">
        <is>
          <t>Rule applied (no action)</t>
        </is>
      </c>
      <c r="G516" s="30" t="inlineStr">
        <is>
          <t>Brand voice report</t>
        </is>
      </c>
      <c r="H516" s="30" t="inlineStr">
        <is>
          <t>Voice: all-white chrysanthemum design</t>
        </is>
      </c>
      <c r="I516" s="30" t="inlineStr">
        <is>
          <t>Neutral occasion line used</t>
        </is>
      </c>
      <c r="J516" s="30" t="inlineStr">
        <is>
          <t>Brand voice report</t>
        </is>
      </c>
      <c r="K516" s="30" t="n"/>
    </row>
    <row r="517" ht="15" customHeight="1" s="24">
      <c r="A517" s="28" t="n"/>
      <c r="B517" s="30" t="n"/>
      <c r="C517" s="30" t="inlineStr">
        <is>
          <t>AU199-09</t>
        </is>
      </c>
      <c r="D517" s="30" t="inlineStr">
        <is>
          <t>Purest Heart</t>
        </is>
      </c>
      <c r="E517" s="30" t="inlineStr">
        <is>
          <t>Sympathy</t>
        </is>
      </c>
      <c r="F517" s="30" t="inlineStr">
        <is>
          <t>Rule applied (no action)</t>
        </is>
      </c>
      <c r="G517" s="30" t="inlineStr">
        <is>
          <t>Brand voice report</t>
        </is>
      </c>
      <c r="H517" s="30" t="inlineStr">
        <is>
          <t>Voice: all-white chrysanthemum design</t>
        </is>
      </c>
      <c r="I517" s="30" t="inlineStr">
        <is>
          <t>Neutral occasion line used</t>
        </is>
      </c>
      <c r="J517" s="30" t="inlineStr">
        <is>
          <t>Brand voice report</t>
        </is>
      </c>
      <c r="K517" s="30" t="n"/>
    </row>
    <row r="518" ht="22.35" customHeight="1" s="24">
      <c r="A518" s="28" t="n"/>
      <c r="B518" s="30" t="n"/>
      <c r="C518" s="30" t="inlineStr">
        <is>
          <t>AUMJ-NW-004</t>
        </is>
      </c>
      <c r="D518" s="30" t="inlineStr">
        <is>
          <t>Sending Solace Bouquet in Mason Jar</t>
        </is>
      </c>
      <c r="E518" s="30" t="inlineStr">
        <is>
          <t>Mason Jar</t>
        </is>
      </c>
      <c r="F518" s="30" t="inlineStr">
        <is>
          <t>Rule applied (no action)</t>
        </is>
      </c>
      <c r="G518" s="30" t="inlineStr">
        <is>
          <t>Brand voice report</t>
        </is>
      </c>
      <c r="H518" s="30" t="inlineStr">
        <is>
          <t>Voice: all-white chrysanthemum design</t>
        </is>
      </c>
      <c r="I518" s="30" t="inlineStr">
        <is>
          <t>Neutral occasion line used</t>
        </is>
      </c>
      <c r="J518" s="30" t="inlineStr">
        <is>
          <t>Brand voice report</t>
        </is>
      </c>
      <c r="K518" s="30" t="n"/>
    </row>
    <row r="519" ht="15" customHeight="1" s="24">
      <c r="A519" s="28" t="n"/>
      <c r="B519" s="30" t="n"/>
      <c r="C519" s="30" t="inlineStr">
        <is>
          <t>LF100-590</t>
        </is>
      </c>
      <c r="D519" s="30" t="inlineStr">
        <is>
          <t>Purest Heart</t>
        </is>
      </c>
      <c r="E519" s="30" t="inlineStr">
        <is>
          <t>Sympathy</t>
        </is>
      </c>
      <c r="F519" s="30" t="inlineStr">
        <is>
          <t>Rule applied (no action)</t>
        </is>
      </c>
      <c r="G519" s="30" t="inlineStr">
        <is>
          <t>Brand voice report</t>
        </is>
      </c>
      <c r="H519" s="30" t="inlineStr">
        <is>
          <t>Voice: all-white chrysanthemum design</t>
        </is>
      </c>
      <c r="I519" s="30" t="inlineStr">
        <is>
          <t>Neutral occasion line used</t>
        </is>
      </c>
      <c r="J519" s="30" t="inlineStr">
        <is>
          <t>Brand voice report</t>
        </is>
      </c>
      <c r="K519" s="30" t="n"/>
    </row>
    <row r="520" ht="22.35" customHeight="1" s="24">
      <c r="A520" s="28" t="n"/>
      <c r="B520" s="30" t="n"/>
      <c r="C520" s="30" t="inlineStr">
        <is>
          <t>SHR-04</t>
        </is>
      </c>
      <c r="D520" s="30" t="inlineStr">
        <is>
          <t>18 Sweetheart Roses I</t>
        </is>
      </c>
      <c r="E520" s="30" t="inlineStr">
        <is>
          <t>Roses</t>
        </is>
      </c>
      <c r="F520" s="30" t="inlineStr">
        <is>
          <t>Master note (info)</t>
        </is>
      </c>
      <c r="G520" s="30" t="inlineStr">
        <is>
          <t>Master</t>
        </is>
      </c>
      <c r="H520" s="30" t="inlineStr">
        <is>
          <t>Bigger size has fewer items</t>
        </is>
      </c>
      <c r="I520" s="30" t="inlineStr">
        <is>
          <t>Deluxe &lt; Standard for Cellophane, Bouquet Foam 1/16, Tissue Paper, Bloomex Flower Box.</t>
        </is>
      </c>
      <c r="J520" s="30" t="inlineStr">
        <is>
          <t>Pricing skill check (master notes)</t>
        </is>
      </c>
      <c r="K520" s="30" t="n"/>
    </row>
    <row r="521" ht="22.35" customHeight="1" s="24">
      <c r="A521" s="28" t="n"/>
      <c r="B521" s="30" t="n"/>
      <c r="C521" s="30" t="inlineStr">
        <is>
          <t>AL100-71AURP</t>
        </is>
      </c>
      <c r="D521" s="30" t="inlineStr">
        <is>
          <t>Full Heart</t>
        </is>
      </c>
      <c r="E521" s="30" t="inlineStr">
        <is>
          <t>Sympathy</t>
        </is>
      </c>
      <c r="F521" s="30" t="inlineStr">
        <is>
          <t>Master note (info)</t>
        </is>
      </c>
      <c r="G521" s="30" t="inlineStr">
        <is>
          <t>Master</t>
        </is>
      </c>
      <c r="H521" s="30" t="inlineStr">
        <is>
          <t>Duplicate title (info)</t>
        </is>
      </c>
      <c r="I521" s="30" t="inlineStr">
        <is>
          <t>Duplicate product title in catalogue (same name, different SKU) — rename or merge.</t>
        </is>
      </c>
      <c r="J521" s="30" t="inlineStr">
        <is>
          <t>Pricing skill check (master notes)</t>
        </is>
      </c>
      <c r="K521" s="30" t="n"/>
    </row>
    <row r="522" ht="22.35" customHeight="1" s="24">
      <c r="A522" s="28" t="n"/>
      <c r="B522" s="30" t="n"/>
      <c r="C522" s="30" t="inlineStr">
        <is>
          <t>AL160-26AURP</t>
        </is>
      </c>
      <c r="D522" s="30" t="inlineStr">
        <is>
          <t>Truly Beloved</t>
        </is>
      </c>
      <c r="E522" s="30" t="inlineStr">
        <is>
          <t>Sympathy</t>
        </is>
      </c>
      <c r="F522" s="30" t="inlineStr">
        <is>
          <t>Master note (info)</t>
        </is>
      </c>
      <c r="G522" s="30" t="inlineStr">
        <is>
          <t>Master</t>
        </is>
      </c>
      <c r="H522" s="30" t="inlineStr">
        <is>
          <t>Duplicate title (info)</t>
        </is>
      </c>
      <c r="I522" s="30" t="inlineStr">
        <is>
          <t>Duplicate product title in catalogue (same name, different SKU) — rename or merge.</t>
        </is>
      </c>
      <c r="J522" s="30" t="inlineStr">
        <is>
          <t>Pricing skill check (master notes)</t>
        </is>
      </c>
      <c r="K522" s="30" t="n"/>
    </row>
    <row r="523" ht="22.35" customHeight="1" s="24">
      <c r="A523" s="28" t="n"/>
      <c r="B523" s="30" t="n"/>
      <c r="C523" s="30" t="inlineStr">
        <is>
          <t>AU100-71</t>
        </is>
      </c>
      <c r="D523" s="30" t="inlineStr">
        <is>
          <t>Full Heart</t>
        </is>
      </c>
      <c r="E523" s="30" t="inlineStr">
        <is>
          <t>Sympathy</t>
        </is>
      </c>
      <c r="F523" s="30" t="inlineStr">
        <is>
          <t>Master note (info)</t>
        </is>
      </c>
      <c r="G523" s="30" t="inlineStr">
        <is>
          <t>Master</t>
        </is>
      </c>
      <c r="H523" s="30" t="inlineStr">
        <is>
          <t>Duplicate title (info)</t>
        </is>
      </c>
      <c r="I523" s="30" t="inlineStr">
        <is>
          <t>Duplicate product title in catalogue (same name, different SKU) — rename or merge.</t>
        </is>
      </c>
      <c r="J523" s="30" t="inlineStr">
        <is>
          <t>Pricing skill check (master notes)</t>
        </is>
      </c>
      <c r="K523" s="30" t="n"/>
    </row>
    <row r="524" ht="22.35" customHeight="1" s="24">
      <c r="A524" s="28" t="n"/>
      <c r="B524" s="30" t="n"/>
      <c r="C524" s="30" t="inlineStr">
        <is>
          <t>AU112-90</t>
        </is>
      </c>
      <c r="D524" s="30" t="inlineStr">
        <is>
          <t>Simply Sweet</t>
        </is>
      </c>
      <c r="E524" s="30" t="inlineStr">
        <is>
          <t>Bouquets</t>
        </is>
      </c>
      <c r="F524" s="30" t="inlineStr">
        <is>
          <t>Master note (info)</t>
        </is>
      </c>
      <c r="G524" s="30" t="inlineStr">
        <is>
          <t>Master</t>
        </is>
      </c>
      <c r="H524" s="30" t="inlineStr">
        <is>
          <t>Duplicate title (info)</t>
        </is>
      </c>
      <c r="I524" s="30" t="inlineStr">
        <is>
          <t>Duplicate product title in catalogue (same name, different SKU) — rename or merge.</t>
        </is>
      </c>
      <c r="J524" s="30" t="inlineStr">
        <is>
          <t>Pricing skill check (master notes)</t>
        </is>
      </c>
      <c r="K524" s="30" t="n"/>
    </row>
    <row r="525" ht="22.35" customHeight="1" s="24">
      <c r="A525" s="28" t="n"/>
      <c r="B525" s="30" t="n"/>
      <c r="C525" s="30" t="inlineStr">
        <is>
          <t>AU160-26</t>
        </is>
      </c>
      <c r="D525" s="30" t="inlineStr">
        <is>
          <t>Truly Beloved</t>
        </is>
      </c>
      <c r="E525" s="30" t="inlineStr">
        <is>
          <t>Sympathy</t>
        </is>
      </c>
      <c r="F525" s="30" t="inlineStr">
        <is>
          <t>Master note (info)</t>
        </is>
      </c>
      <c r="G525" s="30" t="inlineStr">
        <is>
          <t>Master</t>
        </is>
      </c>
      <c r="H525" s="30" t="inlineStr">
        <is>
          <t>Duplicate title (info)</t>
        </is>
      </c>
      <c r="I525" s="30" t="inlineStr">
        <is>
          <t>Duplicate product title in catalogue (same name, different SKU) — rename or merge.</t>
        </is>
      </c>
      <c r="J525" s="30" t="inlineStr">
        <is>
          <t>Pricing skill check (master notes)</t>
        </is>
      </c>
      <c r="K525" s="30" t="n"/>
    </row>
    <row r="526" ht="22.35" customHeight="1" s="24">
      <c r="A526" s="28" t="n"/>
      <c r="B526" s="30" t="n"/>
      <c r="C526" s="30" t="inlineStr">
        <is>
          <t>AU199-09</t>
        </is>
      </c>
      <c r="D526" s="30" t="inlineStr">
        <is>
          <t>Purest Heart</t>
        </is>
      </c>
      <c r="E526" s="30" t="inlineStr">
        <is>
          <t>Sympathy</t>
        </is>
      </c>
      <c r="F526" s="30" t="inlineStr">
        <is>
          <t>Master note (info)</t>
        </is>
      </c>
      <c r="G526" s="30" t="inlineStr">
        <is>
          <t>Master</t>
        </is>
      </c>
      <c r="H526" s="30" t="inlineStr">
        <is>
          <t>Duplicate title (info)</t>
        </is>
      </c>
      <c r="I526" s="30" t="inlineStr">
        <is>
          <t>Duplicate product title in catalogue (same name, different SKU) — rename or merge.</t>
        </is>
      </c>
      <c r="J526" s="30" t="inlineStr">
        <is>
          <t>Pricing skill check (master notes)</t>
        </is>
      </c>
      <c r="K526" s="30" t="n"/>
    </row>
    <row r="527" ht="22.35" customHeight="1" s="24">
      <c r="A527" s="28" t="n"/>
      <c r="B527" s="30" t="n"/>
      <c r="C527" s="30" t="inlineStr">
        <is>
          <t>AUDC-04</t>
        </is>
      </c>
      <c r="D527" s="30" t="inlineStr">
        <is>
          <t>Designer Collection IV</t>
        </is>
      </c>
      <c r="E527" s="30" t="inlineStr">
        <is>
          <t>Designer Collection</t>
        </is>
      </c>
      <c r="F527" s="30" t="inlineStr">
        <is>
          <t>Master note (info)</t>
        </is>
      </c>
      <c r="G527" s="30" t="inlineStr">
        <is>
          <t>Master</t>
        </is>
      </c>
      <c r="H527" s="30" t="inlineStr">
        <is>
          <t>Duplicate title (info)</t>
        </is>
      </c>
      <c r="I527" s="30" t="inlineStr">
        <is>
          <t>Duplicate product title in catalogue (same name, different SKU) — rename or merge.</t>
        </is>
      </c>
      <c r="J527" s="30" t="inlineStr">
        <is>
          <t>Pricing skill check (master notes)</t>
        </is>
      </c>
      <c r="K527" s="30" t="n"/>
    </row>
    <row r="528" ht="22.35" customHeight="1" s="24">
      <c r="A528" s="28" t="n"/>
      <c r="B528" s="30" t="n"/>
      <c r="C528" s="30" t="inlineStr">
        <is>
          <t>AUGF16-83</t>
        </is>
      </c>
      <c r="D528" s="30" t="inlineStr">
        <is>
          <t>Simply Sweet</t>
        </is>
      </c>
      <c r="E528" s="30" t="inlineStr">
        <is>
          <t>Bouquets</t>
        </is>
      </c>
      <c r="F528" s="30" t="inlineStr">
        <is>
          <t>Master note (info)</t>
        </is>
      </c>
      <c r="G528" s="30" t="inlineStr">
        <is>
          <t>Master</t>
        </is>
      </c>
      <c r="H528" s="30" t="inlineStr">
        <is>
          <t>Duplicate title (info)</t>
        </is>
      </c>
      <c r="I528" s="30" t="inlineStr">
        <is>
          <t>Duplicate product title in catalogue (same name, different SKU) — rename or merge.</t>
        </is>
      </c>
      <c r="J528" s="30" t="inlineStr">
        <is>
          <t>Pricing skill check (master notes)</t>
        </is>
      </c>
      <c r="K528" s="30" t="n"/>
    </row>
    <row r="529" ht="22.35" customHeight="1" s="24">
      <c r="A529" s="28" t="n"/>
      <c r="B529" s="30" t="n"/>
      <c r="C529" s="30" t="inlineStr">
        <is>
          <t>AUMJ100-05</t>
        </is>
      </c>
      <c r="D529" s="30" t="inlineStr">
        <is>
          <t>Gerbera Daisies in Mason Jar</t>
        </is>
      </c>
      <c r="E529" s="30" t="inlineStr">
        <is>
          <t>Mason Jar</t>
        </is>
      </c>
      <c r="F529" s="30" t="inlineStr">
        <is>
          <t>Master note (info)</t>
        </is>
      </c>
      <c r="G529" s="30" t="inlineStr">
        <is>
          <t>Master</t>
        </is>
      </c>
      <c r="H529" s="30" t="inlineStr">
        <is>
          <t>Duplicate title (info)</t>
        </is>
      </c>
      <c r="I529" s="30" t="inlineStr">
        <is>
          <t>Duplicate product title in catalogue (same name, different SKU) — rename or merge.</t>
        </is>
      </c>
      <c r="J529" s="30" t="inlineStr">
        <is>
          <t>Pricing skill check (master notes)</t>
        </is>
      </c>
      <c r="K529" s="30" t="n"/>
    </row>
    <row r="530" ht="22.35" customHeight="1" s="24">
      <c r="A530" s="28" t="n"/>
      <c r="B530" s="30" t="n"/>
      <c r="C530" s="30" t="inlineStr">
        <is>
          <t>AUMJ100-12</t>
        </is>
      </c>
      <c r="D530" s="30" t="inlineStr">
        <is>
          <t>Classic Whites In Mason Jar</t>
        </is>
      </c>
      <c r="E530" s="30" t="inlineStr">
        <is>
          <t>Mason Jar</t>
        </is>
      </c>
      <c r="F530" s="30" t="inlineStr">
        <is>
          <t>Master note (info)</t>
        </is>
      </c>
      <c r="G530" s="30" t="inlineStr">
        <is>
          <t>Master</t>
        </is>
      </c>
      <c r="H530" s="30" t="inlineStr">
        <is>
          <t>Duplicate title (info)</t>
        </is>
      </c>
      <c r="I530" s="30" t="inlineStr">
        <is>
          <t>Duplicate product title in catalogue (same name, different SKU) — rename or merge.</t>
        </is>
      </c>
      <c r="J530" s="30" t="inlineStr">
        <is>
          <t>Pricing skill check (master notes)</t>
        </is>
      </c>
      <c r="K530" s="30" t="n"/>
    </row>
    <row r="531" ht="22.35" customHeight="1" s="24">
      <c r="A531" s="28" t="n"/>
      <c r="B531" s="30" t="n"/>
      <c r="C531" s="30" t="inlineStr">
        <is>
          <t>AURP06</t>
        </is>
      </c>
      <c r="D531" s="30" t="inlineStr">
        <is>
          <t>Teddy Bear</t>
        </is>
      </c>
      <c r="E531" s="30" t="inlineStr">
        <is>
          <t>Add-Ons</t>
        </is>
      </c>
      <c r="F531" s="30" t="inlineStr">
        <is>
          <t>Master note (info)</t>
        </is>
      </c>
      <c r="G531" s="30" t="inlineStr">
        <is>
          <t>Master</t>
        </is>
      </c>
      <c r="H531" s="30" t="inlineStr">
        <is>
          <t>Duplicate title (info)</t>
        </is>
      </c>
      <c r="I531" s="30" t="inlineStr">
        <is>
          <t>Duplicate product title in catalogue (same name, different SKU) — rename or merge.</t>
        </is>
      </c>
      <c r="J531" s="30" t="inlineStr">
        <is>
          <t>Pricing skill check (master notes)</t>
        </is>
      </c>
      <c r="K531" s="30" t="n"/>
    </row>
    <row r="532" ht="22.35" customHeight="1" s="24">
      <c r="A532" s="28" t="n"/>
      <c r="B532" s="30" t="n"/>
      <c r="C532" s="30" t="inlineStr">
        <is>
          <t>AUSMJ100-11</t>
        </is>
      </c>
      <c r="D532" s="30" t="inlineStr">
        <is>
          <t>Breathtaking Blooms In Mason Jar</t>
        </is>
      </c>
      <c r="E532" s="30" t="inlineStr">
        <is>
          <t>Mason Jar</t>
        </is>
      </c>
      <c r="F532" s="30" t="inlineStr">
        <is>
          <t>Master note (info)</t>
        </is>
      </c>
      <c r="G532" s="30" t="inlineStr">
        <is>
          <t>Master</t>
        </is>
      </c>
      <c r="H532" s="30" t="inlineStr">
        <is>
          <t>Duplicate title (info)</t>
        </is>
      </c>
      <c r="I532" s="30" t="inlineStr">
        <is>
          <t>Duplicate product title in catalogue (same name, different SKU) — rename or merge.</t>
        </is>
      </c>
      <c r="J532" s="30" t="inlineStr">
        <is>
          <t>Pricing skill check (master notes)</t>
        </is>
      </c>
      <c r="K532" s="30" t="n"/>
    </row>
    <row r="533" ht="22.35" customHeight="1" s="24">
      <c r="A533" s="28" t="n"/>
      <c r="B533" s="30" t="n"/>
      <c r="C533" s="30" t="inlineStr">
        <is>
          <t>DC-01B</t>
        </is>
      </c>
      <c r="D533" s="30" t="inlineStr">
        <is>
          <t>Birthday Designer Collection I</t>
        </is>
      </c>
      <c r="E533" s="30" t="inlineStr">
        <is>
          <t>Designer Collection</t>
        </is>
      </c>
      <c r="F533" s="30" t="inlineStr">
        <is>
          <t>Master note (info)</t>
        </is>
      </c>
      <c r="G533" s="30" t="inlineStr">
        <is>
          <t>Master</t>
        </is>
      </c>
      <c r="H533" s="30" t="inlineStr">
        <is>
          <t>Duplicate title (info)</t>
        </is>
      </c>
      <c r="I533" s="30" t="inlineStr">
        <is>
          <t>Duplicate product title in catalogue (same name, different SKU) — rename or merge.</t>
        </is>
      </c>
      <c r="J533" s="30" t="inlineStr">
        <is>
          <t>Pricing skill check (master notes)</t>
        </is>
      </c>
      <c r="K533" s="30" t="n"/>
    </row>
    <row r="534" ht="22.35" customHeight="1" s="24">
      <c r="A534" s="28" t="n"/>
      <c r="B534" s="30" t="n"/>
      <c r="C534" s="30" t="inlineStr">
        <is>
          <t>DC-01S</t>
        </is>
      </c>
      <c r="D534" s="30" t="inlineStr">
        <is>
          <t>Designer Sympathy Collection I</t>
        </is>
      </c>
      <c r="E534" s="30" t="inlineStr">
        <is>
          <t>Designer Collection</t>
        </is>
      </c>
      <c r="F534" s="30" t="inlineStr">
        <is>
          <t>Master note (info)</t>
        </is>
      </c>
      <c r="G534" s="30" t="inlineStr">
        <is>
          <t>Master</t>
        </is>
      </c>
      <c r="H534" s="30" t="inlineStr">
        <is>
          <t>Duplicate title (info)</t>
        </is>
      </c>
      <c r="I534" s="30" t="inlineStr">
        <is>
          <t>Duplicate product title in catalogue (same name, different SKU) — rename or merge.</t>
        </is>
      </c>
      <c r="J534" s="30" t="inlineStr">
        <is>
          <t>Pricing skill check (master notes)</t>
        </is>
      </c>
      <c r="K534" s="30" t="n"/>
    </row>
    <row r="535" ht="22.35" customHeight="1" s="24">
      <c r="A535" s="28" t="n"/>
      <c r="B535" s="30" t="n"/>
      <c r="C535" s="30" t="inlineStr">
        <is>
          <t>DC-02B</t>
        </is>
      </c>
      <c r="D535" s="30" t="inlineStr">
        <is>
          <t>Birthday Designer Collection II</t>
        </is>
      </c>
      <c r="E535" s="30" t="inlineStr">
        <is>
          <t>Designer Collection</t>
        </is>
      </c>
      <c r="F535" s="30" t="inlineStr">
        <is>
          <t>Master note (info)</t>
        </is>
      </c>
      <c r="G535" s="30" t="inlineStr">
        <is>
          <t>Master</t>
        </is>
      </c>
      <c r="H535" s="30" t="inlineStr">
        <is>
          <t>Duplicate title (info)</t>
        </is>
      </c>
      <c r="I535" s="30" t="inlineStr">
        <is>
          <t>Duplicate product title in catalogue (same name, different SKU) — rename or merge.</t>
        </is>
      </c>
      <c r="J535" s="30" t="inlineStr">
        <is>
          <t>Pricing skill check (master notes)</t>
        </is>
      </c>
      <c r="K535" s="30" t="n"/>
    </row>
    <row r="536" ht="22.35" customHeight="1" s="24">
      <c r="A536" s="28" t="n"/>
      <c r="B536" s="30" t="n"/>
      <c r="C536" s="30" t="inlineStr">
        <is>
          <t>DC-02S</t>
        </is>
      </c>
      <c r="D536" s="30" t="inlineStr">
        <is>
          <t>Designer Sympathy Collection II</t>
        </is>
      </c>
      <c r="E536" s="30" t="inlineStr">
        <is>
          <t>Designer Collection</t>
        </is>
      </c>
      <c r="F536" s="30" t="inlineStr">
        <is>
          <t>Master note (info)</t>
        </is>
      </c>
      <c r="G536" s="30" t="inlineStr">
        <is>
          <t>Master</t>
        </is>
      </c>
      <c r="H536" s="30" t="inlineStr">
        <is>
          <t>Duplicate title (info)</t>
        </is>
      </c>
      <c r="I536" s="30" t="inlineStr">
        <is>
          <t>Duplicate product title in catalogue (same name, different SKU) — rename or merge.</t>
        </is>
      </c>
      <c r="J536" s="30" t="inlineStr">
        <is>
          <t>Pricing skill check (master notes)</t>
        </is>
      </c>
      <c r="K536" s="30" t="n"/>
    </row>
    <row r="537" ht="22.35" customHeight="1" s="24">
      <c r="A537" s="28" t="n"/>
      <c r="B537" s="30" t="n"/>
      <c r="C537" s="30" t="inlineStr">
        <is>
          <t>DC-03B</t>
        </is>
      </c>
      <c r="D537" s="30" t="inlineStr">
        <is>
          <t>Birthday Designer Collection III</t>
        </is>
      </c>
      <c r="E537" s="30" t="inlineStr">
        <is>
          <t>Designer Collection</t>
        </is>
      </c>
      <c r="F537" s="30" t="inlineStr">
        <is>
          <t>Master note (info)</t>
        </is>
      </c>
      <c r="G537" s="30" t="inlineStr">
        <is>
          <t>Master</t>
        </is>
      </c>
      <c r="H537" s="30" t="inlineStr">
        <is>
          <t>Duplicate title (info)</t>
        </is>
      </c>
      <c r="I537" s="30" t="inlineStr">
        <is>
          <t>Duplicate product title in catalogue (same name, different SKU) — rename or merge.</t>
        </is>
      </c>
      <c r="J537" s="30" t="inlineStr">
        <is>
          <t>Pricing skill check (master notes)</t>
        </is>
      </c>
      <c r="K537" s="30" t="n"/>
    </row>
    <row r="538" ht="22.35" customHeight="1" s="24">
      <c r="A538" s="28" t="n"/>
      <c r="B538" s="30" t="n"/>
      <c r="C538" s="30" t="inlineStr">
        <is>
          <t>DC-03S</t>
        </is>
      </c>
      <c r="D538" s="30" t="inlineStr">
        <is>
          <t>Designer Sympathy Collection III</t>
        </is>
      </c>
      <c r="E538" s="30" t="inlineStr">
        <is>
          <t>Designer Collection</t>
        </is>
      </c>
      <c r="F538" s="30" t="inlineStr">
        <is>
          <t>Master note (info)</t>
        </is>
      </c>
      <c r="G538" s="30" t="inlineStr">
        <is>
          <t>Master</t>
        </is>
      </c>
      <c r="H538" s="30" t="inlineStr">
        <is>
          <t>Duplicate title (info)</t>
        </is>
      </c>
      <c r="I538" s="30" t="inlineStr">
        <is>
          <t>Duplicate product title in catalogue (same name, different SKU) — rename or merge.</t>
        </is>
      </c>
      <c r="J538" s="30" t="inlineStr">
        <is>
          <t>Pricing skill check (master notes)</t>
        </is>
      </c>
      <c r="K538" s="30" t="n"/>
    </row>
    <row r="539" ht="22.35" customHeight="1" s="24">
      <c r="A539" s="28" t="n"/>
      <c r="B539" s="30" t="n"/>
      <c r="C539" s="30" t="inlineStr">
        <is>
          <t>DC-04B</t>
        </is>
      </c>
      <c r="D539" s="30" t="inlineStr">
        <is>
          <t>Birthday Designer Collection IV</t>
        </is>
      </c>
      <c r="E539" s="30" t="inlineStr">
        <is>
          <t>Designer Collection</t>
        </is>
      </c>
      <c r="F539" s="30" t="inlineStr">
        <is>
          <t>Master note (info)</t>
        </is>
      </c>
      <c r="G539" s="30" t="inlineStr">
        <is>
          <t>Master</t>
        </is>
      </c>
      <c r="H539" s="30" t="inlineStr">
        <is>
          <t>Duplicate title (info)</t>
        </is>
      </c>
      <c r="I539" s="30" t="inlineStr">
        <is>
          <t>Duplicate product title in catalogue (same name, different SKU) — rename or merge.</t>
        </is>
      </c>
      <c r="J539" s="30" t="inlineStr">
        <is>
          <t>Pricing skill check (master notes)</t>
        </is>
      </c>
      <c r="K539" s="30" t="n"/>
    </row>
    <row r="540" ht="22.35" customHeight="1" s="24">
      <c r="A540" s="28" t="n"/>
      <c r="B540" s="30" t="n"/>
      <c r="C540" s="30" t="inlineStr">
        <is>
          <t>DC112-01</t>
        </is>
      </c>
      <c r="D540" s="30" t="inlineStr">
        <is>
          <t>Designers Collection I</t>
        </is>
      </c>
      <c r="E540" s="30" t="inlineStr">
        <is>
          <t>Designer Collection</t>
        </is>
      </c>
      <c r="F540" s="30" t="inlineStr">
        <is>
          <t>Master note (info)</t>
        </is>
      </c>
      <c r="G540" s="30" t="inlineStr">
        <is>
          <t>Master</t>
        </is>
      </c>
      <c r="H540" s="30" t="inlineStr">
        <is>
          <t>Duplicate title (info)</t>
        </is>
      </c>
      <c r="I540" s="30" t="inlineStr">
        <is>
          <t>Duplicate product title in catalogue (same name, different SKU) — rename or merge.</t>
        </is>
      </c>
      <c r="J540" s="30" t="inlineStr">
        <is>
          <t>Pricing skill check (master notes)</t>
        </is>
      </c>
      <c r="K540" s="30" t="n"/>
    </row>
    <row r="541" ht="22.35" customHeight="1" s="24">
      <c r="A541" s="28" t="n"/>
      <c r="B541" s="30" t="n"/>
      <c r="C541" s="30" t="inlineStr">
        <is>
          <t>DC112-01A</t>
        </is>
      </c>
      <c r="D541" s="30" t="inlineStr">
        <is>
          <t>Designers Collection I</t>
        </is>
      </c>
      <c r="E541" s="30" t="inlineStr">
        <is>
          <t>Designer Collection</t>
        </is>
      </c>
      <c r="F541" s="30" t="inlineStr">
        <is>
          <t>Master note (info)</t>
        </is>
      </c>
      <c r="G541" s="30" t="inlineStr">
        <is>
          <t>Master</t>
        </is>
      </c>
      <c r="H541" s="30" t="inlineStr">
        <is>
          <t>Duplicate title (info)</t>
        </is>
      </c>
      <c r="I541" s="30" t="inlineStr">
        <is>
          <t>Duplicate product title in catalogue (same name, different SKU) — rename or merge.</t>
        </is>
      </c>
      <c r="J541" s="30" t="inlineStr">
        <is>
          <t>Pricing skill check (master notes)</t>
        </is>
      </c>
      <c r="K541" s="30" t="n"/>
    </row>
    <row r="542" ht="22.35" customHeight="1" s="24">
      <c r="A542" s="28" t="n"/>
      <c r="B542" s="30" t="n"/>
      <c r="C542" s="30" t="inlineStr">
        <is>
          <t>DC112-04</t>
        </is>
      </c>
      <c r="D542" s="30" t="inlineStr">
        <is>
          <t>Designer Collection IV</t>
        </is>
      </c>
      <c r="E542" s="30" t="inlineStr">
        <is>
          <t>Designer Collection</t>
        </is>
      </c>
      <c r="F542" s="30" t="inlineStr">
        <is>
          <t>Master note (info)</t>
        </is>
      </c>
      <c r="G542" s="30" t="inlineStr">
        <is>
          <t>Master</t>
        </is>
      </c>
      <c r="H542" s="30" t="inlineStr">
        <is>
          <t>Duplicate title (info)</t>
        </is>
      </c>
      <c r="I542" s="30" t="inlineStr">
        <is>
          <t>Duplicate product title in catalogue (same name, different SKU) — rename or merge.</t>
        </is>
      </c>
      <c r="J542" s="30" t="inlineStr">
        <is>
          <t>Pricing skill check (master notes)</t>
        </is>
      </c>
      <c r="K542" s="30" t="n"/>
    </row>
    <row r="543" ht="22.35" customHeight="1" s="24">
      <c r="A543" s="28" t="n"/>
      <c r="B543" s="30" t="n"/>
      <c r="C543" s="30" t="inlineStr">
        <is>
          <t>DCB-01</t>
        </is>
      </c>
      <c r="D543" s="30" t="inlineStr">
        <is>
          <t>Birthday Designer Collection I</t>
        </is>
      </c>
      <c r="E543" s="30" t="inlineStr">
        <is>
          <t>Designer Collection</t>
        </is>
      </c>
      <c r="F543" s="30" t="inlineStr">
        <is>
          <t>Master note (info)</t>
        </is>
      </c>
      <c r="G543" s="30" t="inlineStr">
        <is>
          <t>Master</t>
        </is>
      </c>
      <c r="H543" s="30" t="inlineStr">
        <is>
          <t>Duplicate title (info)</t>
        </is>
      </c>
      <c r="I543" s="30" t="inlineStr">
        <is>
          <t>Duplicate product title in catalogue (same name, different SKU) — rename or merge.</t>
        </is>
      </c>
      <c r="J543" s="30" t="inlineStr">
        <is>
          <t>Pricing skill check (master notes)</t>
        </is>
      </c>
      <c r="K543" s="30" t="n"/>
    </row>
    <row r="544" ht="22.35" customHeight="1" s="24">
      <c r="A544" s="28" t="n"/>
      <c r="B544" s="30" t="n"/>
      <c r="C544" s="30" t="inlineStr">
        <is>
          <t>DCB-02</t>
        </is>
      </c>
      <c r="D544" s="30" t="inlineStr">
        <is>
          <t>Birthday Designer Collection II</t>
        </is>
      </c>
      <c r="E544" s="30" t="inlineStr">
        <is>
          <t>Designer Collection</t>
        </is>
      </c>
      <c r="F544" s="30" t="inlineStr">
        <is>
          <t>Master note (info)</t>
        </is>
      </c>
      <c r="G544" s="30" t="inlineStr">
        <is>
          <t>Master</t>
        </is>
      </c>
      <c r="H544" s="30" t="inlineStr">
        <is>
          <t>Duplicate title (info)</t>
        </is>
      </c>
      <c r="I544" s="30" t="inlineStr">
        <is>
          <t>Duplicate product title in catalogue (same name, different SKU) — rename or merge.</t>
        </is>
      </c>
      <c r="J544" s="30" t="inlineStr">
        <is>
          <t>Pricing skill check (master notes)</t>
        </is>
      </c>
      <c r="K544" s="30" t="n"/>
    </row>
    <row r="545" ht="22.35" customHeight="1" s="24">
      <c r="A545" s="28" t="n"/>
      <c r="B545" s="30" t="n"/>
      <c r="C545" s="30" t="inlineStr">
        <is>
          <t>DCB-03</t>
        </is>
      </c>
      <c r="D545" s="30" t="inlineStr">
        <is>
          <t>Birthday Designer Collection III</t>
        </is>
      </c>
      <c r="E545" s="30" t="inlineStr">
        <is>
          <t>Designer Collection</t>
        </is>
      </c>
      <c r="F545" s="30" t="inlineStr">
        <is>
          <t>Master note (info)</t>
        </is>
      </c>
      <c r="G545" s="30" t="inlineStr">
        <is>
          <t>Master</t>
        </is>
      </c>
      <c r="H545" s="30" t="inlineStr">
        <is>
          <t>Duplicate title (info)</t>
        </is>
      </c>
      <c r="I545" s="30" t="inlineStr">
        <is>
          <t>Duplicate product title in catalogue (same name, different SKU) — rename or merge.</t>
        </is>
      </c>
      <c r="J545" s="30" t="inlineStr">
        <is>
          <t>Pricing skill check (master notes)</t>
        </is>
      </c>
      <c r="K545" s="30" t="n"/>
    </row>
    <row r="546" ht="22.35" customHeight="1" s="24">
      <c r="A546" s="28" t="n"/>
      <c r="B546" s="30" t="n"/>
      <c r="C546" s="30" t="inlineStr">
        <is>
          <t>DCB-04</t>
        </is>
      </c>
      <c r="D546" s="30" t="inlineStr">
        <is>
          <t>Birthday Designer Collection IV</t>
        </is>
      </c>
      <c r="E546" s="30" t="inlineStr">
        <is>
          <t>Designer Collection</t>
        </is>
      </c>
      <c r="F546" s="30" t="inlineStr">
        <is>
          <t>Master note (info)</t>
        </is>
      </c>
      <c r="G546" s="30" t="inlineStr">
        <is>
          <t>Master</t>
        </is>
      </c>
      <c r="H546" s="30" t="inlineStr">
        <is>
          <t>Duplicate title (info)</t>
        </is>
      </c>
      <c r="I546" s="30" t="inlineStr">
        <is>
          <t>Duplicate product title in catalogue (same name, different SKU) — rename or merge.</t>
        </is>
      </c>
      <c r="J546" s="30" t="inlineStr">
        <is>
          <t>Pricing skill check (master notes)</t>
        </is>
      </c>
      <c r="K546" s="30" t="n"/>
    </row>
    <row r="547" ht="22.35" customHeight="1" s="24">
      <c r="A547" s="28" t="n"/>
      <c r="B547" s="30" t="n"/>
      <c r="C547" s="30" t="inlineStr">
        <is>
          <t>DCMJ-01</t>
        </is>
      </c>
      <c r="D547" s="30" t="inlineStr">
        <is>
          <t>Designer Collection Mason Jar I</t>
        </is>
      </c>
      <c r="E547" s="30" t="inlineStr">
        <is>
          <t>Mason Jar</t>
        </is>
      </c>
      <c r="F547" s="30" t="inlineStr">
        <is>
          <t>Master note (info)</t>
        </is>
      </c>
      <c r="G547" s="30" t="inlineStr">
        <is>
          <t>Master</t>
        </is>
      </c>
      <c r="H547" s="30" t="inlineStr">
        <is>
          <t>Duplicate title (info)</t>
        </is>
      </c>
      <c r="I547" s="30" t="inlineStr">
        <is>
          <t>Duplicate product title in catalogue (same name, different SKU) — rename or merge.</t>
        </is>
      </c>
      <c r="J547" s="30" t="inlineStr">
        <is>
          <t>Pricing skill check (master notes)</t>
        </is>
      </c>
      <c r="K547" s="30" t="n"/>
    </row>
    <row r="548" ht="22.35" customHeight="1" s="24">
      <c r="A548" s="28" t="n"/>
      <c r="B548" s="30" t="n"/>
      <c r="C548" s="30" t="inlineStr">
        <is>
          <t>DCMJ-01A</t>
        </is>
      </c>
      <c r="D548" s="30" t="inlineStr">
        <is>
          <t>Designer Collection Mason Jar I</t>
        </is>
      </c>
      <c r="E548" s="30" t="inlineStr">
        <is>
          <t>Mason Jar</t>
        </is>
      </c>
      <c r="F548" s="30" t="inlineStr">
        <is>
          <t>Master note (info)</t>
        </is>
      </c>
      <c r="G548" s="30" t="inlineStr">
        <is>
          <t>Master</t>
        </is>
      </c>
      <c r="H548" s="30" t="inlineStr">
        <is>
          <t>Duplicate title (info)</t>
        </is>
      </c>
      <c r="I548" s="30" t="inlineStr">
        <is>
          <t>Duplicate product title in catalogue (same name, different SKU) — rename or merge.</t>
        </is>
      </c>
      <c r="J548" s="30" t="inlineStr">
        <is>
          <t>Pricing skill check (master notes)</t>
        </is>
      </c>
      <c r="K548" s="30" t="n"/>
    </row>
    <row r="549" ht="22.35" customHeight="1" s="24">
      <c r="A549" s="28" t="n"/>
      <c r="B549" s="30" t="n"/>
      <c r="C549" s="30" t="inlineStr">
        <is>
          <t>DCMJ-02</t>
        </is>
      </c>
      <c r="D549" s="30" t="inlineStr">
        <is>
          <t>Designer Collection Mason Jar II</t>
        </is>
      </c>
      <c r="E549" s="30" t="inlineStr">
        <is>
          <t>Mason Jar</t>
        </is>
      </c>
      <c r="F549" s="30" t="inlineStr">
        <is>
          <t>Master note (info)</t>
        </is>
      </c>
      <c r="G549" s="30" t="inlineStr">
        <is>
          <t>Master</t>
        </is>
      </c>
      <c r="H549" s="30" t="inlineStr">
        <is>
          <t>Duplicate title (info)</t>
        </is>
      </c>
      <c r="I549" s="30" t="inlineStr">
        <is>
          <t>Duplicate product title in catalogue (same name, different SKU) — rename or merge.</t>
        </is>
      </c>
      <c r="J549" s="30" t="inlineStr">
        <is>
          <t>Pricing skill check (master notes)</t>
        </is>
      </c>
      <c r="K549" s="30" t="n"/>
    </row>
    <row r="550" ht="22.35" customHeight="1" s="24">
      <c r="A550" s="28" t="n"/>
      <c r="B550" s="30" t="n"/>
      <c r="C550" s="30" t="inlineStr">
        <is>
          <t>DCMJ-02A</t>
        </is>
      </c>
      <c r="D550" s="30" t="inlineStr">
        <is>
          <t>Designer Collection Mason Jar II</t>
        </is>
      </c>
      <c r="E550" s="30" t="inlineStr">
        <is>
          <t>Mason Jar</t>
        </is>
      </c>
      <c r="F550" s="30" t="inlineStr">
        <is>
          <t>Master note (info)</t>
        </is>
      </c>
      <c r="G550" s="30" t="inlineStr">
        <is>
          <t>Master</t>
        </is>
      </c>
      <c r="H550" s="30" t="inlineStr">
        <is>
          <t>Duplicate title (info)</t>
        </is>
      </c>
      <c r="I550" s="30" t="inlineStr">
        <is>
          <t>Duplicate product title in catalogue (same name, different SKU) — rename or merge.</t>
        </is>
      </c>
      <c r="J550" s="30" t="inlineStr">
        <is>
          <t>Pricing skill check (master notes)</t>
        </is>
      </c>
      <c r="K550" s="30" t="n"/>
    </row>
    <row r="551" ht="22.35" customHeight="1" s="24">
      <c r="A551" s="28" t="n"/>
      <c r="B551" s="30" t="n"/>
      <c r="C551" s="30" t="inlineStr">
        <is>
          <t>DCMJ-03</t>
        </is>
      </c>
      <c r="D551" s="30" t="inlineStr">
        <is>
          <t>Designer Collection Mason Jar III</t>
        </is>
      </c>
      <c r="E551" s="30" t="inlineStr">
        <is>
          <t>Mason Jar</t>
        </is>
      </c>
      <c r="F551" s="30" t="inlineStr">
        <is>
          <t>Master note (info)</t>
        </is>
      </c>
      <c r="G551" s="30" t="inlineStr">
        <is>
          <t>Master</t>
        </is>
      </c>
      <c r="H551" s="30" t="inlineStr">
        <is>
          <t>Duplicate title (info)</t>
        </is>
      </c>
      <c r="I551" s="30" t="inlineStr">
        <is>
          <t>Duplicate product title in catalogue (same name, different SKU) — rename or merge.</t>
        </is>
      </c>
      <c r="J551" s="30" t="inlineStr">
        <is>
          <t>Pricing skill check (master notes)</t>
        </is>
      </c>
      <c r="K551" s="30" t="n"/>
    </row>
    <row r="552" ht="22.35" customHeight="1" s="24">
      <c r="A552" s="28" t="n"/>
      <c r="B552" s="30" t="n"/>
      <c r="C552" s="30" t="inlineStr">
        <is>
          <t>DCMJ-03A</t>
        </is>
      </c>
      <c r="D552" s="30" t="inlineStr">
        <is>
          <t>Designer Collection Mason Jar III</t>
        </is>
      </c>
      <c r="E552" s="30" t="inlineStr">
        <is>
          <t>Mason Jar</t>
        </is>
      </c>
      <c r="F552" s="30" t="inlineStr">
        <is>
          <t>Master note (info)</t>
        </is>
      </c>
      <c r="G552" s="30" t="inlineStr">
        <is>
          <t>Master</t>
        </is>
      </c>
      <c r="H552" s="30" t="inlineStr">
        <is>
          <t>Duplicate title (info)</t>
        </is>
      </c>
      <c r="I552" s="30" t="inlineStr">
        <is>
          <t>Duplicate product title in catalogue (same name, different SKU) — rename or merge.</t>
        </is>
      </c>
      <c r="J552" s="30" t="inlineStr">
        <is>
          <t>Pricing skill check (master notes)</t>
        </is>
      </c>
      <c r="K552" s="30" t="n"/>
    </row>
    <row r="553" ht="22.35" customHeight="1" s="24">
      <c r="A553" s="28" t="n"/>
      <c r="B553" s="30" t="n"/>
      <c r="C553" s="30" t="inlineStr">
        <is>
          <t>DCMJ-04</t>
        </is>
      </c>
      <c r="D553" s="30" t="inlineStr">
        <is>
          <t>Designer Collection Mason Jar IV</t>
        </is>
      </c>
      <c r="E553" s="30" t="inlineStr">
        <is>
          <t>Mason Jar</t>
        </is>
      </c>
      <c r="F553" s="30" t="inlineStr">
        <is>
          <t>Master note (info)</t>
        </is>
      </c>
      <c r="G553" s="30" t="inlineStr">
        <is>
          <t>Master</t>
        </is>
      </c>
      <c r="H553" s="30" t="inlineStr">
        <is>
          <t>Duplicate title (info)</t>
        </is>
      </c>
      <c r="I553" s="30" t="inlineStr">
        <is>
          <t>Duplicate product title in catalogue (same name, different SKU) — rename or merge.</t>
        </is>
      </c>
      <c r="J553" s="30" t="inlineStr">
        <is>
          <t>Pricing skill check (master notes)</t>
        </is>
      </c>
      <c r="K553" s="30" t="n"/>
    </row>
    <row r="554" ht="22.35" customHeight="1" s="24">
      <c r="A554" s="28" t="n"/>
      <c r="B554" s="30" t="n"/>
      <c r="C554" s="30" t="inlineStr">
        <is>
          <t>DCMJ-04A</t>
        </is>
      </c>
      <c r="D554" s="30" t="inlineStr">
        <is>
          <t>Designer Collection Mason Jar IV</t>
        </is>
      </c>
      <c r="E554" s="30" t="inlineStr">
        <is>
          <t>Mason Jar</t>
        </is>
      </c>
      <c r="F554" s="30" t="inlineStr">
        <is>
          <t>Master note (info)</t>
        </is>
      </c>
      <c r="G554" s="30" t="inlineStr">
        <is>
          <t>Master</t>
        </is>
      </c>
      <c r="H554" s="30" t="inlineStr">
        <is>
          <t>Duplicate title (info)</t>
        </is>
      </c>
      <c r="I554" s="30" t="inlineStr">
        <is>
          <t>Duplicate product title in catalogue (same name, different SKU) — rename or merge.</t>
        </is>
      </c>
      <c r="J554" s="30" t="inlineStr">
        <is>
          <t>Pricing skill check (master notes)</t>
        </is>
      </c>
      <c r="K554" s="30" t="n"/>
    </row>
    <row r="555" ht="22.35" customHeight="1" s="24">
      <c r="A555" s="28" t="n"/>
      <c r="B555" s="30" t="n"/>
      <c r="C555" s="30" t="inlineStr">
        <is>
          <t>DCS-01</t>
        </is>
      </c>
      <c r="D555" s="30" t="inlineStr">
        <is>
          <t>Designer Sympathy Collection I</t>
        </is>
      </c>
      <c r="E555" s="30" t="inlineStr">
        <is>
          <t>Designer Collection</t>
        </is>
      </c>
      <c r="F555" s="30" t="inlineStr">
        <is>
          <t>Master note (info)</t>
        </is>
      </c>
      <c r="G555" s="30" t="inlineStr">
        <is>
          <t>Master</t>
        </is>
      </c>
      <c r="H555" s="30" t="inlineStr">
        <is>
          <t>Duplicate title (info)</t>
        </is>
      </c>
      <c r="I555" s="30" t="inlineStr">
        <is>
          <t>Duplicate product title in catalogue (same name, different SKU) — rename or merge.</t>
        </is>
      </c>
      <c r="J555" s="30" t="inlineStr">
        <is>
          <t>Pricing skill check (master notes)</t>
        </is>
      </c>
      <c r="K555" s="30" t="n"/>
    </row>
    <row r="556" ht="22.35" customHeight="1" s="24">
      <c r="A556" s="28" t="n"/>
      <c r="B556" s="30" t="n"/>
      <c r="C556" s="30" t="inlineStr">
        <is>
          <t>DCS-02</t>
        </is>
      </c>
      <c r="D556" s="30" t="inlineStr">
        <is>
          <t>Designer Sympathy Collection II</t>
        </is>
      </c>
      <c r="E556" s="30" t="inlineStr">
        <is>
          <t>Designer Collection</t>
        </is>
      </c>
      <c r="F556" s="30" t="inlineStr">
        <is>
          <t>Master note (info)</t>
        </is>
      </c>
      <c r="G556" s="30" t="inlineStr">
        <is>
          <t>Master</t>
        </is>
      </c>
      <c r="H556" s="30" t="inlineStr">
        <is>
          <t>Duplicate title (info)</t>
        </is>
      </c>
      <c r="I556" s="30" t="inlineStr">
        <is>
          <t>Duplicate product title in catalogue (same name, different SKU) — rename or merge.</t>
        </is>
      </c>
      <c r="J556" s="30" t="inlineStr">
        <is>
          <t>Pricing skill check (master notes)</t>
        </is>
      </c>
      <c r="K556" s="30" t="n"/>
    </row>
    <row r="557" ht="22.35" customHeight="1" s="24">
      <c r="A557" s="28" t="n"/>
      <c r="B557" s="30" t="n"/>
      <c r="C557" s="30" t="inlineStr">
        <is>
          <t>DCS-03</t>
        </is>
      </c>
      <c r="D557" s="30" t="inlineStr">
        <is>
          <t>Designer Sympathy Collection III</t>
        </is>
      </c>
      <c r="E557" s="30" t="inlineStr">
        <is>
          <t>Designer Collection</t>
        </is>
      </c>
      <c r="F557" s="30" t="inlineStr">
        <is>
          <t>Master note (info)</t>
        </is>
      </c>
      <c r="G557" s="30" t="inlineStr">
        <is>
          <t>Master</t>
        </is>
      </c>
      <c r="H557" s="30" t="inlineStr">
        <is>
          <t>Duplicate title (info)</t>
        </is>
      </c>
      <c r="I557" s="30" t="inlineStr">
        <is>
          <t>Duplicate product title in catalogue (same name, different SKU) — rename or merge.</t>
        </is>
      </c>
      <c r="J557" s="30" t="inlineStr">
        <is>
          <t>Pricing skill check (master notes)</t>
        </is>
      </c>
      <c r="K557" s="30" t="n"/>
    </row>
    <row r="558" ht="22.35" customHeight="1" s="24">
      <c r="A558" s="28" t="n"/>
      <c r="B558" s="30" t="n"/>
      <c r="C558" s="30" t="inlineStr">
        <is>
          <t>LF100-590</t>
        </is>
      </c>
      <c r="D558" s="30" t="inlineStr">
        <is>
          <t>Purest Heart</t>
        </is>
      </c>
      <c r="E558" s="30" t="inlineStr">
        <is>
          <t>Sympathy</t>
        </is>
      </c>
      <c r="F558" s="30" t="inlineStr">
        <is>
          <t>Master note (info)</t>
        </is>
      </c>
      <c r="G558" s="30" t="inlineStr">
        <is>
          <t>Master</t>
        </is>
      </c>
      <c r="H558" s="30" t="inlineStr">
        <is>
          <t>Duplicate title (info)</t>
        </is>
      </c>
      <c r="I558" s="30" t="inlineStr">
        <is>
          <t>Duplicate product title in catalogue (same name, different SKU) — rename or merge.</t>
        </is>
      </c>
      <c r="J558" s="30" t="inlineStr">
        <is>
          <t>Pricing skill check (master notes)</t>
        </is>
      </c>
      <c r="K558" s="30" t="n"/>
    </row>
    <row r="559" ht="22.35" customHeight="1" s="24">
      <c r="A559" s="28" t="n"/>
      <c r="B559" s="30" t="n"/>
      <c r="C559" s="30" t="inlineStr">
        <is>
          <t>MJ100-05</t>
        </is>
      </c>
      <c r="D559" s="30" t="inlineStr">
        <is>
          <t>Gerbera Daisies in Mason Jar</t>
        </is>
      </c>
      <c r="E559" s="30" t="inlineStr">
        <is>
          <t>Mason Jar</t>
        </is>
      </c>
      <c r="F559" s="30" t="inlineStr">
        <is>
          <t>Master note (info)</t>
        </is>
      </c>
      <c r="G559" s="30" t="inlineStr">
        <is>
          <t>Master</t>
        </is>
      </c>
      <c r="H559" s="30" t="inlineStr">
        <is>
          <t>Duplicate title (info)</t>
        </is>
      </c>
      <c r="I559" s="30" t="inlineStr">
        <is>
          <t>Duplicate product title in catalogue (same name, different SKU) — rename or merge.</t>
        </is>
      </c>
      <c r="J559" s="30" t="inlineStr">
        <is>
          <t>Pricing skill check (master notes)</t>
        </is>
      </c>
      <c r="K559" s="30" t="n"/>
    </row>
    <row r="560" ht="22.35" customHeight="1" s="24">
      <c r="A560" s="28" t="n"/>
      <c r="B560" s="30" t="n"/>
      <c r="C560" s="30" t="inlineStr">
        <is>
          <t>MJ100-11</t>
        </is>
      </c>
      <c r="D560" s="30" t="inlineStr">
        <is>
          <t>Breathtaking Blooms In Mason Jar</t>
        </is>
      </c>
      <c r="E560" s="30" t="inlineStr">
        <is>
          <t>Mason Jar</t>
        </is>
      </c>
      <c r="F560" s="30" t="inlineStr">
        <is>
          <t>Master note (info)</t>
        </is>
      </c>
      <c r="G560" s="30" t="inlineStr">
        <is>
          <t>Master</t>
        </is>
      </c>
      <c r="H560" s="30" t="inlineStr">
        <is>
          <t>Duplicate title (info)</t>
        </is>
      </c>
      <c r="I560" s="30" t="inlineStr">
        <is>
          <t>Duplicate product title in catalogue (same name, different SKU) — rename or merge.</t>
        </is>
      </c>
      <c r="J560" s="30" t="inlineStr">
        <is>
          <t>Pricing skill check (master notes)</t>
        </is>
      </c>
      <c r="K560" s="30" t="n"/>
    </row>
    <row r="561" ht="22.35" customHeight="1" s="24">
      <c r="A561" s="28" t="n"/>
      <c r="B561" s="30" t="n"/>
      <c r="C561" s="30" t="inlineStr">
        <is>
          <t>MJ100-12</t>
        </is>
      </c>
      <c r="D561" s="30" t="inlineStr">
        <is>
          <t>Classic Whites In Mason Jar</t>
        </is>
      </c>
      <c r="E561" s="30" t="inlineStr">
        <is>
          <t>Mason Jar</t>
        </is>
      </c>
      <c r="F561" s="30" t="inlineStr">
        <is>
          <t>Master note (info)</t>
        </is>
      </c>
      <c r="G561" s="30" t="inlineStr">
        <is>
          <t>Master</t>
        </is>
      </c>
      <c r="H561" s="30" t="inlineStr">
        <is>
          <t>Duplicate title (info)</t>
        </is>
      </c>
      <c r="I561" s="30" t="inlineStr">
        <is>
          <t>Duplicate product title in catalogue (same name, different SKU) — rename or merge.</t>
        </is>
      </c>
      <c r="J561" s="30" t="inlineStr">
        <is>
          <t>Pricing skill check (master notes)</t>
        </is>
      </c>
      <c r="K561" s="30" t="n"/>
    </row>
    <row r="562" ht="22.35" customHeight="1" s="24">
      <c r="A562" s="28" t="n"/>
      <c r="B562" s="30" t="n"/>
      <c r="C562" s="30" t="inlineStr">
        <is>
          <t>SC01</t>
        </is>
      </c>
      <c r="D562" s="30" t="inlineStr">
        <is>
          <t>Full Size Sympathy Card</t>
        </is>
      </c>
      <c r="E562" s="30" t="inlineStr">
        <is>
          <t>Sympathy</t>
        </is>
      </c>
      <c r="F562" s="30" t="inlineStr">
        <is>
          <t>Master note (info)</t>
        </is>
      </c>
      <c r="G562" s="30" t="inlineStr">
        <is>
          <t>Master</t>
        </is>
      </c>
      <c r="H562" s="30" t="inlineStr">
        <is>
          <t>Duplicate title (info)</t>
        </is>
      </c>
      <c r="I562" s="30" t="inlineStr">
        <is>
          <t>Duplicate product title in catalogue (same name, different SKU) — rename or merge.</t>
        </is>
      </c>
      <c r="J562" s="30" t="inlineStr">
        <is>
          <t>Pricing skill check (master notes)</t>
        </is>
      </c>
      <c r="K562" s="30" t="n"/>
    </row>
    <row r="563" ht="22.35" customHeight="1" s="24">
      <c r="A563" s="28" t="n"/>
      <c r="B563" s="30" t="n"/>
      <c r="C563" s="30" t="inlineStr">
        <is>
          <t>AU100-12</t>
        </is>
      </c>
      <c r="D563" s="30" t="inlineStr">
        <is>
          <t>Colour Me Yours</t>
        </is>
      </c>
      <c r="E563" s="30" t="inlineStr">
        <is>
          <t>Bouquets</t>
        </is>
      </c>
      <c r="F563" s="30" t="inlineStr">
        <is>
          <t>Master note (info)</t>
        </is>
      </c>
      <c r="G563" s="30" t="inlineStr">
        <is>
          <t>Master</t>
        </is>
      </c>
      <c r="H563" s="30" t="inlineStr">
        <is>
          <t>Florist's choice (generic designer stems)</t>
        </is>
      </c>
      <c r="I563" s="30" t="inlineStr">
        <is>
          <t>Recipe uses generic 'designer stems' — photo/description should say florist's choice.</t>
        </is>
      </c>
      <c r="J563" s="30" t="inlineStr">
        <is>
          <t>Pricing skill check (master notes)</t>
        </is>
      </c>
      <c r="K563" s="30" t="n"/>
    </row>
    <row r="564" ht="22.35" customHeight="1" s="24">
      <c r="A564" s="28" t="n"/>
      <c r="B564" s="30" t="n"/>
      <c r="C564" s="30" t="inlineStr">
        <is>
          <t>AUBC-01</t>
        </is>
      </c>
      <c r="D564" s="30" t="inlineStr">
        <is>
          <t>Birthday Combo I</t>
        </is>
      </c>
      <c r="E564" s="30" t="inlineStr">
        <is>
          <t>Bouquets</t>
        </is>
      </c>
      <c r="F564" s="30" t="inlineStr">
        <is>
          <t>Master note (info)</t>
        </is>
      </c>
      <c r="G564" s="30" t="inlineStr">
        <is>
          <t>Master</t>
        </is>
      </c>
      <c r="H564" s="30" t="inlineStr">
        <is>
          <t>Florist's choice (generic designer stems)</t>
        </is>
      </c>
      <c r="I564" s="30" t="inlineStr">
        <is>
          <t>Recipe uses generic 'designer stems' — photo/description should say florist's choice.</t>
        </is>
      </c>
      <c r="J564" s="30" t="inlineStr">
        <is>
          <t>Pricing skill check (master notes)</t>
        </is>
      </c>
      <c r="K564" s="30" t="n"/>
    </row>
    <row r="565" ht="22.35" customHeight="1" s="24">
      <c r="A565" s="28" t="n"/>
      <c r="B565" s="30" t="n"/>
      <c r="C565" s="30" t="inlineStr">
        <is>
          <t>AUBC-02</t>
        </is>
      </c>
      <c r="D565" s="30" t="inlineStr">
        <is>
          <t>Birthday Combo II</t>
        </is>
      </c>
      <c r="E565" s="30" t="inlineStr">
        <is>
          <t>Bouquets</t>
        </is>
      </c>
      <c r="F565" s="30" t="inlineStr">
        <is>
          <t>Master note (info)</t>
        </is>
      </c>
      <c r="G565" s="30" t="inlineStr">
        <is>
          <t>Master</t>
        </is>
      </c>
      <c r="H565" s="30" t="inlineStr">
        <is>
          <t>Florist's choice (generic designer stems)</t>
        </is>
      </c>
      <c r="I565" s="30" t="inlineStr">
        <is>
          <t>Recipe uses generic 'designer stems' — photo/description should say florist's choice.</t>
        </is>
      </c>
      <c r="J565" s="30" t="inlineStr">
        <is>
          <t>Pricing skill check (master notes)</t>
        </is>
      </c>
      <c r="K565" s="30" t="n"/>
    </row>
    <row r="566" ht="22.35" customHeight="1" s="24">
      <c r="A566" s="28" t="n"/>
      <c r="B566" s="30" t="n"/>
      <c r="C566" s="30" t="inlineStr">
        <is>
          <t>AUBC-04</t>
        </is>
      </c>
      <c r="D566" s="30" t="inlineStr">
        <is>
          <t>Birthday Combo IV</t>
        </is>
      </c>
      <c r="E566" s="30" t="inlineStr">
        <is>
          <t>Bouquets</t>
        </is>
      </c>
      <c r="F566" s="30" t="inlineStr">
        <is>
          <t>Master note (info)</t>
        </is>
      </c>
      <c r="G566" s="30" t="inlineStr">
        <is>
          <t>Master</t>
        </is>
      </c>
      <c r="H566" s="30" t="inlineStr">
        <is>
          <t>Florist's choice (generic designer stems)</t>
        </is>
      </c>
      <c r="I566" s="30" t="inlineStr">
        <is>
          <t>Recipe uses generic 'designer stems' — photo/description should say florist's choice.</t>
        </is>
      </c>
      <c r="J566" s="30" t="inlineStr">
        <is>
          <t>Pricing skill check (master notes)</t>
        </is>
      </c>
      <c r="K566" s="30" t="n"/>
    </row>
    <row r="567" ht="22.35" customHeight="1" s="24">
      <c r="A567" s="28" t="n"/>
      <c r="B567" s="30" t="n"/>
      <c r="C567" s="30" t="inlineStr">
        <is>
          <t>AUDC-01</t>
        </is>
      </c>
      <c r="D567" s="30" t="inlineStr">
        <is>
          <t>Designer Collection I</t>
        </is>
      </c>
      <c r="E567" s="30" t="inlineStr">
        <is>
          <t>Designer Collection</t>
        </is>
      </c>
      <c r="F567" s="30" t="inlineStr">
        <is>
          <t>Master note (info)</t>
        </is>
      </c>
      <c r="G567" s="30" t="inlineStr">
        <is>
          <t>Master</t>
        </is>
      </c>
      <c r="H567" s="30" t="inlineStr">
        <is>
          <t>Florist's choice (generic designer stems)</t>
        </is>
      </c>
      <c r="I567" s="30" t="inlineStr">
        <is>
          <t>Recipe uses generic 'designer stems' — photo/description should say florist's choice.</t>
        </is>
      </c>
      <c r="J567" s="30" t="inlineStr">
        <is>
          <t>Pricing skill check (master notes)</t>
        </is>
      </c>
      <c r="K567" s="30" t="n"/>
    </row>
    <row r="568" ht="22.35" customHeight="1" s="24">
      <c r="A568" s="28" t="n"/>
      <c r="B568" s="30" t="n"/>
      <c r="C568" s="30" t="inlineStr">
        <is>
          <t>AUDC-02</t>
        </is>
      </c>
      <c r="D568" s="30" t="inlineStr">
        <is>
          <t>Designer Collection II</t>
        </is>
      </c>
      <c r="E568" s="30" t="inlineStr">
        <is>
          <t>Designer Collection</t>
        </is>
      </c>
      <c r="F568" s="30" t="inlineStr">
        <is>
          <t>Master note (info)</t>
        </is>
      </c>
      <c r="G568" s="30" t="inlineStr">
        <is>
          <t>Master</t>
        </is>
      </c>
      <c r="H568" s="30" t="inlineStr">
        <is>
          <t>Florist's choice (generic designer stems)</t>
        </is>
      </c>
      <c r="I568" s="30" t="inlineStr">
        <is>
          <t>Recipe uses generic 'designer stems' — photo/description should say florist's choice.</t>
        </is>
      </c>
      <c r="J568" s="30" t="inlineStr">
        <is>
          <t>Pricing skill check (master notes)</t>
        </is>
      </c>
      <c r="K568" s="30" t="n"/>
    </row>
    <row r="569" ht="22.35" customHeight="1" s="24">
      <c r="A569" s="28" t="n"/>
      <c r="B569" s="30" t="n"/>
      <c r="C569" s="30" t="inlineStr">
        <is>
          <t>AUDC-03</t>
        </is>
      </c>
      <c r="D569" s="30" t="inlineStr">
        <is>
          <t>Designer Collection III</t>
        </is>
      </c>
      <c r="E569" s="30" t="inlineStr">
        <is>
          <t>Designer Collection</t>
        </is>
      </c>
      <c r="F569" s="30" t="inlineStr">
        <is>
          <t>Master note (info)</t>
        </is>
      </c>
      <c r="G569" s="30" t="inlineStr">
        <is>
          <t>Master</t>
        </is>
      </c>
      <c r="H569" s="30" t="inlineStr">
        <is>
          <t>Florist's choice (generic designer stems)</t>
        </is>
      </c>
      <c r="I569" s="30" t="inlineStr">
        <is>
          <t>Recipe uses generic 'designer stems' — photo/description should say florist's choice.</t>
        </is>
      </c>
      <c r="J569" s="30" t="inlineStr">
        <is>
          <t>Pricing skill check (master notes)</t>
        </is>
      </c>
      <c r="K569" s="30" t="n"/>
    </row>
    <row r="570" ht="22.35" customHeight="1" s="24">
      <c r="A570" s="28" t="n"/>
      <c r="B570" s="30" t="n"/>
      <c r="C570" s="30" t="inlineStr">
        <is>
          <t>AUDC-04</t>
        </is>
      </c>
      <c r="D570" s="30" t="inlineStr">
        <is>
          <t>Designer Collection IV</t>
        </is>
      </c>
      <c r="E570" s="30" t="inlineStr">
        <is>
          <t>Designer Collection</t>
        </is>
      </c>
      <c r="F570" s="30" t="inlineStr">
        <is>
          <t>Master note (info)</t>
        </is>
      </c>
      <c r="G570" s="30" t="inlineStr">
        <is>
          <t>Master</t>
        </is>
      </c>
      <c r="H570" s="30" t="inlineStr">
        <is>
          <t>Florist's choice (generic designer stems)</t>
        </is>
      </c>
      <c r="I570" s="30" t="inlineStr">
        <is>
          <t>Recipe uses generic 'designer stems' — photo/description should say florist's choice.</t>
        </is>
      </c>
      <c r="J570" s="30" t="inlineStr">
        <is>
          <t>Pricing skill check (master notes)</t>
        </is>
      </c>
      <c r="K570" s="30" t="n"/>
    </row>
    <row r="571" ht="22.35" customHeight="1" s="24">
      <c r="A571" s="28" t="n"/>
      <c r="B571" s="30" t="n"/>
      <c r="C571" s="30" t="inlineStr">
        <is>
          <t>AUDC-04A</t>
        </is>
      </c>
      <c r="D571" s="30" t="inlineStr">
        <is>
          <t>Designer Collection Anniversary IV</t>
        </is>
      </c>
      <c r="E571" s="30" t="inlineStr">
        <is>
          <t>Designer Collection</t>
        </is>
      </c>
      <c r="F571" s="30" t="inlineStr">
        <is>
          <t>Master note (info)</t>
        </is>
      </c>
      <c r="G571" s="30" t="inlineStr">
        <is>
          <t>Master</t>
        </is>
      </c>
      <c r="H571" s="30" t="inlineStr">
        <is>
          <t>Florist's choice (generic designer stems)</t>
        </is>
      </c>
      <c r="I571" s="30" t="inlineStr">
        <is>
          <t>Recipe uses generic 'designer stems' — photo/description should say florist's choice.</t>
        </is>
      </c>
      <c r="J571" s="30" t="inlineStr">
        <is>
          <t>Pricing skill check (master notes)</t>
        </is>
      </c>
      <c r="K571" s="30" t="n"/>
    </row>
    <row r="572" ht="22.35" customHeight="1" s="24">
      <c r="A572" s="28" t="n"/>
      <c r="B572" s="30" t="n"/>
      <c r="C572" s="30" t="inlineStr">
        <is>
          <t>AUDNAT-01</t>
        </is>
      </c>
      <c r="D572" s="30" t="inlineStr">
        <is>
          <t>Native Flowers Bouquet Designer Collection I</t>
        </is>
      </c>
      <c r="E572" s="30" t="inlineStr">
        <is>
          <t>Designer Collection</t>
        </is>
      </c>
      <c r="F572" s="30" t="inlineStr">
        <is>
          <t>Master note (info)</t>
        </is>
      </c>
      <c r="G572" s="30" t="inlineStr">
        <is>
          <t>Master</t>
        </is>
      </c>
      <c r="H572" s="30" t="inlineStr">
        <is>
          <t>Florist's choice (generic designer stems)</t>
        </is>
      </c>
      <c r="I572" s="30" t="inlineStr">
        <is>
          <t>Recipe uses generic 'designer stems' — photo/description should say florist's choice.</t>
        </is>
      </c>
      <c r="J572" s="30" t="inlineStr">
        <is>
          <t>Pricing skill check (master notes)</t>
        </is>
      </c>
      <c r="K572" s="30" t="n"/>
    </row>
    <row r="573" ht="22.35" customHeight="1" s="24">
      <c r="A573" s="28" t="n"/>
      <c r="B573" s="30" t="n"/>
      <c r="C573" s="30" t="inlineStr">
        <is>
          <t>AUDNAT-02</t>
        </is>
      </c>
      <c r="D573" s="30" t="inlineStr">
        <is>
          <t>Native Flowers Bouquet Designer Collection II</t>
        </is>
      </c>
      <c r="E573" s="30" t="inlineStr">
        <is>
          <t>Designer Collection</t>
        </is>
      </c>
      <c r="F573" s="30" t="inlineStr">
        <is>
          <t>Master note (info)</t>
        </is>
      </c>
      <c r="G573" s="30" t="inlineStr">
        <is>
          <t>Master</t>
        </is>
      </c>
      <c r="H573" s="30" t="inlineStr">
        <is>
          <t>Florist's choice (generic designer stems)</t>
        </is>
      </c>
      <c r="I573" s="30" t="inlineStr">
        <is>
          <t>Recipe uses generic 'designer stems' — photo/description should say florist's choice.</t>
        </is>
      </c>
      <c r="J573" s="30" t="inlineStr">
        <is>
          <t>Pricing skill check (master notes)</t>
        </is>
      </c>
      <c r="K573" s="30" t="n"/>
    </row>
    <row r="574" ht="22.35" customHeight="1" s="24">
      <c r="A574" s="28" t="n"/>
      <c r="B574" s="30" t="n"/>
      <c r="C574" s="30" t="inlineStr">
        <is>
          <t>AUDNAT-03</t>
        </is>
      </c>
      <c r="D574" s="30" t="inlineStr">
        <is>
          <t>Native Flowers Bouquet Designer Collection III</t>
        </is>
      </c>
      <c r="E574" s="30" t="inlineStr">
        <is>
          <t>Designer Collection</t>
        </is>
      </c>
      <c r="F574" s="30" t="inlineStr">
        <is>
          <t>Master note (info)</t>
        </is>
      </c>
      <c r="G574" s="30" t="inlineStr">
        <is>
          <t>Master</t>
        </is>
      </c>
      <c r="H574" s="30" t="inlineStr">
        <is>
          <t>Florist's choice (generic designer stems)</t>
        </is>
      </c>
      <c r="I574" s="30" t="inlineStr">
        <is>
          <t>Recipe uses generic 'designer stems' — photo/description should say florist's choice.</t>
        </is>
      </c>
      <c r="J574" s="30" t="inlineStr">
        <is>
          <t>Pricing skill check (master notes)</t>
        </is>
      </c>
      <c r="K574" s="30" t="n"/>
    </row>
    <row r="575" ht="22.35" customHeight="1" s="24">
      <c r="A575" s="28" t="n"/>
      <c r="B575" s="30" t="n"/>
      <c r="C575" s="30" t="inlineStr">
        <is>
          <t>AUMJ-NW-005</t>
        </is>
      </c>
      <c r="D575" s="30" t="inlineStr">
        <is>
          <t>Native Flowers Bouquet in Mason Jar</t>
        </is>
      </c>
      <c r="E575" s="30" t="inlineStr">
        <is>
          <t>Mason Jar</t>
        </is>
      </c>
      <c r="F575" s="30" t="inlineStr">
        <is>
          <t>Master note (info)</t>
        </is>
      </c>
      <c r="G575" s="30" t="inlineStr">
        <is>
          <t>Master</t>
        </is>
      </c>
      <c r="H575" s="30" t="inlineStr">
        <is>
          <t>Florist's choice (generic designer stems)</t>
        </is>
      </c>
      <c r="I575" s="30" t="inlineStr">
        <is>
          <t>Recipe uses generic 'designer stems' — photo/description should say florist's choice.</t>
        </is>
      </c>
      <c r="J575" s="30" t="inlineStr">
        <is>
          <t>Pricing skill check (master notes)</t>
        </is>
      </c>
      <c r="K575" s="30" t="n"/>
    </row>
    <row r="576" ht="22.35" customHeight="1" s="24">
      <c r="A576" s="28" t="n"/>
      <c r="B576" s="30" t="n"/>
      <c r="C576" s="30" t="inlineStr">
        <is>
          <t>AURP-B29</t>
        </is>
      </c>
      <c r="D576" s="30" t="inlineStr">
        <is>
          <t>The Birthday Bundle</t>
        </is>
      </c>
      <c r="E576" s="30" t="inlineStr">
        <is>
          <t>Bouquets</t>
        </is>
      </c>
      <c r="F576" s="30" t="inlineStr">
        <is>
          <t>Master note (info)</t>
        </is>
      </c>
      <c r="G576" s="30" t="inlineStr">
        <is>
          <t>Master</t>
        </is>
      </c>
      <c r="H576" s="30" t="inlineStr">
        <is>
          <t>Florist's choice (generic designer stems)</t>
        </is>
      </c>
      <c r="I576" s="30" t="inlineStr">
        <is>
          <t>Recipe uses generic 'designer stems' — photo/description should say florist's choice.</t>
        </is>
      </c>
      <c r="J576" s="30" t="inlineStr">
        <is>
          <t>Pricing skill check (master notes)</t>
        </is>
      </c>
      <c r="K576" s="30" t="n"/>
    </row>
    <row r="577" ht="22.35" customHeight="1" s="24">
      <c r="A577" s="28" t="n"/>
      <c r="B577" s="30" t="n"/>
      <c r="C577" s="30" t="inlineStr">
        <is>
          <t>DC-01B</t>
        </is>
      </c>
      <c r="D577" s="30" t="inlineStr">
        <is>
          <t>Birthday Designer Collection I</t>
        </is>
      </c>
      <c r="E577" s="30" t="inlineStr">
        <is>
          <t>Designer Collection</t>
        </is>
      </c>
      <c r="F577" s="30" t="inlineStr">
        <is>
          <t>Master note (info)</t>
        </is>
      </c>
      <c r="G577" s="30" t="inlineStr">
        <is>
          <t>Master</t>
        </is>
      </c>
      <c r="H577" s="30" t="inlineStr">
        <is>
          <t>Florist's choice (generic designer stems)</t>
        </is>
      </c>
      <c r="I577" s="30" t="inlineStr">
        <is>
          <t>Recipe uses generic 'designer stems' — photo/description should say florist's choice.</t>
        </is>
      </c>
      <c r="J577" s="30" t="inlineStr">
        <is>
          <t>Pricing skill check (master notes)</t>
        </is>
      </c>
      <c r="K577" s="30" t="n"/>
    </row>
    <row r="578" ht="22.35" customHeight="1" s="24">
      <c r="A578" s="28" t="n"/>
      <c r="B578" s="30" t="n"/>
      <c r="C578" s="30" t="inlineStr">
        <is>
          <t>DC-01S</t>
        </is>
      </c>
      <c r="D578" s="30" t="inlineStr">
        <is>
          <t>Designer Sympathy Collection I</t>
        </is>
      </c>
      <c r="E578" s="30" t="inlineStr">
        <is>
          <t>Designer Collection</t>
        </is>
      </c>
      <c r="F578" s="30" t="inlineStr">
        <is>
          <t>Master note (info)</t>
        </is>
      </c>
      <c r="G578" s="30" t="inlineStr">
        <is>
          <t>Master</t>
        </is>
      </c>
      <c r="H578" s="30" t="inlineStr">
        <is>
          <t>Florist's choice (generic designer stems)</t>
        </is>
      </c>
      <c r="I578" s="30" t="inlineStr">
        <is>
          <t>Recipe uses generic 'designer stems' — photo/description should say florist's choice.</t>
        </is>
      </c>
      <c r="J578" s="30" t="inlineStr">
        <is>
          <t>Pricing skill check (master notes)</t>
        </is>
      </c>
      <c r="K578" s="30" t="n"/>
    </row>
    <row r="579" ht="22.35" customHeight="1" s="24">
      <c r="A579" s="28" t="n"/>
      <c r="B579" s="30" t="n"/>
      <c r="C579" s="30" t="inlineStr">
        <is>
          <t>DC-02A</t>
        </is>
      </c>
      <c r="D579" s="30" t="inlineStr">
        <is>
          <t>Designer Collection Anniversary II</t>
        </is>
      </c>
      <c r="E579" s="30" t="inlineStr">
        <is>
          <t>Designer Collection</t>
        </is>
      </c>
      <c r="F579" s="30" t="inlineStr">
        <is>
          <t>Master note (info)</t>
        </is>
      </c>
      <c r="G579" s="30" t="inlineStr">
        <is>
          <t>Master</t>
        </is>
      </c>
      <c r="H579" s="30" t="inlineStr">
        <is>
          <t>Florist's choice (generic designer stems)</t>
        </is>
      </c>
      <c r="I579" s="30" t="inlineStr">
        <is>
          <t>Recipe uses generic 'designer stems' — photo/description should say florist's choice.</t>
        </is>
      </c>
      <c r="J579" s="30" t="inlineStr">
        <is>
          <t>Pricing skill check (master notes)</t>
        </is>
      </c>
      <c r="K579" s="30" t="n"/>
    </row>
    <row r="580" ht="22.35" customHeight="1" s="24">
      <c r="A580" s="28" t="n"/>
      <c r="B580" s="30" t="n"/>
      <c r="C580" s="30" t="inlineStr">
        <is>
          <t>DC-02B</t>
        </is>
      </c>
      <c r="D580" s="30" t="inlineStr">
        <is>
          <t>Birthday Designer Collection II</t>
        </is>
      </c>
      <c r="E580" s="30" t="inlineStr">
        <is>
          <t>Designer Collection</t>
        </is>
      </c>
      <c r="F580" s="30" t="inlineStr">
        <is>
          <t>Master note (info)</t>
        </is>
      </c>
      <c r="G580" s="30" t="inlineStr">
        <is>
          <t>Master</t>
        </is>
      </c>
      <c r="H580" s="30" t="inlineStr">
        <is>
          <t>Florist's choice (generic designer stems)</t>
        </is>
      </c>
      <c r="I580" s="30" t="inlineStr">
        <is>
          <t>Recipe uses generic 'designer stems' — photo/description should say florist's choice.</t>
        </is>
      </c>
      <c r="J580" s="30" t="inlineStr">
        <is>
          <t>Pricing skill check (master notes)</t>
        </is>
      </c>
      <c r="K580" s="30" t="n"/>
    </row>
    <row r="581" ht="22.35" customHeight="1" s="24">
      <c r="A581" s="28" t="n"/>
      <c r="B581" s="30" t="n"/>
      <c r="C581" s="30" t="inlineStr">
        <is>
          <t>DC-02S</t>
        </is>
      </c>
      <c r="D581" s="30" t="inlineStr">
        <is>
          <t>Designer Sympathy Collection II</t>
        </is>
      </c>
      <c r="E581" s="30" t="inlineStr">
        <is>
          <t>Designer Collection</t>
        </is>
      </c>
      <c r="F581" s="30" t="inlineStr">
        <is>
          <t>Master note (info)</t>
        </is>
      </c>
      <c r="G581" s="30" t="inlineStr">
        <is>
          <t>Master</t>
        </is>
      </c>
      <c r="H581" s="30" t="inlineStr">
        <is>
          <t>Florist's choice (generic designer stems)</t>
        </is>
      </c>
      <c r="I581" s="30" t="inlineStr">
        <is>
          <t>Recipe uses generic 'designer stems' — photo/description should say florist's choice.</t>
        </is>
      </c>
      <c r="J581" s="30" t="inlineStr">
        <is>
          <t>Pricing skill check (master notes)</t>
        </is>
      </c>
      <c r="K581" s="30" t="n"/>
    </row>
    <row r="582" ht="22.35" customHeight="1" s="24">
      <c r="A582" s="28" t="n"/>
      <c r="B582" s="30" t="n"/>
      <c r="C582" s="30" t="inlineStr">
        <is>
          <t>DC-03A</t>
        </is>
      </c>
      <c r="D582" s="30" t="inlineStr">
        <is>
          <t>Designer Collection Anniversary III</t>
        </is>
      </c>
      <c r="E582" s="30" t="inlineStr">
        <is>
          <t>Designer Collection</t>
        </is>
      </c>
      <c r="F582" s="30" t="inlineStr">
        <is>
          <t>Master note (info)</t>
        </is>
      </c>
      <c r="G582" s="30" t="inlineStr">
        <is>
          <t>Master</t>
        </is>
      </c>
      <c r="H582" s="30" t="inlineStr">
        <is>
          <t>Florist's choice (generic designer stems)</t>
        </is>
      </c>
      <c r="I582" s="30" t="inlineStr">
        <is>
          <t>Recipe uses generic 'designer stems' — photo/description should say florist's choice.</t>
        </is>
      </c>
      <c r="J582" s="30" t="inlineStr">
        <is>
          <t>Pricing skill check (master notes)</t>
        </is>
      </c>
      <c r="K582" s="30" t="n"/>
    </row>
    <row r="583" ht="22.35" customHeight="1" s="24">
      <c r="A583" s="28" t="n"/>
      <c r="B583" s="30" t="n"/>
      <c r="C583" s="30" t="inlineStr">
        <is>
          <t>DC-03B</t>
        </is>
      </c>
      <c r="D583" s="30" t="inlineStr">
        <is>
          <t>Birthday Designer Collection III</t>
        </is>
      </c>
      <c r="E583" s="30" t="inlineStr">
        <is>
          <t>Designer Collection</t>
        </is>
      </c>
      <c r="F583" s="30" t="inlineStr">
        <is>
          <t>Master note (info)</t>
        </is>
      </c>
      <c r="G583" s="30" t="inlineStr">
        <is>
          <t>Master</t>
        </is>
      </c>
      <c r="H583" s="30" t="inlineStr">
        <is>
          <t>Florist's choice (generic designer stems)</t>
        </is>
      </c>
      <c r="I583" s="30" t="inlineStr">
        <is>
          <t>Recipe uses generic 'designer stems' — photo/description should say florist's choice.</t>
        </is>
      </c>
      <c r="J583" s="30" t="inlineStr">
        <is>
          <t>Pricing skill check (master notes)</t>
        </is>
      </c>
      <c r="K583" s="30" t="n"/>
    </row>
    <row r="584" ht="22.35" customHeight="1" s="24">
      <c r="A584" s="28" t="n"/>
      <c r="B584" s="30" t="n"/>
      <c r="C584" s="30" t="inlineStr">
        <is>
          <t>DC-03S</t>
        </is>
      </c>
      <c r="D584" s="30" t="inlineStr">
        <is>
          <t>Designer Sympathy Collection III</t>
        </is>
      </c>
      <c r="E584" s="30" t="inlineStr">
        <is>
          <t>Designer Collection</t>
        </is>
      </c>
      <c r="F584" s="30" t="inlineStr">
        <is>
          <t>Master note (info)</t>
        </is>
      </c>
      <c r="G584" s="30" t="inlineStr">
        <is>
          <t>Master</t>
        </is>
      </c>
      <c r="H584" s="30" t="inlineStr">
        <is>
          <t>Florist's choice (generic designer stems)</t>
        </is>
      </c>
      <c r="I584" s="30" t="inlineStr">
        <is>
          <t>Recipe uses generic 'designer stems' — photo/description should say florist's choice.</t>
        </is>
      </c>
      <c r="J584" s="30" t="inlineStr">
        <is>
          <t>Pricing skill check (master notes)</t>
        </is>
      </c>
      <c r="K584" s="30" t="n"/>
    </row>
    <row r="585" ht="22.35" customHeight="1" s="24">
      <c r="A585" s="28" t="n"/>
      <c r="B585" s="30" t="n"/>
      <c r="C585" s="30" t="inlineStr">
        <is>
          <t>DC-04B</t>
        </is>
      </c>
      <c r="D585" s="30" t="inlineStr">
        <is>
          <t>Birthday Designer Collection IV</t>
        </is>
      </c>
      <c r="E585" s="30" t="inlineStr">
        <is>
          <t>Designer Collection</t>
        </is>
      </c>
      <c r="F585" s="30" t="inlineStr">
        <is>
          <t>Master note (info)</t>
        </is>
      </c>
      <c r="G585" s="30" t="inlineStr">
        <is>
          <t>Master</t>
        </is>
      </c>
      <c r="H585" s="30" t="inlineStr">
        <is>
          <t>Florist's choice (generic designer stems)</t>
        </is>
      </c>
      <c r="I585" s="30" t="inlineStr">
        <is>
          <t>Recipe uses generic 'designer stems' — photo/description should say florist's choice.</t>
        </is>
      </c>
      <c r="J585" s="30" t="inlineStr">
        <is>
          <t>Pricing skill check (master notes)</t>
        </is>
      </c>
      <c r="K585" s="30" t="n"/>
    </row>
    <row r="586" ht="22.35" customHeight="1" s="24">
      <c r="A586" s="28" t="n"/>
      <c r="B586" s="30" t="n"/>
      <c r="C586" s="30" t="inlineStr">
        <is>
          <t>DC112-01</t>
        </is>
      </c>
      <c r="D586" s="30" t="inlineStr">
        <is>
          <t>Designers Collection I</t>
        </is>
      </c>
      <c r="E586" s="30" t="inlineStr">
        <is>
          <t>Designer Collection</t>
        </is>
      </c>
      <c r="F586" s="30" t="inlineStr">
        <is>
          <t>Master note (info)</t>
        </is>
      </c>
      <c r="G586" s="30" t="inlineStr">
        <is>
          <t>Master</t>
        </is>
      </c>
      <c r="H586" s="30" t="inlineStr">
        <is>
          <t>Florist's choice (generic designer stems)</t>
        </is>
      </c>
      <c r="I586" s="30" t="inlineStr">
        <is>
          <t>Recipe uses generic 'designer stems' — photo/description should say florist's choice.</t>
        </is>
      </c>
      <c r="J586" s="30" t="inlineStr">
        <is>
          <t>Pricing skill check (master notes)</t>
        </is>
      </c>
      <c r="K586" s="30" t="n"/>
    </row>
    <row r="587" ht="22.35" customHeight="1" s="24">
      <c r="A587" s="28" t="n"/>
      <c r="B587" s="30" t="n"/>
      <c r="C587" s="30" t="inlineStr">
        <is>
          <t>DC112-01A</t>
        </is>
      </c>
      <c r="D587" s="30" t="inlineStr">
        <is>
          <t>Designers Collection I</t>
        </is>
      </c>
      <c r="E587" s="30" t="inlineStr">
        <is>
          <t>Designer Collection</t>
        </is>
      </c>
      <c r="F587" s="30" t="inlineStr">
        <is>
          <t>Master note (info)</t>
        </is>
      </c>
      <c r="G587" s="30" t="inlineStr">
        <is>
          <t>Master</t>
        </is>
      </c>
      <c r="H587" s="30" t="inlineStr">
        <is>
          <t>Florist's choice (generic designer stems)</t>
        </is>
      </c>
      <c r="I587" s="30" t="inlineStr">
        <is>
          <t>Recipe uses generic 'designer stems' — photo/description should say florist's choice.</t>
        </is>
      </c>
      <c r="J587" s="30" t="inlineStr">
        <is>
          <t>Pricing skill check (master notes)</t>
        </is>
      </c>
      <c r="K587" s="30" t="n"/>
    </row>
    <row r="588" ht="22.35" customHeight="1" s="24">
      <c r="A588" s="28" t="n"/>
      <c r="B588" s="30" t="n"/>
      <c r="C588" s="30" t="inlineStr">
        <is>
          <t>DC112-02</t>
        </is>
      </c>
      <c r="D588" s="30" t="inlineStr">
        <is>
          <t>Designers Collection II</t>
        </is>
      </c>
      <c r="E588" s="30" t="inlineStr">
        <is>
          <t>Designer Collection</t>
        </is>
      </c>
      <c r="F588" s="30" t="inlineStr">
        <is>
          <t>Master note (info)</t>
        </is>
      </c>
      <c r="G588" s="30" t="inlineStr">
        <is>
          <t>Master</t>
        </is>
      </c>
      <c r="H588" s="30" t="inlineStr">
        <is>
          <t>Florist's choice (generic designer stems)</t>
        </is>
      </c>
      <c r="I588" s="30" t="inlineStr">
        <is>
          <t>Recipe uses generic 'designer stems' — photo/description should say florist's choice.</t>
        </is>
      </c>
      <c r="J588" s="30" t="inlineStr">
        <is>
          <t>Pricing skill check (master notes)</t>
        </is>
      </c>
      <c r="K588" s="30" t="n"/>
    </row>
    <row r="589" ht="22.35" customHeight="1" s="24">
      <c r="A589" s="28" t="n"/>
      <c r="B589" s="30" t="n"/>
      <c r="C589" s="30" t="inlineStr">
        <is>
          <t>DC112-03</t>
        </is>
      </c>
      <c r="D589" s="30" t="inlineStr">
        <is>
          <t>Designers Collection III</t>
        </is>
      </c>
      <c r="E589" s="30" t="inlineStr">
        <is>
          <t>Designer Collection</t>
        </is>
      </c>
      <c r="F589" s="30" t="inlineStr">
        <is>
          <t>Master note (info)</t>
        </is>
      </c>
      <c r="G589" s="30" t="inlineStr">
        <is>
          <t>Master</t>
        </is>
      </c>
      <c r="H589" s="30" t="inlineStr">
        <is>
          <t>Florist's choice (generic designer stems)</t>
        </is>
      </c>
      <c r="I589" s="30" t="inlineStr">
        <is>
          <t>Recipe uses generic 'designer stems' — photo/description should say florist's choice.</t>
        </is>
      </c>
      <c r="J589" s="30" t="inlineStr">
        <is>
          <t>Pricing skill check (master notes)</t>
        </is>
      </c>
      <c r="K589" s="30" t="n"/>
    </row>
    <row r="590" ht="22.35" customHeight="1" s="24">
      <c r="A590" s="28" t="n"/>
      <c r="B590" s="30" t="n"/>
      <c r="C590" s="30" t="inlineStr">
        <is>
          <t>DC112-04</t>
        </is>
      </c>
      <c r="D590" s="30" t="inlineStr">
        <is>
          <t>Designer Collection IV</t>
        </is>
      </c>
      <c r="E590" s="30" t="inlineStr">
        <is>
          <t>Designer Collection</t>
        </is>
      </c>
      <c r="F590" s="30" t="inlineStr">
        <is>
          <t>Master note (info)</t>
        </is>
      </c>
      <c r="G590" s="30" t="inlineStr">
        <is>
          <t>Master</t>
        </is>
      </c>
      <c r="H590" s="30" t="inlineStr">
        <is>
          <t>Florist's choice (generic designer stems)</t>
        </is>
      </c>
      <c r="I590" s="30" t="inlineStr">
        <is>
          <t>Recipe uses generic 'designer stems' — photo/description should say florist's choice.</t>
        </is>
      </c>
      <c r="J590" s="30" t="inlineStr">
        <is>
          <t>Pricing skill check (master notes)</t>
        </is>
      </c>
      <c r="K590" s="30" t="n"/>
    </row>
    <row r="591" ht="22.35" customHeight="1" s="24">
      <c r="A591" s="28" t="n"/>
      <c r="B591" s="30" t="n"/>
      <c r="C591" s="30" t="inlineStr">
        <is>
          <t>DCA-01-00</t>
        </is>
      </c>
      <c r="D591" s="30" t="inlineStr">
        <is>
          <t>Anniversary Designer Collection I</t>
        </is>
      </c>
      <c r="E591" s="30" t="inlineStr">
        <is>
          <t>Designer Collection</t>
        </is>
      </c>
      <c r="F591" s="30" t="inlineStr">
        <is>
          <t>Master note (info)</t>
        </is>
      </c>
      <c r="G591" s="30" t="inlineStr">
        <is>
          <t>Master</t>
        </is>
      </c>
      <c r="H591" s="30" t="inlineStr">
        <is>
          <t>Florist's choice (generic designer stems)</t>
        </is>
      </c>
      <c r="I591" s="30" t="inlineStr">
        <is>
          <t>Recipe uses generic 'designer stems' — photo/description should say florist's choice.</t>
        </is>
      </c>
      <c r="J591" s="30" t="inlineStr">
        <is>
          <t>Pricing skill check (master notes)</t>
        </is>
      </c>
      <c r="K591" s="30" t="n"/>
    </row>
    <row r="592" ht="22.35" customHeight="1" s="24">
      <c r="A592" s="28" t="n"/>
      <c r="B592" s="30" t="n"/>
      <c r="C592" s="30" t="inlineStr">
        <is>
          <t>DCA-02-00</t>
        </is>
      </c>
      <c r="D592" s="30" t="inlineStr">
        <is>
          <t>Anniversary Designer Collection II</t>
        </is>
      </c>
      <c r="E592" s="30" t="inlineStr">
        <is>
          <t>Designer Collection</t>
        </is>
      </c>
      <c r="F592" s="30" t="inlineStr">
        <is>
          <t>Master note (info)</t>
        </is>
      </c>
      <c r="G592" s="30" t="inlineStr">
        <is>
          <t>Master</t>
        </is>
      </c>
      <c r="H592" s="30" t="inlineStr">
        <is>
          <t>Florist's choice (generic designer stems)</t>
        </is>
      </c>
      <c r="I592" s="30" t="inlineStr">
        <is>
          <t>Recipe uses generic 'designer stems' — photo/description should say florist's choice.</t>
        </is>
      </c>
      <c r="J592" s="30" t="inlineStr">
        <is>
          <t>Pricing skill check (master notes)</t>
        </is>
      </c>
      <c r="K592" s="30" t="n"/>
    </row>
    <row r="593" ht="22.35" customHeight="1" s="24">
      <c r="A593" s="28" t="n"/>
      <c r="B593" s="30" t="n"/>
      <c r="C593" s="30" t="inlineStr">
        <is>
          <t>DCA-03-00</t>
        </is>
      </c>
      <c r="D593" s="30" t="inlineStr">
        <is>
          <t>Anniversary Designer Collection III</t>
        </is>
      </c>
      <c r="E593" s="30" t="inlineStr">
        <is>
          <t>Designer Collection</t>
        </is>
      </c>
      <c r="F593" s="30" t="inlineStr">
        <is>
          <t>Master note (info)</t>
        </is>
      </c>
      <c r="G593" s="30" t="inlineStr">
        <is>
          <t>Master</t>
        </is>
      </c>
      <c r="H593" s="30" t="inlineStr">
        <is>
          <t>Florist's choice (generic designer stems)</t>
        </is>
      </c>
      <c r="I593" s="30" t="inlineStr">
        <is>
          <t>Recipe uses generic 'designer stems' — photo/description should say florist's choice.</t>
        </is>
      </c>
      <c r="J593" s="30" t="inlineStr">
        <is>
          <t>Pricing skill check (master notes)</t>
        </is>
      </c>
      <c r="K593" s="30" t="n"/>
    </row>
    <row r="594" ht="22.35" customHeight="1" s="24">
      <c r="A594" s="28" t="n"/>
      <c r="B594" s="30" t="n"/>
      <c r="C594" s="30" t="inlineStr">
        <is>
          <t>DCA-04-00</t>
        </is>
      </c>
      <c r="D594" s="30" t="inlineStr">
        <is>
          <t>Anniversary Designer Collection IV</t>
        </is>
      </c>
      <c r="E594" s="30" t="inlineStr">
        <is>
          <t>Designer Collection</t>
        </is>
      </c>
      <c r="F594" s="30" t="inlineStr">
        <is>
          <t>Master note (info)</t>
        </is>
      </c>
      <c r="G594" s="30" t="inlineStr">
        <is>
          <t>Master</t>
        </is>
      </c>
      <c r="H594" s="30" t="inlineStr">
        <is>
          <t>Florist's choice (generic designer stems)</t>
        </is>
      </c>
      <c r="I594" s="30" t="inlineStr">
        <is>
          <t>Recipe uses generic 'designer stems' — photo/description should say florist's choice.</t>
        </is>
      </c>
      <c r="J594" s="30" t="inlineStr">
        <is>
          <t>Pricing skill check (master notes)</t>
        </is>
      </c>
      <c r="K594" s="30" t="n"/>
    </row>
    <row r="595" ht="22.35" customHeight="1" s="24">
      <c r="A595" s="28" t="n"/>
      <c r="B595" s="30" t="n"/>
      <c r="C595" s="30" t="inlineStr">
        <is>
          <t>DCB-01</t>
        </is>
      </c>
      <c r="D595" s="30" t="inlineStr">
        <is>
          <t>Birthday Designer Collection I</t>
        </is>
      </c>
      <c r="E595" s="30" t="inlineStr">
        <is>
          <t>Designer Collection</t>
        </is>
      </c>
      <c r="F595" s="30" t="inlineStr">
        <is>
          <t>Master note (info)</t>
        </is>
      </c>
      <c r="G595" s="30" t="inlineStr">
        <is>
          <t>Master</t>
        </is>
      </c>
      <c r="H595" s="30" t="inlineStr">
        <is>
          <t>Florist's choice (generic designer stems)</t>
        </is>
      </c>
      <c r="I595" s="30" t="inlineStr">
        <is>
          <t>Recipe uses generic 'designer stems' — photo/description should say florist's choice.</t>
        </is>
      </c>
      <c r="J595" s="30" t="inlineStr">
        <is>
          <t>Pricing skill check (master notes)</t>
        </is>
      </c>
      <c r="K595" s="30" t="n"/>
    </row>
    <row r="596" ht="22.35" customHeight="1" s="24">
      <c r="A596" s="28" t="n"/>
      <c r="B596" s="30" t="n"/>
      <c r="C596" s="30" t="inlineStr">
        <is>
          <t>DCB-01C</t>
        </is>
      </c>
      <c r="D596" s="30" t="inlineStr">
        <is>
          <t>Birthday Designer Collection I Combo</t>
        </is>
      </c>
      <c r="E596" s="30" t="inlineStr">
        <is>
          <t>Designer Collection</t>
        </is>
      </c>
      <c r="F596" s="30" t="inlineStr">
        <is>
          <t>Master note (info)</t>
        </is>
      </c>
      <c r="G596" s="30" t="inlineStr">
        <is>
          <t>Master</t>
        </is>
      </c>
      <c r="H596" s="30" t="inlineStr">
        <is>
          <t>Florist's choice (generic designer stems)</t>
        </is>
      </c>
      <c r="I596" s="30" t="inlineStr">
        <is>
          <t>Recipe uses generic 'designer stems' — photo/description should say florist's choice.</t>
        </is>
      </c>
      <c r="J596" s="30" t="inlineStr">
        <is>
          <t>Pricing skill check (master notes)</t>
        </is>
      </c>
      <c r="K596" s="30" t="n"/>
    </row>
    <row r="597" ht="22.35" customHeight="1" s="24">
      <c r="A597" s="28" t="n"/>
      <c r="B597" s="30" t="n"/>
      <c r="C597" s="30" t="inlineStr">
        <is>
          <t>DCB-02</t>
        </is>
      </c>
      <c r="D597" s="30" t="inlineStr">
        <is>
          <t>Birthday Designer Collection II</t>
        </is>
      </c>
      <c r="E597" s="30" t="inlineStr">
        <is>
          <t>Designer Collection</t>
        </is>
      </c>
      <c r="F597" s="30" t="inlineStr">
        <is>
          <t>Master note (info)</t>
        </is>
      </c>
      <c r="G597" s="30" t="inlineStr">
        <is>
          <t>Master</t>
        </is>
      </c>
      <c r="H597" s="30" t="inlineStr">
        <is>
          <t>Florist's choice (generic designer stems)</t>
        </is>
      </c>
      <c r="I597" s="30" t="inlineStr">
        <is>
          <t>Recipe uses generic 'designer stems' — photo/description should say florist's choice.</t>
        </is>
      </c>
      <c r="J597" s="30" t="inlineStr">
        <is>
          <t>Pricing skill check (master notes)</t>
        </is>
      </c>
      <c r="K597" s="30" t="n"/>
    </row>
    <row r="598" ht="22.35" customHeight="1" s="24">
      <c r="A598" s="28" t="n"/>
      <c r="B598" s="30" t="n"/>
      <c r="C598" s="30" t="inlineStr">
        <is>
          <t>DCB-03</t>
        </is>
      </c>
      <c r="D598" s="30" t="inlineStr">
        <is>
          <t>Birthday Designer Collection III</t>
        </is>
      </c>
      <c r="E598" s="30" t="inlineStr">
        <is>
          <t>Designer Collection</t>
        </is>
      </c>
      <c r="F598" s="30" t="inlineStr">
        <is>
          <t>Master note (info)</t>
        </is>
      </c>
      <c r="G598" s="30" t="inlineStr">
        <is>
          <t>Master</t>
        </is>
      </c>
      <c r="H598" s="30" t="inlineStr">
        <is>
          <t>Florist's choice (generic designer stems)</t>
        </is>
      </c>
      <c r="I598" s="30" t="inlineStr">
        <is>
          <t>Recipe uses generic 'designer stems' — photo/description should say florist's choice.</t>
        </is>
      </c>
      <c r="J598" s="30" t="inlineStr">
        <is>
          <t>Pricing skill check (master notes)</t>
        </is>
      </c>
      <c r="K598" s="30" t="n"/>
    </row>
    <row r="599" ht="22.35" customHeight="1" s="24">
      <c r="A599" s="28" t="n"/>
      <c r="B599" s="30" t="n"/>
      <c r="C599" s="30" t="inlineStr">
        <is>
          <t>DCB-04</t>
        </is>
      </c>
      <c r="D599" s="30" t="inlineStr">
        <is>
          <t>Birthday Designer Collection IV</t>
        </is>
      </c>
      <c r="E599" s="30" t="inlineStr">
        <is>
          <t>Designer Collection</t>
        </is>
      </c>
      <c r="F599" s="30" t="inlineStr">
        <is>
          <t>Master note (info)</t>
        </is>
      </c>
      <c r="G599" s="30" t="inlineStr">
        <is>
          <t>Master</t>
        </is>
      </c>
      <c r="H599" s="30" t="inlineStr">
        <is>
          <t>Florist's choice (generic designer stems)</t>
        </is>
      </c>
      <c r="I599" s="30" t="inlineStr">
        <is>
          <t>Recipe uses generic 'designer stems' — photo/description should say florist's choice.</t>
        </is>
      </c>
      <c r="J599" s="30" t="inlineStr">
        <is>
          <t>Pricing skill check (master notes)</t>
        </is>
      </c>
      <c r="K599" s="30" t="n"/>
    </row>
    <row r="600" ht="22.35" customHeight="1" s="24">
      <c r="A600" s="28" t="n"/>
      <c r="B600" s="30" t="n"/>
      <c r="C600" s="30" t="inlineStr">
        <is>
          <t>DCMJ-01</t>
        </is>
      </c>
      <c r="D600" s="30" t="inlineStr">
        <is>
          <t>Designer Collection Mason Jar I</t>
        </is>
      </c>
      <c r="E600" s="30" t="inlineStr">
        <is>
          <t>Mason Jar</t>
        </is>
      </c>
      <c r="F600" s="30" t="inlineStr">
        <is>
          <t>Master note (info)</t>
        </is>
      </c>
      <c r="G600" s="30" t="inlineStr">
        <is>
          <t>Master</t>
        </is>
      </c>
      <c r="H600" s="30" t="inlineStr">
        <is>
          <t>Florist's choice (generic designer stems)</t>
        </is>
      </c>
      <c r="I600" s="30" t="inlineStr">
        <is>
          <t>Recipe uses generic 'designer stems' — photo/description should say florist's choice.</t>
        </is>
      </c>
      <c r="J600" s="30" t="inlineStr">
        <is>
          <t>Pricing skill check (master notes)</t>
        </is>
      </c>
      <c r="K600" s="30" t="n"/>
    </row>
    <row r="601" ht="22.35" customHeight="1" s="24">
      <c r="A601" s="28" t="n"/>
      <c r="B601" s="30" t="n"/>
      <c r="C601" s="30" t="inlineStr">
        <is>
          <t>DCMJ-01A</t>
        </is>
      </c>
      <c r="D601" s="30" t="inlineStr">
        <is>
          <t>Designer Collection Mason Jar I</t>
        </is>
      </c>
      <c r="E601" s="30" t="inlineStr">
        <is>
          <t>Mason Jar</t>
        </is>
      </c>
      <c r="F601" s="30" t="inlineStr">
        <is>
          <t>Master note (info)</t>
        </is>
      </c>
      <c r="G601" s="30" t="inlineStr">
        <is>
          <t>Master</t>
        </is>
      </c>
      <c r="H601" s="30" t="inlineStr">
        <is>
          <t>Florist's choice (generic designer stems)</t>
        </is>
      </c>
      <c r="I601" s="30" t="inlineStr">
        <is>
          <t>Recipe uses generic 'designer stems' — photo/description should say florist's choice.</t>
        </is>
      </c>
      <c r="J601" s="30" t="inlineStr">
        <is>
          <t>Pricing skill check (master notes)</t>
        </is>
      </c>
      <c r="K601" s="30" t="n"/>
    </row>
    <row r="602" ht="22.35" customHeight="1" s="24">
      <c r="A602" s="28" t="n"/>
      <c r="B602" s="30" t="n"/>
      <c r="C602" s="30" t="inlineStr">
        <is>
          <t>DCMJ-02</t>
        </is>
      </c>
      <c r="D602" s="30" t="inlineStr">
        <is>
          <t>Designer Collection Mason Jar II</t>
        </is>
      </c>
      <c r="E602" s="30" t="inlineStr">
        <is>
          <t>Mason Jar</t>
        </is>
      </c>
      <c r="F602" s="30" t="inlineStr">
        <is>
          <t>Master note (info)</t>
        </is>
      </c>
      <c r="G602" s="30" t="inlineStr">
        <is>
          <t>Master</t>
        </is>
      </c>
      <c r="H602" s="30" t="inlineStr">
        <is>
          <t>Florist's choice (generic designer stems)</t>
        </is>
      </c>
      <c r="I602" s="30" t="inlineStr">
        <is>
          <t>Recipe uses generic 'designer stems' — photo/description should say florist's choice.</t>
        </is>
      </c>
      <c r="J602" s="30" t="inlineStr">
        <is>
          <t>Pricing skill check (master notes)</t>
        </is>
      </c>
      <c r="K602" s="30" t="n"/>
    </row>
    <row r="603" ht="22.35" customHeight="1" s="24">
      <c r="A603" s="28" t="n"/>
      <c r="B603" s="30" t="n"/>
      <c r="C603" s="30" t="inlineStr">
        <is>
          <t>DCMJ-02A</t>
        </is>
      </c>
      <c r="D603" s="30" t="inlineStr">
        <is>
          <t>Designer Collection Mason Jar II</t>
        </is>
      </c>
      <c r="E603" s="30" t="inlineStr">
        <is>
          <t>Mason Jar</t>
        </is>
      </c>
      <c r="F603" s="30" t="inlineStr">
        <is>
          <t>Master note (info)</t>
        </is>
      </c>
      <c r="G603" s="30" t="inlineStr">
        <is>
          <t>Master</t>
        </is>
      </c>
      <c r="H603" s="30" t="inlineStr">
        <is>
          <t>Florist's choice (generic designer stems)</t>
        </is>
      </c>
      <c r="I603" s="30" t="inlineStr">
        <is>
          <t>Recipe uses generic 'designer stems' — photo/description should say florist's choice.</t>
        </is>
      </c>
      <c r="J603" s="30" t="inlineStr">
        <is>
          <t>Pricing skill check (master notes)</t>
        </is>
      </c>
      <c r="K603" s="30" t="n"/>
    </row>
    <row r="604" ht="22.35" customHeight="1" s="24">
      <c r="A604" s="28" t="n"/>
      <c r="B604" s="30" t="n"/>
      <c r="C604" s="30" t="inlineStr">
        <is>
          <t>DCMJ-03</t>
        </is>
      </c>
      <c r="D604" s="30" t="inlineStr">
        <is>
          <t>Designer Collection Mason Jar III</t>
        </is>
      </c>
      <c r="E604" s="30" t="inlineStr">
        <is>
          <t>Mason Jar</t>
        </is>
      </c>
      <c r="F604" s="30" t="inlineStr">
        <is>
          <t>Master note (info)</t>
        </is>
      </c>
      <c r="G604" s="30" t="inlineStr">
        <is>
          <t>Master</t>
        </is>
      </c>
      <c r="H604" s="30" t="inlineStr">
        <is>
          <t>Florist's choice (generic designer stems)</t>
        </is>
      </c>
      <c r="I604" s="30" t="inlineStr">
        <is>
          <t>Recipe uses generic 'designer stems' — photo/description should say florist's choice.</t>
        </is>
      </c>
      <c r="J604" s="30" t="inlineStr">
        <is>
          <t>Pricing skill check (master notes)</t>
        </is>
      </c>
      <c r="K604" s="30" t="n"/>
    </row>
    <row r="605" ht="22.35" customHeight="1" s="24">
      <c r="A605" s="28" t="n"/>
      <c r="B605" s="30" t="n"/>
      <c r="C605" s="30" t="inlineStr">
        <is>
          <t>DCMJ-03A</t>
        </is>
      </c>
      <c r="D605" s="30" t="inlineStr">
        <is>
          <t>Designer Collection Mason Jar III</t>
        </is>
      </c>
      <c r="E605" s="30" t="inlineStr">
        <is>
          <t>Mason Jar</t>
        </is>
      </c>
      <c r="F605" s="30" t="inlineStr">
        <is>
          <t>Master note (info)</t>
        </is>
      </c>
      <c r="G605" s="30" t="inlineStr">
        <is>
          <t>Master</t>
        </is>
      </c>
      <c r="H605" s="30" t="inlineStr">
        <is>
          <t>Florist's choice (generic designer stems)</t>
        </is>
      </c>
      <c r="I605" s="30" t="inlineStr">
        <is>
          <t>Recipe uses generic 'designer stems' — photo/description should say florist's choice.</t>
        </is>
      </c>
      <c r="J605" s="30" t="inlineStr">
        <is>
          <t>Pricing skill check (master notes)</t>
        </is>
      </c>
      <c r="K605" s="30" t="n"/>
    </row>
    <row r="606" ht="22.35" customHeight="1" s="24">
      <c r="A606" s="28" t="n"/>
      <c r="B606" s="30" t="n"/>
      <c r="C606" s="30" t="inlineStr">
        <is>
          <t>DCMJ-04</t>
        </is>
      </c>
      <c r="D606" s="30" t="inlineStr">
        <is>
          <t>Designer Collection Mason Jar IV</t>
        </is>
      </c>
      <c r="E606" s="30" t="inlineStr">
        <is>
          <t>Mason Jar</t>
        </is>
      </c>
      <c r="F606" s="30" t="inlineStr">
        <is>
          <t>Master note (info)</t>
        </is>
      </c>
      <c r="G606" s="30" t="inlineStr">
        <is>
          <t>Master</t>
        </is>
      </c>
      <c r="H606" s="30" t="inlineStr">
        <is>
          <t>Florist's choice (generic designer stems)</t>
        </is>
      </c>
      <c r="I606" s="30" t="inlineStr">
        <is>
          <t>Recipe uses generic 'designer stems' — photo/description should say florist's choice.</t>
        </is>
      </c>
      <c r="J606" s="30" t="inlineStr">
        <is>
          <t>Pricing skill check (master notes)</t>
        </is>
      </c>
      <c r="K606" s="30" t="n"/>
    </row>
    <row r="607" ht="22.35" customHeight="1" s="24">
      <c r="A607" s="28" t="n"/>
      <c r="B607" s="30" t="n"/>
      <c r="C607" s="30" t="inlineStr">
        <is>
          <t>DCMJ-04A</t>
        </is>
      </c>
      <c r="D607" s="30" t="inlineStr">
        <is>
          <t>Designer Collection Mason Jar IV</t>
        </is>
      </c>
      <c r="E607" s="30" t="inlineStr">
        <is>
          <t>Mason Jar</t>
        </is>
      </c>
      <c r="F607" s="30" t="inlineStr">
        <is>
          <t>Master note (info)</t>
        </is>
      </c>
      <c r="G607" s="30" t="inlineStr">
        <is>
          <t>Master</t>
        </is>
      </c>
      <c r="H607" s="30" t="inlineStr">
        <is>
          <t>Florist's choice (generic designer stems)</t>
        </is>
      </c>
      <c r="I607" s="30" t="inlineStr">
        <is>
          <t>Recipe uses generic 'designer stems' — photo/description should say florist's choice.</t>
        </is>
      </c>
      <c r="J607" s="30" t="inlineStr">
        <is>
          <t>Pricing skill check (master notes)</t>
        </is>
      </c>
      <c r="K607" s="30" t="n"/>
    </row>
    <row r="608" ht="22.35" customHeight="1" s="24">
      <c r="A608" s="28" t="n"/>
      <c r="B608" s="30" t="n"/>
      <c r="C608" s="30" t="inlineStr">
        <is>
          <t>DCS-01</t>
        </is>
      </c>
      <c r="D608" s="30" t="inlineStr">
        <is>
          <t>Designer Sympathy Collection I</t>
        </is>
      </c>
      <c r="E608" s="30" t="inlineStr">
        <is>
          <t>Designer Collection</t>
        </is>
      </c>
      <c r="F608" s="30" t="inlineStr">
        <is>
          <t>Master note (info)</t>
        </is>
      </c>
      <c r="G608" s="30" t="inlineStr">
        <is>
          <t>Master</t>
        </is>
      </c>
      <c r="H608" s="30" t="inlineStr">
        <is>
          <t>Florist's choice (generic designer stems)</t>
        </is>
      </c>
      <c r="I608" s="30" t="inlineStr">
        <is>
          <t>Recipe uses generic 'designer stems' — photo/description should say florist's choice.</t>
        </is>
      </c>
      <c r="J608" s="30" t="inlineStr">
        <is>
          <t>Pricing skill check (master notes)</t>
        </is>
      </c>
      <c r="K608" s="30" t="n"/>
    </row>
    <row r="609" ht="22.35" customHeight="1" s="24">
      <c r="A609" s="28" t="n"/>
      <c r="B609" s="30" t="n"/>
      <c r="C609" s="30" t="inlineStr">
        <is>
          <t>DCS-02</t>
        </is>
      </c>
      <c r="D609" s="30" t="inlineStr">
        <is>
          <t>Designer Sympathy Collection II</t>
        </is>
      </c>
      <c r="E609" s="30" t="inlineStr">
        <is>
          <t>Designer Collection</t>
        </is>
      </c>
      <c r="F609" s="30" t="inlineStr">
        <is>
          <t>Master note (info)</t>
        </is>
      </c>
      <c r="G609" s="30" t="inlineStr">
        <is>
          <t>Master</t>
        </is>
      </c>
      <c r="H609" s="30" t="inlineStr">
        <is>
          <t>Florist's choice (generic designer stems)</t>
        </is>
      </c>
      <c r="I609" s="30" t="inlineStr">
        <is>
          <t>Recipe uses generic 'designer stems' — photo/description should say florist's choice.</t>
        </is>
      </c>
      <c r="J609" s="30" t="inlineStr">
        <is>
          <t>Pricing skill check (master notes)</t>
        </is>
      </c>
      <c r="K609" s="30" t="n"/>
    </row>
    <row r="610" ht="22.35" customHeight="1" s="24">
      <c r="A610" s="28" t="n"/>
      <c r="B610" s="30" t="n"/>
      <c r="C610" s="30" t="inlineStr">
        <is>
          <t>DCS-03</t>
        </is>
      </c>
      <c r="D610" s="30" t="inlineStr">
        <is>
          <t>Designer Sympathy Collection III</t>
        </is>
      </c>
      <c r="E610" s="30" t="inlineStr">
        <is>
          <t>Designer Collection</t>
        </is>
      </c>
      <c r="F610" s="30" t="inlineStr">
        <is>
          <t>Master note (info)</t>
        </is>
      </c>
      <c r="G610" s="30" t="inlineStr">
        <is>
          <t>Master</t>
        </is>
      </c>
      <c r="H610" s="30" t="inlineStr">
        <is>
          <t>Florist's choice (generic designer stems)</t>
        </is>
      </c>
      <c r="I610" s="30" t="inlineStr">
        <is>
          <t>Recipe uses generic 'designer stems' — photo/description should say florist's choice.</t>
        </is>
      </c>
      <c r="J610" s="30" t="inlineStr">
        <is>
          <t>Pricing skill check (master notes)</t>
        </is>
      </c>
      <c r="K610" s="30" t="n"/>
    </row>
    <row r="611" ht="22.35" customHeight="1" s="24">
      <c r="A611" s="28" t="n"/>
      <c r="B611" s="30" t="n"/>
      <c r="C611" s="30" t="inlineStr">
        <is>
          <t>DCS-04</t>
        </is>
      </c>
      <c r="D611" s="30" t="inlineStr">
        <is>
          <t>Designer Sympathy Collection IV</t>
        </is>
      </c>
      <c r="E611" s="30" t="inlineStr">
        <is>
          <t>Designer Collection</t>
        </is>
      </c>
      <c r="F611" s="30" t="inlineStr">
        <is>
          <t>Master note (info)</t>
        </is>
      </c>
      <c r="G611" s="30" t="inlineStr">
        <is>
          <t>Master</t>
        </is>
      </c>
      <c r="H611" s="30" t="inlineStr">
        <is>
          <t>Florist's choice (generic designer stems)</t>
        </is>
      </c>
      <c r="I611" s="30" t="inlineStr">
        <is>
          <t>Recipe uses generic 'designer stems' — photo/description should say florist's choice.</t>
        </is>
      </c>
      <c r="J611" s="30" t="inlineStr">
        <is>
          <t>Pricing skill check (master notes)</t>
        </is>
      </c>
      <c r="K611" s="30" t="n"/>
    </row>
    <row r="612" ht="22.35" customHeight="1" s="24">
      <c r="A612" s="28" t="n"/>
      <c r="B612" s="30" t="n"/>
      <c r="C612" s="30" t="inlineStr">
        <is>
          <t>EEEE</t>
        </is>
      </c>
      <c r="D612" s="30" t="inlineStr">
        <is>
          <t>WWWW</t>
        </is>
      </c>
      <c r="E612" s="30" t="inlineStr">
        <is>
          <t>Designer Collection</t>
        </is>
      </c>
      <c r="F612" s="30" t="inlineStr">
        <is>
          <t>Master note (info)</t>
        </is>
      </c>
      <c r="G612" s="30" t="inlineStr">
        <is>
          <t>Master</t>
        </is>
      </c>
      <c r="H612" s="30" t="inlineStr">
        <is>
          <t>Florist's choice (generic designer stems)</t>
        </is>
      </c>
      <c r="I612" s="30" t="inlineStr">
        <is>
          <t>Recipe uses generic 'designer stems' — photo/description should say florist's choice.</t>
        </is>
      </c>
      <c r="J612" s="30" t="inlineStr">
        <is>
          <t>Pricing skill check (master notes)</t>
        </is>
      </c>
      <c r="K612" s="30" t="n"/>
    </row>
    <row r="613" ht="22.35" customHeight="1" s="24">
      <c r="A613" s="28" t="n"/>
      <c r="B613" s="30" t="n"/>
      <c r="C613" s="30" t="inlineStr">
        <is>
          <t>MDMJ-03</t>
        </is>
      </c>
      <c r="D613" s="30" t="inlineStr">
        <is>
          <t>Blooming Glory in Mason Jar</t>
        </is>
      </c>
      <c r="E613" s="30" t="inlineStr">
        <is>
          <t>Mason Jar</t>
        </is>
      </c>
      <c r="F613" s="30" t="inlineStr">
        <is>
          <t>Master note (info)</t>
        </is>
      </c>
      <c r="G613" s="30" t="inlineStr">
        <is>
          <t>Master</t>
        </is>
      </c>
      <c r="H613" s="30" t="inlineStr">
        <is>
          <t>Florist's choice (generic designer stems)</t>
        </is>
      </c>
      <c r="I613" s="30" t="inlineStr">
        <is>
          <t>Recipe uses generic 'designer stems' — photo/description should say florist's choice.</t>
        </is>
      </c>
      <c r="J613" s="30" t="inlineStr">
        <is>
          <t>Pricing skill check (master notes)</t>
        </is>
      </c>
      <c r="K613" s="30" t="n"/>
    </row>
    <row r="614" ht="22.35" customHeight="1" s="24">
      <c r="A614" s="28" t="n"/>
      <c r="B614" s="30" t="n"/>
      <c r="C614" s="30" t="inlineStr">
        <is>
          <t>AU11-30</t>
        </is>
      </c>
      <c r="D614" s="30" t="inlineStr">
        <is>
          <t>Half-Dozen Red Roses</t>
        </is>
      </c>
      <c r="E614" s="30" t="inlineStr">
        <is>
          <t>Bouquets</t>
        </is>
      </c>
      <c r="F614" s="30" t="inlineStr">
        <is>
          <t>Master note (info)</t>
        </is>
      </c>
      <c r="G614" s="30" t="inlineStr">
        <is>
          <t>Master</t>
        </is>
      </c>
      <c r="H614" s="30" t="inlineStr">
        <is>
          <t>Master note (handled by suggested recipe)</t>
        </is>
      </c>
      <c r="I614" s="30" t="inlineStr">
        <is>
          <t>Title says 6 roses but Standard recipe has 12 roses.</t>
        </is>
      </c>
      <c r="J614" s="30" t="inlineStr">
        <is>
          <t>Pricing skill check (master notes)</t>
        </is>
      </c>
      <c r="K614" s="30" t="n"/>
    </row>
    <row r="615" ht="22.35" customHeight="1" s="24">
      <c r="A615" s="28" t="n"/>
      <c r="B615" s="30" t="n"/>
      <c r="C615" s="30" t="inlineStr">
        <is>
          <t>AU219-40</t>
        </is>
      </c>
      <c r="D615" s="30" t="inlineStr">
        <is>
          <t>Pink and Lavender Bouquet</t>
        </is>
      </c>
      <c r="E615" s="30" t="inlineStr">
        <is>
          <t>Bouquets</t>
        </is>
      </c>
      <c r="F615" s="30" t="inlineStr">
        <is>
          <t>Master note (info)</t>
        </is>
      </c>
      <c r="G615" s="30" t="inlineStr">
        <is>
          <t>Master</t>
        </is>
      </c>
      <c r="H615" s="30" t="inlineStr">
        <is>
          <t>Master note (handled by suggested recipe)</t>
        </is>
      </c>
      <c r="I615" s="30" t="inlineStr">
        <is>
          <t>Title says Pink but no pink flowers in the Standard recipe.</t>
        </is>
      </c>
      <c r="J615" s="30" t="inlineStr">
        <is>
          <t>Pricing skill check (master notes)</t>
        </is>
      </c>
      <c r="K615" s="30" t="n"/>
    </row>
    <row r="616" ht="22.35" customHeight="1" s="24">
      <c r="A616" s="28" t="n"/>
      <c r="B616" s="30" t="n"/>
      <c r="C616" s="30" t="inlineStr">
        <is>
          <t>AUMJ100-05</t>
        </is>
      </c>
      <c r="D616" s="30" t="inlineStr">
        <is>
          <t>Gerbera Daisies in Mason Jar</t>
        </is>
      </c>
      <c r="E616" s="30" t="inlineStr">
        <is>
          <t>Mason Jar</t>
        </is>
      </c>
      <c r="F616" s="30" t="inlineStr">
        <is>
          <t>Master note (info)</t>
        </is>
      </c>
      <c r="G616" s="30" t="inlineStr">
        <is>
          <t>Master</t>
        </is>
      </c>
      <c r="H616" s="30" t="inlineStr">
        <is>
          <t>Master note (handled by suggested recipe)</t>
        </is>
      </c>
      <c r="I616" s="30" t="inlineStr">
        <is>
          <t>Mason Jar product without a Mason Jar in the recipe.</t>
        </is>
      </c>
      <c r="J616" s="30" t="inlineStr">
        <is>
          <t>Pricing skill check (master notes)</t>
        </is>
      </c>
      <c r="K616" s="30" t="n"/>
    </row>
    <row r="617" ht="22.35" customHeight="1" s="24">
      <c r="A617" s="28" t="n"/>
      <c r="B617" s="30" t="n"/>
      <c r="C617" s="30" t="inlineStr">
        <is>
          <t>MJ100-17</t>
        </is>
      </c>
      <c r="D617" s="30" t="inlineStr">
        <is>
          <t>Thirty Blooms of Alstroemeria in Mason Jar</t>
        </is>
      </c>
      <c r="E617" s="30" t="inlineStr">
        <is>
          <t>Mason Jar</t>
        </is>
      </c>
      <c r="F617" s="30" t="inlineStr">
        <is>
          <t>Master note (info)</t>
        </is>
      </c>
      <c r="G617" s="30" t="inlineStr">
        <is>
          <t>Master</t>
        </is>
      </c>
      <c r="H617" s="30" t="inlineStr">
        <is>
          <t>Master note (handled by suggested recipe)</t>
        </is>
      </c>
      <c r="I617" s="30" t="inlineStr">
        <is>
          <t>Mason Jar product without a Mason Jar in the recipe.</t>
        </is>
      </c>
      <c r="J617" s="30" t="inlineStr">
        <is>
          <t>Pricing skill check (master notes)</t>
        </is>
      </c>
      <c r="K617" s="30" t="n"/>
    </row>
    <row r="618" ht="22.35" customHeight="1" s="24">
      <c r="A618" s="28" t="n"/>
      <c r="B618" s="30" t="n"/>
      <c r="C618" s="30" t="inlineStr">
        <is>
          <t>MJ102-53</t>
        </is>
      </c>
      <c r="D618" s="30" t="inlineStr">
        <is>
          <t>Make a Wish in Mason Jar Birthday Bundle</t>
        </is>
      </c>
      <c r="E618" s="30" t="inlineStr">
        <is>
          <t>Mason Jar</t>
        </is>
      </c>
      <c r="F618" s="30" t="inlineStr">
        <is>
          <t>Master note (info)</t>
        </is>
      </c>
      <c r="G618" s="30" t="inlineStr">
        <is>
          <t>Master</t>
        </is>
      </c>
      <c r="H618" s="30" t="inlineStr">
        <is>
          <t>Master note (handled by suggested recipe)</t>
        </is>
      </c>
      <c r="I618" s="30" t="inlineStr">
        <is>
          <t>Mason Jar product without a Mason Jar in the recipe.</t>
        </is>
      </c>
      <c r="J618" s="30" t="inlineStr">
        <is>
          <t>Pricing skill check (master notes)</t>
        </is>
      </c>
      <c r="K618" s="30" t="n"/>
    </row>
    <row r="619" ht="22.35" customHeight="1" s="24">
      <c r="A619" s="28" t="n"/>
      <c r="B619" s="30" t="n"/>
      <c r="C619" s="30" t="inlineStr">
        <is>
          <t>MJ11-57</t>
        </is>
      </c>
      <c r="D619" s="30" t="inlineStr">
        <is>
          <t>Half Dozen Assorted Roses in Mason Jar</t>
        </is>
      </c>
      <c r="E619" s="30" t="inlineStr">
        <is>
          <t>Mason Jar</t>
        </is>
      </c>
      <c r="F619" s="30" t="inlineStr">
        <is>
          <t>Master note (info)</t>
        </is>
      </c>
      <c r="G619" s="30" t="inlineStr">
        <is>
          <t>Master</t>
        </is>
      </c>
      <c r="H619" s="30" t="inlineStr">
        <is>
          <t>Master note (handled by suggested recipe)</t>
        </is>
      </c>
      <c r="I619" s="30" t="inlineStr">
        <is>
          <t>Mason Jar product without a Mason Jar in the recipe.</t>
        </is>
      </c>
      <c r="J619" s="30" t="inlineStr">
        <is>
          <t>Pricing skill check (master notes)</t>
        </is>
      </c>
      <c r="K619" s="30" t="n"/>
    </row>
    <row r="620" ht="22.35" customHeight="1" s="24">
      <c r="A620" s="28" t="n"/>
      <c r="B620" s="30" t="n"/>
      <c r="C620" s="30" t="inlineStr">
        <is>
          <t>DCA-02-00</t>
        </is>
      </c>
      <c r="D620" s="30" t="inlineStr">
        <is>
          <t>Anniversary Designer Collection II</t>
        </is>
      </c>
      <c r="E620" s="30" t="inlineStr">
        <is>
          <t>Designer Collection</t>
        </is>
      </c>
      <c r="F620" s="30" t="inlineStr">
        <is>
          <t>Master note (info)</t>
        </is>
      </c>
      <c r="G620" s="30" t="inlineStr">
        <is>
          <t>Master</t>
        </is>
      </c>
      <c r="H620" s="30" t="inlineStr">
        <is>
          <t>Pricing check (not a recipe issue)</t>
        </is>
      </c>
      <c r="I620" s="30" t="inlineStr">
        <is>
          <t>Source file has an 'Order Flag = CHECK' on this product.</t>
        </is>
      </c>
      <c r="J620" s="30" t="inlineStr">
        <is>
          <t>Pricing skill check (master notes)</t>
        </is>
      </c>
      <c r="K620" s="30" t="n"/>
    </row>
    <row r="621" ht="22.35" customHeight="1" s="24">
      <c r="A621" s="28" t="n"/>
      <c r="B621" s="30" t="n"/>
      <c r="C621" s="30" t="inlineStr">
        <is>
          <t>DCA-03-00</t>
        </is>
      </c>
      <c r="D621" s="30" t="inlineStr">
        <is>
          <t>Anniversary Designer Collection III</t>
        </is>
      </c>
      <c r="E621" s="30" t="inlineStr">
        <is>
          <t>Designer Collection</t>
        </is>
      </c>
      <c r="F621" s="30" t="inlineStr">
        <is>
          <t>Master note (info)</t>
        </is>
      </c>
      <c r="G621" s="30" t="inlineStr">
        <is>
          <t>Master</t>
        </is>
      </c>
      <c r="H621" s="30" t="inlineStr">
        <is>
          <t>Pricing check (not a recipe issue)</t>
        </is>
      </c>
      <c r="I621" s="30" t="inlineStr">
        <is>
          <t>Source file has an 'Order Flag = CHECK' on this product.</t>
        </is>
      </c>
      <c r="J621" s="30" t="inlineStr">
        <is>
          <t>Pricing skill check (master notes)</t>
        </is>
      </c>
      <c r="K621" s="30" t="n"/>
    </row>
    <row r="622" ht="22.35" customHeight="1" s="24">
      <c r="A622" s="28" t="n"/>
      <c r="B622" s="30" t="n"/>
      <c r="C622" s="30" t="inlineStr">
        <is>
          <t>DCA-04-00</t>
        </is>
      </c>
      <c r="D622" s="30" t="inlineStr">
        <is>
          <t>Anniversary Designer Collection IV</t>
        </is>
      </c>
      <c r="E622" s="30" t="inlineStr">
        <is>
          <t>Designer Collection</t>
        </is>
      </c>
      <c r="F622" s="30" t="inlineStr">
        <is>
          <t>Master note (info)</t>
        </is>
      </c>
      <c r="G622" s="30" t="inlineStr">
        <is>
          <t>Master</t>
        </is>
      </c>
      <c r="H622" s="30" t="inlineStr">
        <is>
          <t>Pricing check (not a recipe issue)</t>
        </is>
      </c>
      <c r="I622" s="30" t="inlineStr">
        <is>
          <t>Source file has an 'Order Flag = CHECK' on this product.</t>
        </is>
      </c>
      <c r="J622" s="30" t="inlineStr">
        <is>
          <t>Pricing skill check (master notes)</t>
        </is>
      </c>
      <c r="K622" s="30" t="n"/>
    </row>
    <row r="623" ht="22.35" customHeight="1" s="24">
      <c r="A623" s="28" t="n"/>
      <c r="B623" s="30" t="n"/>
      <c r="C623" s="30" t="inlineStr">
        <is>
          <t>DCB-02</t>
        </is>
      </c>
      <c r="D623" s="30" t="inlineStr">
        <is>
          <t>Birthday Designer Collection II</t>
        </is>
      </c>
      <c r="E623" s="30" t="inlineStr">
        <is>
          <t>Designer Collection</t>
        </is>
      </c>
      <c r="F623" s="30" t="inlineStr">
        <is>
          <t>Master note (info)</t>
        </is>
      </c>
      <c r="G623" s="30" t="inlineStr">
        <is>
          <t>Master</t>
        </is>
      </c>
      <c r="H623" s="30" t="inlineStr">
        <is>
          <t>Pricing check (not a recipe issue)</t>
        </is>
      </c>
      <c r="I623" s="30" t="inlineStr">
        <is>
          <t>Source file has an 'Order Flag = CHECK' on this product.</t>
        </is>
      </c>
      <c r="J623" s="30" t="inlineStr">
        <is>
          <t>Pricing skill check (master notes)</t>
        </is>
      </c>
      <c r="K623" s="30" t="n"/>
    </row>
    <row r="624" ht="22.35" customHeight="1" s="24">
      <c r="A624" s="28" t="n"/>
      <c r="B624" s="30" t="n"/>
      <c r="C624" s="30" t="inlineStr">
        <is>
          <t>DCB-03</t>
        </is>
      </c>
      <c r="D624" s="30" t="inlineStr">
        <is>
          <t>Birthday Designer Collection III</t>
        </is>
      </c>
      <c r="E624" s="30" t="inlineStr">
        <is>
          <t>Designer Collection</t>
        </is>
      </c>
      <c r="F624" s="30" t="inlineStr">
        <is>
          <t>Master note (info)</t>
        </is>
      </c>
      <c r="G624" s="30" t="inlineStr">
        <is>
          <t>Master</t>
        </is>
      </c>
      <c r="H624" s="30" t="inlineStr">
        <is>
          <t>Pricing check (not a recipe issue)</t>
        </is>
      </c>
      <c r="I624" s="30" t="inlineStr">
        <is>
          <t>Source file has an 'Order Flag = CHECK' on this product.</t>
        </is>
      </c>
      <c r="J624" s="30" t="inlineStr">
        <is>
          <t>Pricing skill check (master notes)</t>
        </is>
      </c>
      <c r="K624" s="30" t="n"/>
    </row>
    <row r="625" ht="22.35" customHeight="1" s="24">
      <c r="A625" s="28" t="n"/>
      <c r="B625" s="30" t="n"/>
      <c r="C625" s="30" t="inlineStr">
        <is>
          <t>DCB-04</t>
        </is>
      </c>
      <c r="D625" s="30" t="inlineStr">
        <is>
          <t>Birthday Designer Collection IV</t>
        </is>
      </c>
      <c r="E625" s="30" t="inlineStr">
        <is>
          <t>Designer Collection</t>
        </is>
      </c>
      <c r="F625" s="30" t="inlineStr">
        <is>
          <t>Master note (info)</t>
        </is>
      </c>
      <c r="G625" s="30" t="inlineStr">
        <is>
          <t>Master</t>
        </is>
      </c>
      <c r="H625" s="30" t="inlineStr">
        <is>
          <t>Pricing check (not a recipe issue)</t>
        </is>
      </c>
      <c r="I625" s="30" t="inlineStr">
        <is>
          <t>Source file has an 'Order Flag = CHECK' on this product.</t>
        </is>
      </c>
      <c r="J625" s="30" t="inlineStr">
        <is>
          <t>Pricing skill check (master notes)</t>
        </is>
      </c>
      <c r="K625" s="30" t="n"/>
    </row>
    <row r="626" ht="22.35" customHeight="1" s="24">
      <c r="A626" s="28" t="n"/>
      <c r="B626" s="30" t="n"/>
      <c r="C626" s="30" t="inlineStr">
        <is>
          <t>DCS-02</t>
        </is>
      </c>
      <c r="D626" s="30" t="inlineStr">
        <is>
          <t>Designer Sympathy Collection II</t>
        </is>
      </c>
      <c r="E626" s="30" t="inlineStr">
        <is>
          <t>Designer Collection</t>
        </is>
      </c>
      <c r="F626" s="30" t="inlineStr">
        <is>
          <t>Master note (info)</t>
        </is>
      </c>
      <c r="G626" s="30" t="inlineStr">
        <is>
          <t>Master</t>
        </is>
      </c>
      <c r="H626" s="30" t="inlineStr">
        <is>
          <t>Pricing check (not a recipe issue)</t>
        </is>
      </c>
      <c r="I626" s="30" t="inlineStr">
        <is>
          <t>Source file has an 'Order Flag = CHECK' on this product.</t>
        </is>
      </c>
      <c r="J626" s="30" t="inlineStr">
        <is>
          <t>Pricing skill check (master notes)</t>
        </is>
      </c>
      <c r="K626" s="30" t="n"/>
    </row>
    <row r="627" ht="22.35" customHeight="1" s="24">
      <c r="A627" s="28" t="n"/>
      <c r="B627" s="30" t="n"/>
      <c r="C627" s="30" t="inlineStr">
        <is>
          <t>LF100-587</t>
        </is>
      </c>
      <c r="D627" s="30" t="inlineStr">
        <is>
          <t>Warm Regards Wreath</t>
        </is>
      </c>
      <c r="E627" s="30" t="inlineStr">
        <is>
          <t>Sympathy</t>
        </is>
      </c>
      <c r="F627" s="30" t="inlineStr">
        <is>
          <t>Master note (info)</t>
        </is>
      </c>
      <c r="G627" s="30" t="inlineStr">
        <is>
          <t>Master</t>
        </is>
      </c>
      <c r="H627" s="30" t="inlineStr">
        <is>
          <t>Single variant (info)</t>
        </is>
      </c>
      <c r="I627" s="30" t="inlineStr">
        <is>
          <t>Single variant (Standard only) — OK if intentional.</t>
        </is>
      </c>
      <c r="J627" s="30" t="inlineStr">
        <is>
          <t>Pricing skill check (master notes)</t>
        </is>
      </c>
      <c r="K627" s="30" t="n"/>
    </row>
    <row r="628" ht="22.35" customHeight="1" s="24">
      <c r="A628" s="28" t="n"/>
      <c r="B628" s="30" t="n"/>
      <c r="C628" s="30" t="inlineStr">
        <is>
          <t>MJ11-57</t>
        </is>
      </c>
      <c r="D628" s="30" t="inlineStr">
        <is>
          <t>Half Dozen Assorted Roses in Mason Jar</t>
        </is>
      </c>
      <c r="E628" s="30" t="inlineStr">
        <is>
          <t>Mason Jar</t>
        </is>
      </c>
      <c r="F628" s="30" t="inlineStr">
        <is>
          <t>Master note (info)</t>
        </is>
      </c>
      <c r="G628" s="30" t="inlineStr">
        <is>
          <t>Master</t>
        </is>
      </c>
      <c r="H628" s="30" t="inlineStr">
        <is>
          <t>Sizes identical (no upgrade)</t>
        </is>
      </c>
      <c r="I628" s="30" t="inlineStr">
        <is>
          <t>Deluxe recipe identical to Standard — no upgrade for the customer.</t>
        </is>
      </c>
      <c r="J628" s="30" t="inlineStr">
        <is>
          <t>Pricing skill check (master notes)</t>
        </is>
      </c>
      <c r="K628" s="30" t="n"/>
    </row>
    <row r="629" ht="22.35" customHeight="1" s="24">
      <c r="A629" s="28" t="n"/>
      <c r="B629" s="30" t="n"/>
      <c r="C629" s="30" t="inlineStr">
        <is>
          <t>AC20-01</t>
        </is>
      </c>
      <c r="D629" s="30" t="inlineStr">
        <is>
          <t>20 Blooms of Chysanthemum</t>
        </is>
      </c>
      <c r="E629" s="30" t="inlineStr">
        <is>
          <t>Bouquets</t>
        </is>
      </c>
      <c r="F629" s="30" t="inlineStr">
        <is>
          <t>Master note (info)</t>
        </is>
      </c>
      <c r="G629" s="30" t="inlineStr">
        <is>
          <t>Master</t>
        </is>
      </c>
      <c r="H629" s="30" t="inlineStr">
        <is>
          <t>Title clean-up</t>
        </is>
      </c>
      <c r="I629" s="30" t="inlineStr">
        <is>
          <t>Title typo: 'Chysanthemum' → 'Chrysanthemum'.</t>
        </is>
      </c>
      <c r="J629" s="30" t="inlineStr">
        <is>
          <t>Pricing skill check (master notes)</t>
        </is>
      </c>
      <c r="K629" s="30" t="n"/>
    </row>
    <row r="630" ht="22.35" customHeight="1" s="24">
      <c r="A630" s="28" t="n"/>
      <c r="B630" s="30" t="n"/>
      <c r="C630" s="30" t="inlineStr">
        <is>
          <t>AU15-140</t>
        </is>
      </c>
      <c r="D630" s="30" t="inlineStr">
        <is>
          <t>150 Blooms of Peruvian Lillies</t>
        </is>
      </c>
      <c r="E630" s="30" t="inlineStr">
        <is>
          <t>Bouquets</t>
        </is>
      </c>
      <c r="F630" s="30" t="inlineStr">
        <is>
          <t>Master note (info)</t>
        </is>
      </c>
      <c r="G630" s="30" t="inlineStr">
        <is>
          <t>Master</t>
        </is>
      </c>
      <c r="H630" s="30" t="inlineStr">
        <is>
          <t>Title clean-up</t>
        </is>
      </c>
      <c r="I630" s="30" t="inlineStr">
        <is>
          <t>Title typo: 'Lillies' → 'Lilies'.</t>
        </is>
      </c>
      <c r="J630" s="30" t="inlineStr">
        <is>
          <t>Pricing skill check (master notes)</t>
        </is>
      </c>
      <c r="K630" s="30" t="n"/>
    </row>
    <row r="631" ht="22.35" customHeight="1" s="24">
      <c r="A631" s="28" t="n"/>
      <c r="B631" s="30" t="n"/>
      <c r="C631" s="30" t="inlineStr">
        <is>
          <t>AU200-10</t>
        </is>
      </c>
      <c r="D631" s="30" t="inlineStr">
        <is>
          <t>Yellow Alstromeria</t>
        </is>
      </c>
      <c r="E631" s="30" t="inlineStr">
        <is>
          <t>Bouquets</t>
        </is>
      </c>
      <c r="F631" s="30" t="inlineStr">
        <is>
          <t>Master note (info)</t>
        </is>
      </c>
      <c r="G631" s="30" t="inlineStr">
        <is>
          <t>Master</t>
        </is>
      </c>
      <c r="H631" s="30" t="inlineStr">
        <is>
          <t>Title clean-up</t>
        </is>
      </c>
      <c r="I631" s="30" t="inlineStr">
        <is>
          <t>Title typo: 'Alstromeria' → 'Alstroemeria'.</t>
        </is>
      </c>
      <c r="J631" s="30" t="inlineStr">
        <is>
          <t>Pricing skill check (master notes)</t>
        </is>
      </c>
      <c r="K631" s="30" t="n"/>
    </row>
    <row r="632" ht="22.35" customHeight="1" s="24">
      <c r="A632" s="28" t="n"/>
      <c r="B632" s="30" t="n"/>
      <c r="C632" s="30" t="inlineStr">
        <is>
          <t>AUMJ100-12</t>
        </is>
      </c>
      <c r="D632" s="30" t="inlineStr">
        <is>
          <t>Classic Whites In Mason Jar</t>
        </is>
      </c>
      <c r="E632" s="30" t="inlineStr">
        <is>
          <t>Mason Jar</t>
        </is>
      </c>
      <c r="F632" s="30" t="inlineStr">
        <is>
          <t>Master note (info)</t>
        </is>
      </c>
      <c r="G632" s="30" t="inlineStr">
        <is>
          <t>Master</t>
        </is>
      </c>
      <c r="H632" s="30" t="inlineStr">
        <is>
          <t>Title clean-up</t>
        </is>
      </c>
      <c r="I632" s="30" t="inlineStr">
        <is>
          <t>Title capitalisation inconsistent with sibling products (e.g. "In/Of" vs "in/of").</t>
        </is>
      </c>
      <c r="J632" s="30" t="inlineStr">
        <is>
          <t>Pricing skill check (master notes)</t>
        </is>
      </c>
      <c r="K632" s="30" t="n"/>
    </row>
    <row r="633" ht="22.35" customHeight="1" s="24">
      <c r="A633" s="28" t="n"/>
      <c r="B633" s="30" t="n"/>
      <c r="C633" s="30" t="inlineStr">
        <is>
          <t>AUSMJ100-11</t>
        </is>
      </c>
      <c r="D633" s="30" t="inlineStr">
        <is>
          <t>Breathtaking Blooms In Mason Jar</t>
        </is>
      </c>
      <c r="E633" s="30" t="inlineStr">
        <is>
          <t>Mason Jar</t>
        </is>
      </c>
      <c r="F633" s="30" t="inlineStr">
        <is>
          <t>Master note (info)</t>
        </is>
      </c>
      <c r="G633" s="30" t="inlineStr">
        <is>
          <t>Master</t>
        </is>
      </c>
      <c r="H633" s="30" t="inlineStr">
        <is>
          <t>Title clean-up</t>
        </is>
      </c>
      <c r="I633" s="30" t="inlineStr">
        <is>
          <t>Title capitalisation inconsistent with sibling products (e.g. "In/Of" vs "in/of").</t>
        </is>
      </c>
      <c r="J633" s="30" t="inlineStr">
        <is>
          <t>Pricing skill check (master notes)</t>
        </is>
      </c>
      <c r="K633" s="30" t="n"/>
    </row>
    <row r="634" ht="22.35" customHeight="1" s="24">
      <c r="A634" s="28" t="n"/>
      <c r="B634" s="30" t="n"/>
      <c r="C634" s="30" t="inlineStr">
        <is>
          <t>DC112-01</t>
        </is>
      </c>
      <c r="D634" s="30" t="inlineStr">
        <is>
          <t>Designers Collection I</t>
        </is>
      </c>
      <c r="E634" s="30" t="inlineStr">
        <is>
          <t>Designer Collection</t>
        </is>
      </c>
      <c r="F634" s="30" t="inlineStr">
        <is>
          <t>Master note (info)</t>
        </is>
      </c>
      <c r="G634" s="30" t="inlineStr">
        <is>
          <t>Master</t>
        </is>
      </c>
      <c r="H634" s="30" t="inlineStr">
        <is>
          <t>Title clean-up</t>
        </is>
      </c>
      <c r="I634" s="30" t="inlineStr">
        <is>
          <t>Title typo: 'Designers Collection' → 'Designer Collection'.</t>
        </is>
      </c>
      <c r="J634" s="30" t="inlineStr">
        <is>
          <t>Pricing skill check (master notes)</t>
        </is>
      </c>
      <c r="K634" s="30" t="n"/>
    </row>
    <row r="635" ht="22.35" customHeight="1" s="24">
      <c r="A635" s="28" t="n"/>
      <c r="B635" s="30" t="n"/>
      <c r="C635" s="30" t="inlineStr">
        <is>
          <t>DC112-01A</t>
        </is>
      </c>
      <c r="D635" s="30" t="inlineStr">
        <is>
          <t>Designers Collection I</t>
        </is>
      </c>
      <c r="E635" s="30" t="inlineStr">
        <is>
          <t>Designer Collection</t>
        </is>
      </c>
      <c r="F635" s="30" t="inlineStr">
        <is>
          <t>Master note (info)</t>
        </is>
      </c>
      <c r="G635" s="30" t="inlineStr">
        <is>
          <t>Master</t>
        </is>
      </c>
      <c r="H635" s="30" t="inlineStr">
        <is>
          <t>Title clean-up</t>
        </is>
      </c>
      <c r="I635" s="30" t="inlineStr">
        <is>
          <t>Title typo: 'Designers Collection' → 'Designer Collection'.</t>
        </is>
      </c>
      <c r="J635" s="30" t="inlineStr">
        <is>
          <t>Pricing skill check (master notes)</t>
        </is>
      </c>
      <c r="K635" s="30" t="n"/>
    </row>
    <row r="636" ht="22.35" customHeight="1" s="24">
      <c r="A636" s="28" t="n"/>
      <c r="B636" s="30" t="n"/>
      <c r="C636" s="30" t="inlineStr">
        <is>
          <t>DC112-02</t>
        </is>
      </c>
      <c r="D636" s="30" t="inlineStr">
        <is>
          <t>Designers Collection II</t>
        </is>
      </c>
      <c r="E636" s="30" t="inlineStr">
        <is>
          <t>Designer Collection</t>
        </is>
      </c>
      <c r="F636" s="30" t="inlineStr">
        <is>
          <t>Master note (info)</t>
        </is>
      </c>
      <c r="G636" s="30" t="inlineStr">
        <is>
          <t>Master</t>
        </is>
      </c>
      <c r="H636" s="30" t="inlineStr">
        <is>
          <t>Title clean-up</t>
        </is>
      </c>
      <c r="I636" s="30" t="inlineStr">
        <is>
          <t>Title typo: 'Designers Collection' → 'Designer Collection'.</t>
        </is>
      </c>
      <c r="J636" s="30" t="inlineStr">
        <is>
          <t>Pricing skill check (master notes)</t>
        </is>
      </c>
      <c r="K636" s="30" t="n"/>
    </row>
    <row r="637" ht="22.35" customHeight="1" s="24">
      <c r="A637" s="28" t="n"/>
      <c r="B637" s="30" t="n"/>
      <c r="C637" s="30" t="inlineStr">
        <is>
          <t>DC112-03</t>
        </is>
      </c>
      <c r="D637" s="30" t="inlineStr">
        <is>
          <t>Designers Collection III</t>
        </is>
      </c>
      <c r="E637" s="30" t="inlineStr">
        <is>
          <t>Designer Collection</t>
        </is>
      </c>
      <c r="F637" s="30" t="inlineStr">
        <is>
          <t>Master note (info)</t>
        </is>
      </c>
      <c r="G637" s="30" t="inlineStr">
        <is>
          <t>Master</t>
        </is>
      </c>
      <c r="H637" s="30" t="inlineStr">
        <is>
          <t>Title clean-up</t>
        </is>
      </c>
      <c r="I637" s="30" t="inlineStr">
        <is>
          <t>Title typo: 'Designers Collection' → 'Designer Collection'.</t>
        </is>
      </c>
      <c r="J637" s="30" t="inlineStr">
        <is>
          <t>Pricing skill check (master notes)</t>
        </is>
      </c>
      <c r="K637" s="30" t="n"/>
    </row>
    <row r="638" ht="22.35" customHeight="1" s="24">
      <c r="A638" s="28" t="n"/>
      <c r="B638" s="30" t="n"/>
      <c r="C638" s="30" t="inlineStr">
        <is>
          <t>EEEE</t>
        </is>
      </c>
      <c r="D638" s="30" t="inlineStr">
        <is>
          <t>WWWW</t>
        </is>
      </c>
      <c r="E638" s="30" t="inlineStr">
        <is>
          <t>Designer Collection</t>
        </is>
      </c>
      <c r="F638" s="30" t="inlineStr">
        <is>
          <t>Master note (info)</t>
        </is>
      </c>
      <c r="G638" s="30" t="inlineStr">
        <is>
          <t>Master</t>
        </is>
      </c>
      <c r="H638" s="30" t="inlineStr">
        <is>
          <t>Title clean-up</t>
        </is>
      </c>
      <c r="I638" s="30" t="inlineStr">
        <is>
          <t>Placeholder title — needs a real product name.</t>
        </is>
      </c>
      <c r="J638" s="30" t="inlineStr">
        <is>
          <t>Pricing skill check (master notes)</t>
        </is>
      </c>
      <c r="K638" s="30" t="n"/>
    </row>
    <row r="639" ht="22.35" customHeight="1" s="24">
      <c r="A639" s="28" t="n"/>
      <c r="B639" s="30" t="n"/>
      <c r="C639" s="30" t="inlineStr">
        <is>
          <t>MJ100-06</t>
        </is>
      </c>
      <c r="D639" s="30" t="inlineStr">
        <is>
          <t>Assorted Roses In Mason Jar</t>
        </is>
      </c>
      <c r="E639" s="30" t="inlineStr">
        <is>
          <t>Mason Jar</t>
        </is>
      </c>
      <c r="F639" s="30" t="inlineStr">
        <is>
          <t>Master note (info)</t>
        </is>
      </c>
      <c r="G639" s="30" t="inlineStr">
        <is>
          <t>Master</t>
        </is>
      </c>
      <c r="H639" s="30" t="inlineStr">
        <is>
          <t>Title clean-up</t>
        </is>
      </c>
      <c r="I639" s="30" t="inlineStr">
        <is>
          <t>Title capitalisation inconsistent with sibling products (e.g. "In/Of" vs "in/of").</t>
        </is>
      </c>
      <c r="J639" s="30" t="inlineStr">
        <is>
          <t>Pricing skill check (master notes)</t>
        </is>
      </c>
      <c r="K639" s="30" t="n"/>
    </row>
    <row r="640" ht="22.35" customHeight="1" s="24">
      <c r="A640" s="28" t="n"/>
      <c r="B640" s="30" t="n"/>
      <c r="C640" s="30" t="inlineStr">
        <is>
          <t>MJ100-07</t>
        </is>
      </c>
      <c r="D640" s="30" t="inlineStr">
        <is>
          <t>Thirty Blooms Of Alstroemeria In Mason Jar</t>
        </is>
      </c>
      <c r="E640" s="30" t="inlineStr">
        <is>
          <t>Mason Jar</t>
        </is>
      </c>
      <c r="F640" s="30" t="inlineStr">
        <is>
          <t>Master note (info)</t>
        </is>
      </c>
      <c r="G640" s="30" t="inlineStr">
        <is>
          <t>Master</t>
        </is>
      </c>
      <c r="H640" s="30" t="inlineStr">
        <is>
          <t>Title clean-up</t>
        </is>
      </c>
      <c r="I640" s="30" t="inlineStr">
        <is>
          <t>Title capitalisation inconsistent with sibling products (e.g. "In/Of" vs "in/of").</t>
        </is>
      </c>
      <c r="J640" s="30" t="inlineStr">
        <is>
          <t>Pricing skill check (master notes)</t>
        </is>
      </c>
      <c r="K640" s="30" t="n"/>
    </row>
    <row r="641" ht="22.35" customHeight="1" s="24">
      <c r="A641" s="28" t="n"/>
      <c r="B641" s="30" t="n"/>
      <c r="C641" s="30" t="inlineStr">
        <is>
          <t>MJ100-10</t>
        </is>
      </c>
      <c r="D641" s="30" t="inlineStr">
        <is>
          <t>Sweet Summer In Mason Jar</t>
        </is>
      </c>
      <c r="E641" s="30" t="inlineStr">
        <is>
          <t>Mason Jar</t>
        </is>
      </c>
      <c r="F641" s="30" t="inlineStr">
        <is>
          <t>Master note (info)</t>
        </is>
      </c>
      <c r="G641" s="30" t="inlineStr">
        <is>
          <t>Master</t>
        </is>
      </c>
      <c r="H641" s="30" t="inlineStr">
        <is>
          <t>Title clean-up</t>
        </is>
      </c>
      <c r="I641" s="30" t="inlineStr">
        <is>
          <t>Title capitalisation inconsistent with sibling products (e.g. "In/Of" vs "in/of").</t>
        </is>
      </c>
      <c r="J641" s="30" t="inlineStr">
        <is>
          <t>Pricing skill check (master notes)</t>
        </is>
      </c>
      <c r="K641" s="30" t="n"/>
    </row>
    <row r="642" ht="22.35" customHeight="1" s="24">
      <c r="A642" s="28" t="n"/>
      <c r="B642" s="30" t="n"/>
      <c r="C642" s="30" t="inlineStr">
        <is>
          <t>MJ100-11</t>
        </is>
      </c>
      <c r="D642" s="30" t="inlineStr">
        <is>
          <t>Breathtaking Blooms In Mason Jar</t>
        </is>
      </c>
      <c r="E642" s="30" t="inlineStr">
        <is>
          <t>Mason Jar</t>
        </is>
      </c>
      <c r="F642" s="30" t="inlineStr">
        <is>
          <t>Master note (info)</t>
        </is>
      </c>
      <c r="G642" s="30" t="inlineStr">
        <is>
          <t>Master</t>
        </is>
      </c>
      <c r="H642" s="30" t="inlineStr">
        <is>
          <t>Title clean-up</t>
        </is>
      </c>
      <c r="I642" s="30" t="inlineStr">
        <is>
          <t>Title capitalisation inconsistent with sibling products (e.g. "In/Of" vs "in/of").</t>
        </is>
      </c>
      <c r="J642" s="30" t="inlineStr">
        <is>
          <t>Pricing skill check (master notes)</t>
        </is>
      </c>
      <c r="K642" s="30" t="n"/>
    </row>
    <row r="643" ht="22.35" customHeight="1" s="24">
      <c r="A643" s="28" t="n"/>
      <c r="B643" s="30" t="n"/>
      <c r="C643" s="30" t="inlineStr">
        <is>
          <t>MJ100-12</t>
        </is>
      </c>
      <c r="D643" s="30" t="inlineStr">
        <is>
          <t>Classic Whites In Mason Jar</t>
        </is>
      </c>
      <c r="E643" s="30" t="inlineStr">
        <is>
          <t>Mason Jar</t>
        </is>
      </c>
      <c r="F643" s="30" t="inlineStr">
        <is>
          <t>Master note (info)</t>
        </is>
      </c>
      <c r="G643" s="30" t="inlineStr">
        <is>
          <t>Master</t>
        </is>
      </c>
      <c r="H643" s="30" t="inlineStr">
        <is>
          <t>Title clean-up</t>
        </is>
      </c>
      <c r="I643" s="30" t="inlineStr">
        <is>
          <t>Title capitalisation inconsistent with sibling products (e.g. "In/Of" vs "in/of").</t>
        </is>
      </c>
      <c r="J643" s="30" t="inlineStr">
        <is>
          <t>Pricing skill check (master notes)</t>
        </is>
      </c>
      <c r="K643" s="30" t="n"/>
    </row>
    <row r="644" ht="22.35" customHeight="1" s="24">
      <c r="A644" s="28" t="n"/>
      <c r="B644" s="30" t="n"/>
      <c r="C644" s="30" t="inlineStr">
        <is>
          <t>MJ11-10</t>
        </is>
      </c>
      <c r="D644" s="30" t="inlineStr">
        <is>
          <t>Radiant Roses In A Mason Jar</t>
        </is>
      </c>
      <c r="E644" s="30" t="inlineStr">
        <is>
          <t>Mason Jar</t>
        </is>
      </c>
      <c r="F644" s="30" t="inlineStr">
        <is>
          <t>Master note (info)</t>
        </is>
      </c>
      <c r="G644" s="30" t="inlineStr">
        <is>
          <t>Master</t>
        </is>
      </c>
      <c r="H644" s="30" t="inlineStr">
        <is>
          <t>Title clean-up</t>
        </is>
      </c>
      <c r="I644" s="30" t="inlineStr">
        <is>
          <t>Title capitalisation inconsistent with sibling products (e.g. "In/Of" vs "in/of").</t>
        </is>
      </c>
      <c r="J644" s="30" t="inlineStr">
        <is>
          <t>Pricing skill check (master notes)</t>
        </is>
      </c>
      <c r="K644" s="30" t="n"/>
    </row>
    <row r="645" ht="22.35" customHeight="1" s="24">
      <c r="A645" s="28" t="n"/>
      <c r="B645" s="30" t="n"/>
      <c r="C645" s="30" t="inlineStr">
        <is>
          <t>MJ11-30BNZ</t>
        </is>
      </c>
      <c r="D645" s="30" t="inlineStr">
        <is>
          <t>Sweetheart Roses In Mason Jar</t>
        </is>
      </c>
      <c r="E645" s="30" t="inlineStr">
        <is>
          <t>Mason Jar</t>
        </is>
      </c>
      <c r="F645" s="30" t="inlineStr">
        <is>
          <t>Master note (info)</t>
        </is>
      </c>
      <c r="G645" s="30" t="inlineStr">
        <is>
          <t>Master</t>
        </is>
      </c>
      <c r="H645" s="30" t="inlineStr">
        <is>
          <t>Title clean-up</t>
        </is>
      </c>
      <c r="I645" s="30" t="inlineStr">
        <is>
          <t>Title capitalisation inconsistent with sibling products (e.g. "In/Of" vs "in/of").</t>
        </is>
      </c>
      <c r="J645" s="30" t="inlineStr">
        <is>
          <t>Pricing skill check (master notes)</t>
        </is>
      </c>
      <c r="K645" s="30" t="n"/>
    </row>
    <row r="646" ht="22.35" customHeight="1" s="24">
      <c r="A646" s="28" t="n"/>
      <c r="B646" s="30" t="n"/>
      <c r="C646" s="30" t="inlineStr">
        <is>
          <t>MJ22-10BNZ</t>
        </is>
      </c>
      <c r="D646" s="30" t="inlineStr">
        <is>
          <t>Shades Of Pink In Mason Jar</t>
        </is>
      </c>
      <c r="E646" s="30" t="inlineStr">
        <is>
          <t>Mason Jar</t>
        </is>
      </c>
      <c r="F646" s="30" t="inlineStr">
        <is>
          <t>Master note (info)</t>
        </is>
      </c>
      <c r="G646" s="30" t="inlineStr">
        <is>
          <t>Master</t>
        </is>
      </c>
      <c r="H646" s="30" t="inlineStr">
        <is>
          <t>Title clean-up</t>
        </is>
      </c>
      <c r="I646" s="30" t="inlineStr">
        <is>
          <t>Title capitalisation inconsistent with sibling products (e.g. "In/Of" vs "in/of").</t>
        </is>
      </c>
      <c r="J646" s="30" t="inlineStr">
        <is>
          <t>Pricing skill check (master notes)</t>
        </is>
      </c>
      <c r="K646" s="30" t="n"/>
    </row>
    <row r="647" ht="22.35" customHeight="1" s="24">
      <c r="A647" s="28" t="n"/>
      <c r="B647" s="30" t="n"/>
      <c r="C647" s="30" t="inlineStr">
        <is>
          <t>SB-01M</t>
        </is>
      </c>
      <c r="D647" s="30" t="inlineStr">
        <is>
          <t>Sweet Blossom in Mason Flowers</t>
        </is>
      </c>
      <c r="E647" s="30" t="inlineStr">
        <is>
          <t>Bouquets</t>
        </is>
      </c>
      <c r="F647" s="30" t="inlineStr">
        <is>
          <t>Master note (info)</t>
        </is>
      </c>
      <c r="G647" s="30" t="inlineStr">
        <is>
          <t>Master</t>
        </is>
      </c>
      <c r="H647" s="30" t="inlineStr">
        <is>
          <t>Title clean-up</t>
        </is>
      </c>
      <c r="I647" s="30" t="inlineStr">
        <is>
          <t>Title typo: 'Mason Flowers' → 'Mason Jar'.</t>
        </is>
      </c>
      <c r="J647" s="30" t="inlineStr">
        <is>
          <t>Pricing skill check (master notes)</t>
        </is>
      </c>
      <c r="K647" s="30" t="n"/>
    </row>
    <row r="648" ht="22.35" customHeight="1" s="24">
      <c r="A648" s="28" t="n"/>
      <c r="B648" s="30" t="n"/>
      <c r="C648" s="30" t="inlineStr">
        <is>
          <t>AU199-07</t>
        </is>
      </c>
      <c r="D648" s="30" t="inlineStr">
        <is>
          <t>Green &amp; White Heart</t>
        </is>
      </c>
      <c r="E648" s="30" t="inlineStr">
        <is>
          <t>Sympathy</t>
        </is>
      </c>
      <c r="F648" s="30" t="inlineStr">
        <is>
          <t>Note</t>
        </is>
      </c>
      <c r="G648" s="30" t="inlineStr">
        <is>
          <t>Not a recipe problem</t>
        </is>
      </c>
      <c r="H648" s="30" t="inlineStr">
        <is>
          <t>Colour: green</t>
        </is>
      </c>
      <c r="I648" s="30" t="inlineStr">
        <is>
          <t>Title says green; the recipe has 10 stems of Israeli ruscus (green foliage). Live status N. No change</t>
        </is>
      </c>
      <c r="J648" s="30" t="inlineStr">
        <is>
          <t>Recipe rules C1-C9</t>
        </is>
      </c>
      <c r="K648" s="30" t="n"/>
    </row>
    <row r="649" ht="15" customHeight="1" s="24">
      <c r="A649" s="28" t="n"/>
      <c r="B649" s="30" t="n"/>
      <c r="C649" s="30" t="inlineStr">
        <is>
          <t>ABS-02</t>
        </is>
      </c>
      <c r="D649" s="30" t="inlineStr">
        <is>
          <t>Colours of Champions</t>
        </is>
      </c>
      <c r="E649" s="30" t="inlineStr">
        <is>
          <t>Bouquets</t>
        </is>
      </c>
      <c r="F649" s="30" t="inlineStr">
        <is>
          <t>Out of scope</t>
        </is>
      </c>
      <c r="G649" s="30" t="inlineStr">
        <is>
          <t>Scope rules</t>
        </is>
      </c>
      <c r="H649" s="30" t="inlineStr">
        <is>
          <t>Excluded: Mel's (no mason jar)</t>
        </is>
      </c>
      <c r="I649" s="30" t="inlineStr">
        <is>
          <t>Mel's only takes products with mason jar in the title or bucket</t>
        </is>
      </c>
      <c r="J649" s="30" t="inlineStr">
        <is>
          <t>Scope rules</t>
        </is>
      </c>
      <c r="K649" s="30" t="n"/>
    </row>
    <row r="650" ht="15" customHeight="1" s="24">
      <c r="A650" s="28" t="n"/>
      <c r="B650" s="30" t="n"/>
      <c r="C650" s="30" t="inlineStr">
        <is>
          <t>AC20-01</t>
        </is>
      </c>
      <c r="D650" s="30" t="inlineStr">
        <is>
          <t>20 Blooms of Chysanthemum</t>
        </is>
      </c>
      <c r="E650" s="30" t="inlineStr">
        <is>
          <t>Bouquets</t>
        </is>
      </c>
      <c r="F650" s="30" t="inlineStr">
        <is>
          <t>Out of scope</t>
        </is>
      </c>
      <c r="G650" s="30" t="inlineStr">
        <is>
          <t>Scope rules</t>
        </is>
      </c>
      <c r="H650" s="30" t="inlineStr">
        <is>
          <t>Excluded: Mel's (no mason jar)</t>
        </is>
      </c>
      <c r="I650" s="30" t="inlineStr">
        <is>
          <t>Mel's only takes products with mason jar in the title or bucket</t>
        </is>
      </c>
      <c r="J650" s="30" t="inlineStr">
        <is>
          <t>Scope rules</t>
        </is>
      </c>
      <c r="K650" s="30" t="n"/>
    </row>
    <row r="651" ht="15" customHeight="1" s="24">
      <c r="A651" s="28" t="n"/>
      <c r="B651" s="30" t="n"/>
      <c r="C651" s="30" t="inlineStr">
        <is>
          <t>AL100-71AURP</t>
        </is>
      </c>
      <c r="D651" s="30" t="inlineStr">
        <is>
          <t>Full Heart</t>
        </is>
      </c>
      <c r="E651" s="30" t="inlineStr">
        <is>
          <t>Sympathy</t>
        </is>
      </c>
      <c r="F651" s="30" t="inlineStr">
        <is>
          <t>Out of scope</t>
        </is>
      </c>
      <c r="G651" s="30" t="inlineStr">
        <is>
          <t>Scope rules</t>
        </is>
      </c>
      <c r="H651" s="30" t="inlineStr">
        <is>
          <t>Excluded: Mel's (no mason jar)</t>
        </is>
      </c>
      <c r="I651" s="30" t="inlineStr">
        <is>
          <t>Mel's only takes products with mason jar in the title or bucket</t>
        </is>
      </c>
      <c r="J651" s="30" t="inlineStr">
        <is>
          <t>Scope rules</t>
        </is>
      </c>
      <c r="K651" s="30" t="n"/>
    </row>
    <row r="652" ht="15" customHeight="1" s="24">
      <c r="A652" s="28" t="n"/>
      <c r="B652" s="30" t="n"/>
      <c r="C652" s="30" t="inlineStr">
        <is>
          <t>AL100-75AURP</t>
        </is>
      </c>
      <c r="D652" s="30" t="inlineStr">
        <is>
          <t>Your Light Shines</t>
        </is>
      </c>
      <c r="E652" s="30" t="inlineStr">
        <is>
          <t>Sympathy</t>
        </is>
      </c>
      <c r="F652" s="30" t="inlineStr">
        <is>
          <t>Out of scope</t>
        </is>
      </c>
      <c r="G652" s="30" t="inlineStr">
        <is>
          <t>Scope rules</t>
        </is>
      </c>
      <c r="H652" s="30" t="inlineStr">
        <is>
          <t>Excluded: Mel's (no mason jar)</t>
        </is>
      </c>
      <c r="I652" s="30" t="inlineStr">
        <is>
          <t>Mel's only takes products with mason jar in the title or bucket</t>
        </is>
      </c>
      <c r="J652" s="30" t="inlineStr">
        <is>
          <t>Scope rules</t>
        </is>
      </c>
      <c r="K652" s="30" t="n"/>
    </row>
    <row r="653" ht="15" customHeight="1" s="24">
      <c r="A653" s="28" t="n"/>
      <c r="B653" s="30" t="n"/>
      <c r="C653" s="30" t="inlineStr">
        <is>
          <t>AL100-78AURP</t>
        </is>
      </c>
      <c r="D653" s="30" t="inlineStr">
        <is>
          <t>Rose Romanesque</t>
        </is>
      </c>
      <c r="E653" s="30" t="inlineStr">
        <is>
          <t>Sympathy</t>
        </is>
      </c>
      <c r="F653" s="30" t="inlineStr">
        <is>
          <t>Out of scope</t>
        </is>
      </c>
      <c r="G653" s="30" t="inlineStr">
        <is>
          <t>Scope rules</t>
        </is>
      </c>
      <c r="H653" s="30" t="inlineStr">
        <is>
          <t>Excluded: Mel's (no mason jar)</t>
        </is>
      </c>
      <c r="I653" s="30" t="inlineStr">
        <is>
          <t>Mel's only takes products with mason jar in the title or bucket</t>
        </is>
      </c>
      <c r="J653" s="30" t="inlineStr">
        <is>
          <t>Scope rules</t>
        </is>
      </c>
      <c r="K653" s="30" t="n"/>
    </row>
    <row r="654" ht="15" customHeight="1" s="24">
      <c r="A654" s="28" t="n"/>
      <c r="B654" s="30" t="n"/>
      <c r="C654" s="30" t="inlineStr">
        <is>
          <t>AL160-26AURP</t>
        </is>
      </c>
      <c r="D654" s="30" t="inlineStr">
        <is>
          <t>Truly Beloved</t>
        </is>
      </c>
      <c r="E654" s="30" t="inlineStr">
        <is>
          <t>Sympathy</t>
        </is>
      </c>
      <c r="F654" s="30" t="inlineStr">
        <is>
          <t>Out of scope</t>
        </is>
      </c>
      <c r="G654" s="30" t="inlineStr">
        <is>
          <t>Scope rules</t>
        </is>
      </c>
      <c r="H654" s="30" t="inlineStr">
        <is>
          <t>Excluded: Mel's (no mason jar)</t>
        </is>
      </c>
      <c r="I654" s="30" t="inlineStr">
        <is>
          <t>Mel's only takes products with mason jar in the title or bucket</t>
        </is>
      </c>
      <c r="J654" s="30" t="inlineStr">
        <is>
          <t>Scope rules</t>
        </is>
      </c>
      <c r="K654" s="30" t="n"/>
    </row>
    <row r="655" ht="15" customHeight="1" s="24">
      <c r="A655" s="28" t="n"/>
      <c r="B655" s="30" t="n"/>
      <c r="C655" s="30" t="inlineStr">
        <is>
          <t>AL189-07AURP</t>
        </is>
      </c>
      <c r="D655" s="30" t="inlineStr">
        <is>
          <t>Hope and Honour Wreath</t>
        </is>
      </c>
      <c r="E655" s="30" t="inlineStr">
        <is>
          <t>Sympathy</t>
        </is>
      </c>
      <c r="F655" s="30" t="inlineStr">
        <is>
          <t>Out of scope</t>
        </is>
      </c>
      <c r="G655" s="30" t="inlineStr">
        <is>
          <t>Scope rules</t>
        </is>
      </c>
      <c r="H655" s="30" t="inlineStr">
        <is>
          <t>Excluded: Mel's (no mason jar)</t>
        </is>
      </c>
      <c r="I655" s="30" t="inlineStr">
        <is>
          <t>Mel's only takes products with mason jar in the title or bucket</t>
        </is>
      </c>
      <c r="J655" s="30" t="inlineStr">
        <is>
          <t>Scope rules</t>
        </is>
      </c>
      <c r="K655" s="30" t="n"/>
    </row>
    <row r="656" ht="15" customHeight="1" s="24">
      <c r="A656" s="28" t="n"/>
      <c r="B656" s="30" t="n"/>
      <c r="C656" s="30" t="inlineStr">
        <is>
          <t>AU0511-06</t>
        </is>
      </c>
      <c r="D656" s="30" t="inlineStr">
        <is>
          <t>Chirpy Gerberas</t>
        </is>
      </c>
      <c r="E656" s="30" t="inlineStr">
        <is>
          <t>Bouquets</t>
        </is>
      </c>
      <c r="F656" s="30" t="inlineStr">
        <is>
          <t>Out of scope</t>
        </is>
      </c>
      <c r="G656" s="30" t="inlineStr">
        <is>
          <t>Scope rules</t>
        </is>
      </c>
      <c r="H656" s="30" t="inlineStr">
        <is>
          <t>Excluded: Mel's (no mason jar)</t>
        </is>
      </c>
      <c r="I656" s="30" t="inlineStr">
        <is>
          <t>Mel's only takes products with mason jar in the title or bucket</t>
        </is>
      </c>
      <c r="J656" s="30" t="inlineStr">
        <is>
          <t>Scope rules</t>
        </is>
      </c>
      <c r="K656" s="30" t="n"/>
    </row>
    <row r="657" ht="15" customHeight="1" s="24">
      <c r="A657" s="28" t="n"/>
      <c r="B657" s="30" t="n"/>
      <c r="C657" s="30" t="inlineStr">
        <is>
          <t>AU0511-16</t>
        </is>
      </c>
      <c r="D657" s="30" t="inlineStr">
        <is>
          <t>Rosameria</t>
        </is>
      </c>
      <c r="E657" s="30" t="inlineStr">
        <is>
          <t>Bouquets</t>
        </is>
      </c>
      <c r="F657" s="30" t="inlineStr">
        <is>
          <t>Out of scope</t>
        </is>
      </c>
      <c r="G657" s="30" t="inlineStr">
        <is>
          <t>Scope rules</t>
        </is>
      </c>
      <c r="H657" s="30" t="inlineStr">
        <is>
          <t>Excluded: Mel's (no mason jar)</t>
        </is>
      </c>
      <c r="I657" s="30" t="inlineStr">
        <is>
          <t>Mel's only takes products with mason jar in the title or bucket</t>
        </is>
      </c>
      <c r="J657" s="30" t="inlineStr">
        <is>
          <t>Scope rules</t>
        </is>
      </c>
      <c r="K657" s="30" t="n"/>
    </row>
    <row r="658" ht="15" customHeight="1" s="24">
      <c r="A658" s="28" t="n"/>
      <c r="B658" s="30" t="n"/>
      <c r="C658" s="30" t="inlineStr">
        <is>
          <t>AU0511-17</t>
        </is>
      </c>
      <c r="D658" s="30" t="inlineStr">
        <is>
          <t>Summer Blooms</t>
        </is>
      </c>
      <c r="E658" s="30" t="inlineStr">
        <is>
          <t>Bouquets</t>
        </is>
      </c>
      <c r="F658" s="30" t="inlineStr">
        <is>
          <t>Out of scope</t>
        </is>
      </c>
      <c r="G658" s="30" t="inlineStr">
        <is>
          <t>Scope rules</t>
        </is>
      </c>
      <c r="H658" s="30" t="inlineStr">
        <is>
          <t>Excluded: Mel's (no mason jar)</t>
        </is>
      </c>
      <c r="I658" s="30" t="inlineStr">
        <is>
          <t>Mel's only takes products with mason jar in the title or bucket</t>
        </is>
      </c>
      <c r="J658" s="30" t="inlineStr">
        <is>
          <t>Scope rules</t>
        </is>
      </c>
      <c r="K658" s="30" t="n"/>
    </row>
    <row r="659" ht="15" customHeight="1" s="24">
      <c r="A659" s="28" t="n"/>
      <c r="B659" s="30" t="n"/>
      <c r="C659" s="30" t="inlineStr">
        <is>
          <t>AU0511-18</t>
        </is>
      </c>
      <c r="D659" s="30" t="inlineStr">
        <is>
          <t>Sue Elena</t>
        </is>
      </c>
      <c r="E659" s="30" t="inlineStr">
        <is>
          <t>Bouquets</t>
        </is>
      </c>
      <c r="F659" s="30" t="inlineStr">
        <is>
          <t>Out of scope</t>
        </is>
      </c>
      <c r="G659" s="30" t="inlineStr">
        <is>
          <t>Scope rules</t>
        </is>
      </c>
      <c r="H659" s="30" t="inlineStr">
        <is>
          <t>Excluded: Mel's (no mason jar)</t>
        </is>
      </c>
      <c r="I659" s="30" t="inlineStr">
        <is>
          <t>Mel's only takes products with mason jar in the title or bucket</t>
        </is>
      </c>
      <c r="J659" s="30" t="inlineStr">
        <is>
          <t>Scope rules</t>
        </is>
      </c>
      <c r="K659" s="30" t="n"/>
    </row>
    <row r="660" ht="15" customHeight="1" s="24">
      <c r="A660" s="28" t="n"/>
      <c r="B660" s="30" t="n"/>
      <c r="C660" s="30" t="inlineStr">
        <is>
          <t>AU0611-04</t>
        </is>
      </c>
      <c r="D660" s="30" t="inlineStr">
        <is>
          <t>Blooming Blossoms</t>
        </is>
      </c>
      <c r="E660" s="30" t="inlineStr">
        <is>
          <t>Bouquets</t>
        </is>
      </c>
      <c r="F660" s="30" t="inlineStr">
        <is>
          <t>Out of scope</t>
        </is>
      </c>
      <c r="G660" s="30" t="inlineStr">
        <is>
          <t>Scope rules</t>
        </is>
      </c>
      <c r="H660" s="30" t="inlineStr">
        <is>
          <t>Excluded: Mel's (no mason jar)</t>
        </is>
      </c>
      <c r="I660" s="30" t="inlineStr">
        <is>
          <t>Mel's only takes products with mason jar in the title or bucket</t>
        </is>
      </c>
      <c r="J660" s="30" t="inlineStr">
        <is>
          <t>Scope rules</t>
        </is>
      </c>
      <c r="K660" s="30" t="n"/>
    </row>
    <row r="661" ht="15" customHeight="1" s="24">
      <c r="A661" s="28" t="n"/>
      <c r="B661" s="30" t="n"/>
      <c r="C661" s="30" t="inlineStr">
        <is>
          <t>AU0611-07</t>
        </is>
      </c>
      <c r="D661" s="30" t="inlineStr">
        <is>
          <t>Garden Colours</t>
        </is>
      </c>
      <c r="E661" s="30" t="inlineStr">
        <is>
          <t>Bouquets</t>
        </is>
      </c>
      <c r="F661" s="30" t="inlineStr">
        <is>
          <t>Out of scope</t>
        </is>
      </c>
      <c r="G661" s="30" t="inlineStr">
        <is>
          <t>Scope rules</t>
        </is>
      </c>
      <c r="H661" s="30" t="inlineStr">
        <is>
          <t>Excluded: Mel's (no mason jar)</t>
        </is>
      </c>
      <c r="I661" s="30" t="inlineStr">
        <is>
          <t>Mel's only takes products with mason jar in the title or bucket</t>
        </is>
      </c>
      <c r="J661" s="30" t="inlineStr">
        <is>
          <t>Scope rules</t>
        </is>
      </c>
      <c r="K661" s="30" t="n"/>
    </row>
    <row r="662" ht="15" customHeight="1" s="24">
      <c r="A662" s="28" t="n"/>
      <c r="B662" s="30" t="n"/>
      <c r="C662" s="30" t="inlineStr">
        <is>
          <t>AU0611-08</t>
        </is>
      </c>
      <c r="D662" s="30" t="inlineStr">
        <is>
          <t>Shining Sunrise</t>
        </is>
      </c>
      <c r="E662" s="30" t="inlineStr">
        <is>
          <t>Bouquets</t>
        </is>
      </c>
      <c r="F662" s="30" t="inlineStr">
        <is>
          <t>Out of scope</t>
        </is>
      </c>
      <c r="G662" s="30" t="inlineStr">
        <is>
          <t>Scope rules</t>
        </is>
      </c>
      <c r="H662" s="30" t="inlineStr">
        <is>
          <t>Excluded: Mel's (no mason jar)</t>
        </is>
      </c>
      <c r="I662" s="30" t="inlineStr">
        <is>
          <t>Mel's only takes products with mason jar in the title or bucket</t>
        </is>
      </c>
      <c r="J662" s="30" t="inlineStr">
        <is>
          <t>Scope rules</t>
        </is>
      </c>
      <c r="K662" s="30" t="n"/>
    </row>
    <row r="663" ht="15" customHeight="1" s="24">
      <c r="A663" s="28" t="n"/>
      <c r="B663" s="30" t="n"/>
      <c r="C663" s="30" t="inlineStr">
        <is>
          <t>AU0611-11</t>
        </is>
      </c>
      <c r="D663" s="30" t="inlineStr">
        <is>
          <t>Summer Joy</t>
        </is>
      </c>
      <c r="E663" s="30" t="inlineStr">
        <is>
          <t>Bouquets</t>
        </is>
      </c>
      <c r="F663" s="30" t="inlineStr">
        <is>
          <t>Out of scope</t>
        </is>
      </c>
      <c r="G663" s="30" t="inlineStr">
        <is>
          <t>Scope rules</t>
        </is>
      </c>
      <c r="H663" s="30" t="inlineStr">
        <is>
          <t>Excluded: Mel's (no mason jar)</t>
        </is>
      </c>
      <c r="I663" s="30" t="inlineStr">
        <is>
          <t>Mel's only takes products with mason jar in the title or bucket</t>
        </is>
      </c>
      <c r="J663" s="30" t="inlineStr">
        <is>
          <t>Scope rules</t>
        </is>
      </c>
      <c r="K663" s="30" t="n"/>
    </row>
    <row r="664" ht="15" customHeight="1" s="24">
      <c r="A664" s="28" t="n"/>
      <c r="B664" s="30" t="n"/>
      <c r="C664" s="30" t="inlineStr">
        <is>
          <t>AU0611-17</t>
        </is>
      </c>
      <c r="D664" s="30" t="inlineStr">
        <is>
          <t>Pinky Purple</t>
        </is>
      </c>
      <c r="E664" s="30" t="inlineStr">
        <is>
          <t>Bouquets</t>
        </is>
      </c>
      <c r="F664" s="30" t="inlineStr">
        <is>
          <t>Out of scope</t>
        </is>
      </c>
      <c r="G664" s="30" t="inlineStr">
        <is>
          <t>Scope rules</t>
        </is>
      </c>
      <c r="H664" s="30" t="inlineStr">
        <is>
          <t>Excluded: Mel's (no mason jar)</t>
        </is>
      </c>
      <c r="I664" s="30" t="inlineStr">
        <is>
          <t>Mel's only takes products with mason jar in the title or bucket</t>
        </is>
      </c>
      <c r="J664" s="30" t="inlineStr">
        <is>
          <t>Scope rules</t>
        </is>
      </c>
      <c r="K664" s="30" t="n"/>
    </row>
    <row r="665" ht="15" customHeight="1" s="24">
      <c r="A665" s="28" t="n"/>
      <c r="B665" s="30" t="n"/>
      <c r="C665" s="30" t="inlineStr">
        <is>
          <t>AU0611-21</t>
        </is>
      </c>
      <c r="D665" s="30" t="inlineStr">
        <is>
          <t>Beauty in Pink</t>
        </is>
      </c>
      <c r="E665" s="30" t="inlineStr">
        <is>
          <t>Bouquets</t>
        </is>
      </c>
      <c r="F665" s="30" t="inlineStr">
        <is>
          <t>Out of scope</t>
        </is>
      </c>
      <c r="G665" s="30" t="inlineStr">
        <is>
          <t>Scope rules</t>
        </is>
      </c>
      <c r="H665" s="30" t="inlineStr">
        <is>
          <t>Excluded: Mel's (no mason jar)</t>
        </is>
      </c>
      <c r="I665" s="30" t="inlineStr">
        <is>
          <t>Mel's only takes products with mason jar in the title or bucket</t>
        </is>
      </c>
      <c r="J665" s="30" t="inlineStr">
        <is>
          <t>Scope rules</t>
        </is>
      </c>
      <c r="K665" s="30" t="n"/>
    </row>
    <row r="666" ht="15" customHeight="1" s="24">
      <c r="A666" s="28" t="n"/>
      <c r="B666" s="30" t="n"/>
      <c r="C666" s="30" t="inlineStr">
        <is>
          <t>AU100-12</t>
        </is>
      </c>
      <c r="D666" s="30" t="inlineStr">
        <is>
          <t>Colour Me Yours</t>
        </is>
      </c>
      <c r="E666" s="30" t="inlineStr">
        <is>
          <t>Bouquets</t>
        </is>
      </c>
      <c r="F666" s="30" t="inlineStr">
        <is>
          <t>Out of scope</t>
        </is>
      </c>
      <c r="G666" s="30" t="inlineStr">
        <is>
          <t>Scope rules</t>
        </is>
      </c>
      <c r="H666" s="30" t="inlineStr">
        <is>
          <t>Excluded: Mel's (no mason jar)</t>
        </is>
      </c>
      <c r="I666" s="30" t="inlineStr">
        <is>
          <t>Mel's only takes products with mason jar in the title or bucket</t>
        </is>
      </c>
      <c r="J666" s="30" t="inlineStr">
        <is>
          <t>Scope rules</t>
        </is>
      </c>
      <c r="K666" s="30" t="n"/>
    </row>
    <row r="667" ht="15" customHeight="1" s="24">
      <c r="A667" s="28" t="n"/>
      <c r="B667" s="30" t="n"/>
      <c r="C667" s="30" t="inlineStr">
        <is>
          <t>AU100-26</t>
        </is>
      </c>
      <c r="D667" s="30" t="inlineStr">
        <is>
          <t>Gerber Brights</t>
        </is>
      </c>
      <c r="E667" s="30" t="inlineStr">
        <is>
          <t>Bouquets</t>
        </is>
      </c>
      <c r="F667" s="30" t="inlineStr">
        <is>
          <t>Out of scope</t>
        </is>
      </c>
      <c r="G667" s="30" t="inlineStr">
        <is>
          <t>Scope rules</t>
        </is>
      </c>
      <c r="H667" s="30" t="inlineStr">
        <is>
          <t>Excluded: Mel's (no mason jar)</t>
        </is>
      </c>
      <c r="I667" s="30" t="inlineStr">
        <is>
          <t>Mel's only takes products with mason jar in the title or bucket</t>
        </is>
      </c>
      <c r="J667" s="30" t="inlineStr">
        <is>
          <t>Scope rules</t>
        </is>
      </c>
      <c r="K667" s="30" t="n"/>
    </row>
    <row r="668" ht="15" customHeight="1" s="24">
      <c r="A668" s="28" t="n"/>
      <c r="B668" s="30" t="n"/>
      <c r="C668" s="30" t="inlineStr">
        <is>
          <t>AU100-47</t>
        </is>
      </c>
      <c r="D668" s="30" t="inlineStr">
        <is>
          <t>Wonderous Wishes</t>
        </is>
      </c>
      <c r="E668" s="30" t="inlineStr">
        <is>
          <t>Bouquets</t>
        </is>
      </c>
      <c r="F668" s="30" t="inlineStr">
        <is>
          <t>Out of scope</t>
        </is>
      </c>
      <c r="G668" s="30" t="inlineStr">
        <is>
          <t>Scope rules</t>
        </is>
      </c>
      <c r="H668" s="30" t="inlineStr">
        <is>
          <t>Excluded: Mel's (no mason jar)</t>
        </is>
      </c>
      <c r="I668" s="30" t="inlineStr">
        <is>
          <t>Mel's only takes products with mason jar in the title or bucket</t>
        </is>
      </c>
      <c r="J668" s="30" t="inlineStr">
        <is>
          <t>Scope rules</t>
        </is>
      </c>
      <c r="K668" s="30" t="n"/>
    </row>
    <row r="669" ht="15" customHeight="1" s="24">
      <c r="A669" s="28" t="n"/>
      <c r="B669" s="30" t="n"/>
      <c r="C669" s="30" t="inlineStr">
        <is>
          <t>AU100-48</t>
        </is>
      </c>
      <c r="D669" s="30" t="inlineStr">
        <is>
          <t>Pretty in Pink</t>
        </is>
      </c>
      <c r="E669" s="30" t="inlineStr">
        <is>
          <t>Bouquets</t>
        </is>
      </c>
      <c r="F669" s="30" t="inlineStr">
        <is>
          <t>Out of scope</t>
        </is>
      </c>
      <c r="G669" s="30" t="inlineStr">
        <is>
          <t>Scope rules</t>
        </is>
      </c>
      <c r="H669" s="30" t="inlineStr">
        <is>
          <t>Excluded: Mel's (no mason jar)</t>
        </is>
      </c>
      <c r="I669" s="30" t="inlineStr">
        <is>
          <t>Mel's only takes products with mason jar in the title or bucket</t>
        </is>
      </c>
      <c r="J669" s="30" t="inlineStr">
        <is>
          <t>Scope rules</t>
        </is>
      </c>
      <c r="K669" s="30" t="n"/>
    </row>
    <row r="670" ht="15" customHeight="1" s="24">
      <c r="A670" s="28" t="n"/>
      <c r="B670" s="30" t="n"/>
      <c r="C670" s="30" t="inlineStr">
        <is>
          <t>AU100-545</t>
        </is>
      </c>
      <c r="D670" s="30" t="inlineStr">
        <is>
          <t>Gentle Thoughts Spray</t>
        </is>
      </c>
      <c r="E670" s="30" t="inlineStr">
        <is>
          <t>Sympathy</t>
        </is>
      </c>
      <c r="F670" s="30" t="inlineStr">
        <is>
          <t>Out of scope</t>
        </is>
      </c>
      <c r="G670" s="30" t="inlineStr">
        <is>
          <t>Scope rules</t>
        </is>
      </c>
      <c r="H670" s="30" t="inlineStr">
        <is>
          <t>Excluded: Mel's (no mason jar)</t>
        </is>
      </c>
      <c r="I670" s="30" t="inlineStr">
        <is>
          <t>Mel's only takes products with mason jar in the title or bucket</t>
        </is>
      </c>
      <c r="J670" s="30" t="inlineStr">
        <is>
          <t>Scope rules</t>
        </is>
      </c>
      <c r="K670" s="30" t="n"/>
    </row>
    <row r="671" ht="15" customHeight="1" s="24">
      <c r="A671" s="28" t="n"/>
      <c r="B671" s="30" t="n"/>
      <c r="C671" s="30" t="inlineStr">
        <is>
          <t>AU100-555</t>
        </is>
      </c>
      <c r="D671" s="30" t="inlineStr">
        <is>
          <t>Deepest Faith</t>
        </is>
      </c>
      <c r="E671" s="30" t="inlineStr">
        <is>
          <t>Sympathy</t>
        </is>
      </c>
      <c r="F671" s="30" t="inlineStr">
        <is>
          <t>Out of scope</t>
        </is>
      </c>
      <c r="G671" s="30" t="inlineStr">
        <is>
          <t>Scope rules</t>
        </is>
      </c>
      <c r="H671" s="30" t="inlineStr">
        <is>
          <t>Excluded: Mel's (no mason jar)</t>
        </is>
      </c>
      <c r="I671" s="30" t="inlineStr">
        <is>
          <t>Mel's only takes products with mason jar in the title or bucket</t>
        </is>
      </c>
      <c r="J671" s="30" t="inlineStr">
        <is>
          <t>Scope rules</t>
        </is>
      </c>
      <c r="K671" s="30" t="n"/>
    </row>
    <row r="672" ht="15" customHeight="1" s="24">
      <c r="A672" s="28" t="n"/>
      <c r="B672" s="30" t="n"/>
      <c r="C672" s="30" t="inlineStr">
        <is>
          <t>AU100-557</t>
        </is>
      </c>
      <c r="D672" s="30" t="inlineStr">
        <is>
          <t>Pink Tribute Spray</t>
        </is>
      </c>
      <c r="E672" s="30" t="inlineStr">
        <is>
          <t>Sympathy</t>
        </is>
      </c>
      <c r="F672" s="30" t="inlineStr">
        <is>
          <t>Out of scope</t>
        </is>
      </c>
      <c r="G672" s="30" t="inlineStr">
        <is>
          <t>Scope rules</t>
        </is>
      </c>
      <c r="H672" s="30" t="inlineStr">
        <is>
          <t>Excluded: Mel's (no mason jar)</t>
        </is>
      </c>
      <c r="I672" s="30" t="inlineStr">
        <is>
          <t>Mel's only takes products with mason jar in the title or bucket</t>
        </is>
      </c>
      <c r="J672" s="30" t="inlineStr">
        <is>
          <t>Scope rules</t>
        </is>
      </c>
      <c r="K672" s="30" t="n"/>
    </row>
    <row r="673" ht="15" customHeight="1" s="24">
      <c r="A673" s="28" t="n"/>
      <c r="B673" s="30" t="n"/>
      <c r="C673" s="30" t="inlineStr">
        <is>
          <t>AU100-571</t>
        </is>
      </c>
      <c r="D673" s="30" t="inlineStr">
        <is>
          <t>Hope &amp; Honour Cross</t>
        </is>
      </c>
      <c r="E673" s="30" t="inlineStr">
        <is>
          <t>Sympathy</t>
        </is>
      </c>
      <c r="F673" s="30" t="inlineStr">
        <is>
          <t>Out of scope</t>
        </is>
      </c>
      <c r="G673" s="30" t="inlineStr">
        <is>
          <t>Scope rules</t>
        </is>
      </c>
      <c r="H673" s="30" t="inlineStr">
        <is>
          <t>Excluded: Mel's (no mason jar)</t>
        </is>
      </c>
      <c r="I673" s="30" t="inlineStr">
        <is>
          <t>Mel's only takes products with mason jar in the title or bucket</t>
        </is>
      </c>
      <c r="J673" s="30" t="inlineStr">
        <is>
          <t>Scope rules</t>
        </is>
      </c>
      <c r="K673" s="30" t="n"/>
    </row>
    <row r="674" ht="15" customHeight="1" s="24">
      <c r="A674" s="28" t="n"/>
      <c r="B674" s="30" t="n"/>
      <c r="C674" s="30" t="inlineStr">
        <is>
          <t>AU100-577</t>
        </is>
      </c>
      <c r="D674" s="30" t="inlineStr">
        <is>
          <t>Garden of Grandeur Casket Spray</t>
        </is>
      </c>
      <c r="E674" s="30" t="inlineStr">
        <is>
          <t>Sympathy</t>
        </is>
      </c>
      <c r="F674" s="30" t="inlineStr">
        <is>
          <t>Out of scope</t>
        </is>
      </c>
      <c r="G674" s="30" t="inlineStr">
        <is>
          <t>Scope rules</t>
        </is>
      </c>
      <c r="H674" s="30" t="inlineStr">
        <is>
          <t>Excluded: Mel's (no mason jar)</t>
        </is>
      </c>
      <c r="I674" s="30" t="inlineStr">
        <is>
          <t>Mel's only takes products with mason jar in the title or bucket</t>
        </is>
      </c>
      <c r="J674" s="30" t="inlineStr">
        <is>
          <t>Scope rules</t>
        </is>
      </c>
      <c r="K674" s="30" t="n"/>
    </row>
    <row r="675" ht="15" customHeight="1" s="24">
      <c r="A675" s="28" t="n"/>
      <c r="B675" s="30" t="n"/>
      <c r="C675" s="30" t="inlineStr">
        <is>
          <t>AU100-582</t>
        </is>
      </c>
      <c r="D675" s="30" t="inlineStr">
        <is>
          <t>Rose Garden Heart</t>
        </is>
      </c>
      <c r="E675" s="30" t="inlineStr">
        <is>
          <t>Sympathy</t>
        </is>
      </c>
      <c r="F675" s="30" t="inlineStr">
        <is>
          <t>Out of scope</t>
        </is>
      </c>
      <c r="G675" s="30" t="inlineStr">
        <is>
          <t>Scope rules</t>
        </is>
      </c>
      <c r="H675" s="30" t="inlineStr">
        <is>
          <t>Excluded: Mel's (no mason jar)</t>
        </is>
      </c>
      <c r="I675" s="30" t="inlineStr">
        <is>
          <t>Mel's only takes products with mason jar in the title or bucket</t>
        </is>
      </c>
      <c r="J675" s="30" t="inlineStr">
        <is>
          <t>Scope rules</t>
        </is>
      </c>
      <c r="K675" s="30" t="n"/>
    </row>
    <row r="676" ht="15" customHeight="1" s="24">
      <c r="A676" s="28" t="n"/>
      <c r="B676" s="30" t="n"/>
      <c r="C676" s="30" t="inlineStr">
        <is>
          <t>AU100-599</t>
        </is>
      </c>
      <c r="D676" s="30" t="inlineStr">
        <is>
          <t>Deep in Our Hearts Spray</t>
        </is>
      </c>
      <c r="E676" s="30" t="inlineStr">
        <is>
          <t>Sympathy</t>
        </is>
      </c>
      <c r="F676" s="30" t="inlineStr">
        <is>
          <t>Out of scope</t>
        </is>
      </c>
      <c r="G676" s="30" t="inlineStr">
        <is>
          <t>Scope rules</t>
        </is>
      </c>
      <c r="H676" s="30" t="inlineStr">
        <is>
          <t>Excluded: Mel's (no mason jar)</t>
        </is>
      </c>
      <c r="I676" s="30" t="inlineStr">
        <is>
          <t>Mel's only takes products with mason jar in the title or bucket</t>
        </is>
      </c>
      <c r="J676" s="30" t="inlineStr">
        <is>
          <t>Scope rules</t>
        </is>
      </c>
      <c r="K676" s="30" t="n"/>
    </row>
    <row r="677" ht="15" customHeight="1" s="24">
      <c r="A677" s="28" t="n"/>
      <c r="B677" s="30" t="n"/>
      <c r="C677" s="30" t="inlineStr">
        <is>
          <t>AU100-71</t>
        </is>
      </c>
      <c r="D677" s="30" t="inlineStr">
        <is>
          <t>Full Heart</t>
        </is>
      </c>
      <c r="E677" s="30" t="inlineStr">
        <is>
          <t>Sympathy</t>
        </is>
      </c>
      <c r="F677" s="30" t="inlineStr">
        <is>
          <t>Out of scope</t>
        </is>
      </c>
      <c r="G677" s="30" t="inlineStr">
        <is>
          <t>Scope rules</t>
        </is>
      </c>
      <c r="H677" s="30" t="inlineStr">
        <is>
          <t>Excluded: Mel's (no mason jar)</t>
        </is>
      </c>
      <c r="I677" s="30" t="inlineStr">
        <is>
          <t>Mel's only takes products with mason jar in the title or bucket</t>
        </is>
      </c>
      <c r="J677" s="30" t="inlineStr">
        <is>
          <t>Scope rules</t>
        </is>
      </c>
      <c r="K677" s="30" t="n"/>
    </row>
    <row r="678" ht="15" customHeight="1" s="24">
      <c r="A678" s="28" t="n"/>
      <c r="B678" s="30" t="n"/>
      <c r="C678" s="30" t="inlineStr">
        <is>
          <t>AU100-92</t>
        </is>
      </c>
      <c r="D678" s="30" t="inlineStr">
        <is>
          <t>Blooms of Joy</t>
        </is>
      </c>
      <c r="E678" s="30" t="inlineStr">
        <is>
          <t>Bouquets</t>
        </is>
      </c>
      <c r="F678" s="30" t="inlineStr">
        <is>
          <t>Out of scope</t>
        </is>
      </c>
      <c r="G678" s="30" t="inlineStr">
        <is>
          <t>Scope rules</t>
        </is>
      </c>
      <c r="H678" s="30" t="inlineStr">
        <is>
          <t>Excluded: Mel's (no mason jar)</t>
        </is>
      </c>
      <c r="I678" s="30" t="inlineStr">
        <is>
          <t>Mel's only takes products with mason jar in the title or bucket</t>
        </is>
      </c>
      <c r="J678" s="30" t="inlineStr">
        <is>
          <t>Scope rules</t>
        </is>
      </c>
      <c r="K678" s="30" t="n"/>
    </row>
    <row r="679" ht="15" customHeight="1" s="24">
      <c r="A679" s="28" t="n"/>
      <c r="B679" s="30" t="n"/>
      <c r="C679" s="30" t="inlineStr">
        <is>
          <t>AU101-20</t>
        </is>
      </c>
      <c r="D679" s="30" t="inlineStr">
        <is>
          <t>Brighter Blessing Arrangement</t>
        </is>
      </c>
      <c r="E679" s="30" t="inlineStr">
        <is>
          <t>Sympathy</t>
        </is>
      </c>
      <c r="F679" s="30" t="inlineStr">
        <is>
          <t>Out of scope</t>
        </is>
      </c>
      <c r="G679" s="30" t="inlineStr">
        <is>
          <t>Scope rules</t>
        </is>
      </c>
      <c r="H679" s="30" t="inlineStr">
        <is>
          <t>Excluded: Mel's (no mason jar)</t>
        </is>
      </c>
      <c r="I679" s="30" t="inlineStr">
        <is>
          <t>Mel's only takes products with mason jar in the title or bucket</t>
        </is>
      </c>
      <c r="J679" s="30" t="inlineStr">
        <is>
          <t>Scope rules</t>
        </is>
      </c>
      <c r="K679" s="30" t="n"/>
    </row>
    <row r="680" ht="15" customHeight="1" s="24">
      <c r="A680" s="28" t="n"/>
      <c r="B680" s="30" t="n"/>
      <c r="C680" s="30" t="inlineStr">
        <is>
          <t>AU101-31</t>
        </is>
      </c>
      <c r="D680" s="30" t="inlineStr">
        <is>
          <t>Loving Embrace Arrangement</t>
        </is>
      </c>
      <c r="E680" s="30" t="inlineStr">
        <is>
          <t>Sympathy</t>
        </is>
      </c>
      <c r="F680" s="30" t="inlineStr">
        <is>
          <t>Out of scope</t>
        </is>
      </c>
      <c r="G680" s="30" t="inlineStr">
        <is>
          <t>Scope rules</t>
        </is>
      </c>
      <c r="H680" s="30" t="inlineStr">
        <is>
          <t>Excluded: Mel's (no mason jar)</t>
        </is>
      </c>
      <c r="I680" s="30" t="inlineStr">
        <is>
          <t>Mel's only takes products with mason jar in the title or bucket</t>
        </is>
      </c>
      <c r="J680" s="30" t="inlineStr">
        <is>
          <t>Scope rules</t>
        </is>
      </c>
      <c r="K680" s="30" t="n"/>
    </row>
    <row r="681" ht="15" customHeight="1" s="24">
      <c r="A681" s="28" t="n"/>
      <c r="B681" s="30" t="n"/>
      <c r="C681" s="30" t="inlineStr">
        <is>
          <t>AU101-40</t>
        </is>
      </c>
      <c r="D681" s="30" t="inlineStr">
        <is>
          <t>Classic Tribute</t>
        </is>
      </c>
      <c r="E681" s="30" t="inlineStr">
        <is>
          <t>Sympathy</t>
        </is>
      </c>
      <c r="F681" s="30" t="inlineStr">
        <is>
          <t>Out of scope</t>
        </is>
      </c>
      <c r="G681" s="30" t="inlineStr">
        <is>
          <t>Scope rules</t>
        </is>
      </c>
      <c r="H681" s="30" t="inlineStr">
        <is>
          <t>Excluded: Mel's (no mason jar)</t>
        </is>
      </c>
      <c r="I681" s="30" t="inlineStr">
        <is>
          <t>Mel's only takes products with mason jar in the title or bucket</t>
        </is>
      </c>
      <c r="J681" s="30" t="inlineStr">
        <is>
          <t>Scope rules</t>
        </is>
      </c>
      <c r="K681" s="30" t="n"/>
    </row>
    <row r="682" ht="15" customHeight="1" s="24">
      <c r="A682" s="28" t="n"/>
      <c r="B682" s="30" t="n"/>
      <c r="C682" s="30" t="inlineStr">
        <is>
          <t>AU101-41</t>
        </is>
      </c>
      <c r="D682" s="30" t="inlineStr">
        <is>
          <t>Heavenly Expressions</t>
        </is>
      </c>
      <c r="E682" s="30" t="inlineStr">
        <is>
          <t>Sympathy</t>
        </is>
      </c>
      <c r="F682" s="30" t="inlineStr">
        <is>
          <t>Out of scope</t>
        </is>
      </c>
      <c r="G682" s="30" t="inlineStr">
        <is>
          <t>Scope rules</t>
        </is>
      </c>
      <c r="H682" s="30" t="inlineStr">
        <is>
          <t>Excluded: Mel's (no mason jar)</t>
        </is>
      </c>
      <c r="I682" s="30" t="inlineStr">
        <is>
          <t>Mel's only takes products with mason jar in the title or bucket</t>
        </is>
      </c>
      <c r="J682" s="30" t="inlineStr">
        <is>
          <t>Scope rules</t>
        </is>
      </c>
      <c r="K682" s="30" t="n"/>
    </row>
    <row r="683" ht="22.35" customHeight="1" s="24">
      <c r="A683" s="28" t="n"/>
      <c r="B683" s="30" t="n"/>
      <c r="C683" s="30" t="inlineStr">
        <is>
          <t>AU101-46</t>
        </is>
      </c>
      <c r="D683" s="30" t="inlineStr">
        <is>
          <t>Faithful Memories Casket Arrangement</t>
        </is>
      </c>
      <c r="E683" s="30" t="inlineStr">
        <is>
          <t>Sympathy</t>
        </is>
      </c>
      <c r="F683" s="30" t="inlineStr">
        <is>
          <t>Out of scope</t>
        </is>
      </c>
      <c r="G683" s="30" t="inlineStr">
        <is>
          <t>Scope rules</t>
        </is>
      </c>
      <c r="H683" s="30" t="inlineStr">
        <is>
          <t>Excluded: Mel's (no mason jar)</t>
        </is>
      </c>
      <c r="I683" s="30" t="inlineStr">
        <is>
          <t>Mel's only takes products with mason jar in the title or bucket</t>
        </is>
      </c>
      <c r="J683" s="30" t="inlineStr">
        <is>
          <t>Scope rules</t>
        </is>
      </c>
      <c r="K683" s="30" t="n"/>
    </row>
    <row r="684" ht="15" customHeight="1" s="24">
      <c r="A684" s="28" t="n"/>
      <c r="B684" s="30" t="n"/>
      <c r="C684" s="30" t="inlineStr">
        <is>
          <t>AU101-57</t>
        </is>
      </c>
      <c r="D684" s="30" t="inlineStr">
        <is>
          <t>Red and White Funeral Wreath</t>
        </is>
      </c>
      <c r="E684" s="30" t="inlineStr">
        <is>
          <t>Sympathy</t>
        </is>
      </c>
      <c r="F684" s="30" t="inlineStr">
        <is>
          <t>Out of scope</t>
        </is>
      </c>
      <c r="G684" s="30" t="inlineStr">
        <is>
          <t>Scope rules</t>
        </is>
      </c>
      <c r="H684" s="30" t="inlineStr">
        <is>
          <t>Excluded: Mel's (no mason jar)</t>
        </is>
      </c>
      <c r="I684" s="30" t="inlineStr">
        <is>
          <t>Mel's only takes products with mason jar in the title or bucket</t>
        </is>
      </c>
      <c r="J684" s="30" t="inlineStr">
        <is>
          <t>Scope rules</t>
        </is>
      </c>
      <c r="K684" s="30" t="n"/>
    </row>
    <row r="685" ht="15" customHeight="1" s="24">
      <c r="A685" s="28" t="n"/>
      <c r="B685" s="30" t="n"/>
      <c r="C685" s="30" t="inlineStr">
        <is>
          <t>AU105-11</t>
        </is>
      </c>
      <c r="D685" s="30" t="inlineStr">
        <is>
          <t>In Love and Memories Spray</t>
        </is>
      </c>
      <c r="E685" s="30" t="inlineStr">
        <is>
          <t>Sympathy</t>
        </is>
      </c>
      <c r="F685" s="30" t="inlineStr">
        <is>
          <t>Out of scope</t>
        </is>
      </c>
      <c r="G685" s="30" t="inlineStr">
        <is>
          <t>Scope rules</t>
        </is>
      </c>
      <c r="H685" s="30" t="inlineStr">
        <is>
          <t>Excluded: Mel's (no mason jar)</t>
        </is>
      </c>
      <c r="I685" s="30" t="inlineStr">
        <is>
          <t>Mel's only takes products with mason jar in the title or bucket</t>
        </is>
      </c>
      <c r="J685" s="30" t="inlineStr">
        <is>
          <t>Scope rules</t>
        </is>
      </c>
      <c r="K685" s="30" t="n"/>
    </row>
    <row r="686" ht="15" customHeight="1" s="24">
      <c r="A686" s="28" t="n"/>
      <c r="B686" s="30" t="n"/>
      <c r="C686" s="30" t="inlineStr">
        <is>
          <t>AU11-10</t>
        </is>
      </c>
      <c r="D686" s="30" t="inlineStr">
        <is>
          <t>Ten Long Stemmed Red Roses</t>
        </is>
      </c>
      <c r="E686" s="30" t="inlineStr">
        <is>
          <t>Bouquets</t>
        </is>
      </c>
      <c r="F686" s="30" t="inlineStr">
        <is>
          <t>Out of scope</t>
        </is>
      </c>
      <c r="G686" s="30" t="inlineStr">
        <is>
          <t>Scope rules</t>
        </is>
      </c>
      <c r="H686" s="30" t="inlineStr">
        <is>
          <t>Excluded: Mel's (no mason jar)</t>
        </is>
      </c>
      <c r="I686" s="30" t="inlineStr">
        <is>
          <t>Mel's only takes products with mason jar in the title or bucket</t>
        </is>
      </c>
      <c r="J686" s="30" t="inlineStr">
        <is>
          <t>Scope rules</t>
        </is>
      </c>
      <c r="K686" s="30" t="n"/>
    </row>
    <row r="687" ht="15" customHeight="1" s="24">
      <c r="A687" s="28" t="n"/>
      <c r="B687" s="30" t="n"/>
      <c r="C687" s="30" t="inlineStr">
        <is>
          <t>AU11-12</t>
        </is>
      </c>
      <c r="D687" s="30" t="inlineStr">
        <is>
          <t>75 Blooms of Spray Roses</t>
        </is>
      </c>
      <c r="E687" s="30" t="inlineStr">
        <is>
          <t>Bouquets</t>
        </is>
      </c>
      <c r="F687" s="30" t="inlineStr">
        <is>
          <t>Out of scope</t>
        </is>
      </c>
      <c r="G687" s="30" t="inlineStr">
        <is>
          <t>Scope rules</t>
        </is>
      </c>
      <c r="H687" s="30" t="inlineStr">
        <is>
          <t>Excluded: Mel's (no mason jar)</t>
        </is>
      </c>
      <c r="I687" s="30" t="inlineStr">
        <is>
          <t>Mel's only takes products with mason jar in the title or bucket</t>
        </is>
      </c>
      <c r="J687" s="30" t="inlineStr">
        <is>
          <t>Scope rules</t>
        </is>
      </c>
      <c r="K687" s="30" t="n"/>
    </row>
    <row r="688" ht="22.35" customHeight="1" s="24">
      <c r="A688" s="28" t="n"/>
      <c r="B688" s="30" t="n"/>
      <c r="C688" s="30" t="inlineStr">
        <is>
          <t>AU11-13</t>
        </is>
      </c>
      <c r="D688" s="30" t="inlineStr">
        <is>
          <t>12 Medium Stemmed Lavender Roses</t>
        </is>
      </c>
      <c r="E688" s="30" t="inlineStr">
        <is>
          <t>Bouquets</t>
        </is>
      </c>
      <c r="F688" s="30" t="inlineStr">
        <is>
          <t>Out of scope</t>
        </is>
      </c>
      <c r="G688" s="30" t="inlineStr">
        <is>
          <t>Scope rules</t>
        </is>
      </c>
      <c r="H688" s="30" t="inlineStr">
        <is>
          <t>Excluded: Mel's (no mason jar)</t>
        </is>
      </c>
      <c r="I688" s="30" t="inlineStr">
        <is>
          <t>Mel's only takes products with mason jar in the title or bucket</t>
        </is>
      </c>
      <c r="J688" s="30" t="inlineStr">
        <is>
          <t>Scope rules</t>
        </is>
      </c>
      <c r="K688" s="30" t="n"/>
    </row>
    <row r="689" ht="15" customHeight="1" s="24">
      <c r="A689" s="28" t="n"/>
      <c r="B689" s="30" t="n"/>
      <c r="C689" s="30" t="inlineStr">
        <is>
          <t>AU11-14</t>
        </is>
      </c>
      <c r="D689" s="30" t="inlineStr">
        <is>
          <t>Two Dozen Pink Roses</t>
        </is>
      </c>
      <c r="E689" s="30" t="inlineStr">
        <is>
          <t>Roses</t>
        </is>
      </c>
      <c r="F689" s="30" t="inlineStr">
        <is>
          <t>Out of scope</t>
        </is>
      </c>
      <c r="G689" s="30" t="inlineStr">
        <is>
          <t>Scope rules</t>
        </is>
      </c>
      <c r="H689" s="30" t="inlineStr">
        <is>
          <t>Excluded: Mel's (no mason jar)</t>
        </is>
      </c>
      <c r="I689" s="30" t="inlineStr">
        <is>
          <t>Mel's only takes products with mason jar in the title or bucket</t>
        </is>
      </c>
      <c r="J689" s="30" t="inlineStr">
        <is>
          <t>Scope rules</t>
        </is>
      </c>
      <c r="K689" s="30" t="n"/>
    </row>
    <row r="690" ht="15" customHeight="1" s="24">
      <c r="A690" s="28" t="n"/>
      <c r="B690" s="30" t="n"/>
      <c r="C690" s="30" t="inlineStr">
        <is>
          <t>AU11-16</t>
        </is>
      </c>
      <c r="D690" s="30" t="inlineStr">
        <is>
          <t>100 Blooms of Spray Roses</t>
        </is>
      </c>
      <c r="E690" s="30" t="inlineStr">
        <is>
          <t>Bouquets</t>
        </is>
      </c>
      <c r="F690" s="30" t="inlineStr">
        <is>
          <t>Out of scope</t>
        </is>
      </c>
      <c r="G690" s="30" t="inlineStr">
        <is>
          <t>Scope rules</t>
        </is>
      </c>
      <c r="H690" s="30" t="inlineStr">
        <is>
          <t>Excluded: Mel's (no mason jar)</t>
        </is>
      </c>
      <c r="I690" s="30" t="inlineStr">
        <is>
          <t>Mel's only takes products with mason jar in the title or bucket</t>
        </is>
      </c>
      <c r="J690" s="30" t="inlineStr">
        <is>
          <t>Scope rules</t>
        </is>
      </c>
      <c r="K690" s="30" t="n"/>
    </row>
    <row r="691" ht="15" customHeight="1" s="24">
      <c r="A691" s="28" t="n"/>
      <c r="B691" s="30" t="n"/>
      <c r="C691" s="30" t="inlineStr">
        <is>
          <t>AU11-18</t>
        </is>
      </c>
      <c r="D691" s="30" t="inlineStr">
        <is>
          <t>150 Blooms of Spray Roses</t>
        </is>
      </c>
      <c r="E691" s="30" t="inlineStr">
        <is>
          <t>Bouquets</t>
        </is>
      </c>
      <c r="F691" s="30" t="inlineStr">
        <is>
          <t>Out of scope</t>
        </is>
      </c>
      <c r="G691" s="30" t="inlineStr">
        <is>
          <t>Scope rules</t>
        </is>
      </c>
      <c r="H691" s="30" t="inlineStr">
        <is>
          <t>Excluded: Mel's (no mason jar)</t>
        </is>
      </c>
      <c r="I691" s="30" t="inlineStr">
        <is>
          <t>Mel's only takes products with mason jar in the title or bucket</t>
        </is>
      </c>
      <c r="J691" s="30" t="inlineStr">
        <is>
          <t>Scope rules</t>
        </is>
      </c>
      <c r="K691" s="30" t="n"/>
    </row>
    <row r="692" ht="15" customHeight="1" s="24">
      <c r="A692" s="28" t="n"/>
      <c r="B692" s="30" t="n"/>
      <c r="C692" s="30" t="inlineStr">
        <is>
          <t>AU11-25</t>
        </is>
      </c>
      <c r="D692" s="30" t="inlineStr">
        <is>
          <t>24 Mixed Colour Sweetheart Roses</t>
        </is>
      </c>
      <c r="E692" s="30" t="inlineStr">
        <is>
          <t>Bouquets</t>
        </is>
      </c>
      <c r="F692" s="30" t="inlineStr">
        <is>
          <t>Out of scope</t>
        </is>
      </c>
      <c r="G692" s="30" t="inlineStr">
        <is>
          <t>Scope rules</t>
        </is>
      </c>
      <c r="H692" s="30" t="inlineStr">
        <is>
          <t>Excluded: Mel's (no mason jar)</t>
        </is>
      </c>
      <c r="I692" s="30" t="inlineStr">
        <is>
          <t>Mel's only takes products with mason jar in the title or bucket</t>
        </is>
      </c>
      <c r="J692" s="30" t="inlineStr">
        <is>
          <t>Scope rules</t>
        </is>
      </c>
      <c r="K692" s="30" t="n"/>
    </row>
    <row r="693" ht="15" customHeight="1" s="24">
      <c r="A693" s="28" t="n"/>
      <c r="B693" s="30" t="n"/>
      <c r="C693" s="30" t="inlineStr">
        <is>
          <t>AU11-30</t>
        </is>
      </c>
      <c r="D693" s="30" t="inlineStr">
        <is>
          <t>Half-Dozen Red Roses</t>
        </is>
      </c>
      <c r="E693" s="30" t="inlineStr">
        <is>
          <t>Bouquets</t>
        </is>
      </c>
      <c r="F693" s="30" t="inlineStr">
        <is>
          <t>Out of scope</t>
        </is>
      </c>
      <c r="G693" s="30" t="inlineStr">
        <is>
          <t>Scope rules</t>
        </is>
      </c>
      <c r="H693" s="30" t="inlineStr">
        <is>
          <t>Excluded: Mel's (no mason jar)</t>
        </is>
      </c>
      <c r="I693" s="30" t="inlineStr">
        <is>
          <t>Mel's only takes products with mason jar in the title or bucket</t>
        </is>
      </c>
      <c r="J693" s="30" t="inlineStr">
        <is>
          <t>Scope rules</t>
        </is>
      </c>
      <c r="K693" s="30" t="n"/>
    </row>
    <row r="694" ht="22.35" customHeight="1" s="24">
      <c r="A694" s="28" t="n"/>
      <c r="B694" s="30" t="n"/>
      <c r="C694" s="30" t="inlineStr">
        <is>
          <t>AU11-35</t>
        </is>
      </c>
      <c r="D694" s="30" t="inlineStr">
        <is>
          <t>36 Assorted Medium Stemmed Roses</t>
        </is>
      </c>
      <c r="E694" s="30" t="inlineStr">
        <is>
          <t>Bouquets</t>
        </is>
      </c>
      <c r="F694" s="30" t="inlineStr">
        <is>
          <t>Out of scope</t>
        </is>
      </c>
      <c r="G694" s="30" t="inlineStr">
        <is>
          <t>Scope rules</t>
        </is>
      </c>
      <c r="H694" s="30" t="inlineStr">
        <is>
          <t>Excluded: Mel's (no mason jar)</t>
        </is>
      </c>
      <c r="I694" s="30" t="inlineStr">
        <is>
          <t>Mel's only takes products with mason jar in the title or bucket</t>
        </is>
      </c>
      <c r="J694" s="30" t="inlineStr">
        <is>
          <t>Scope rules</t>
        </is>
      </c>
      <c r="K694" s="30" t="n"/>
    </row>
    <row r="695" ht="15" customHeight="1" s="24">
      <c r="A695" s="28" t="n"/>
      <c r="B695" s="30" t="n"/>
      <c r="C695" s="30" t="inlineStr">
        <is>
          <t>AU11-43</t>
        </is>
      </c>
      <c r="D695" s="30" t="inlineStr">
        <is>
          <t>Warm Embrace</t>
        </is>
      </c>
      <c r="E695" s="30" t="inlineStr">
        <is>
          <t>Sympathy</t>
        </is>
      </c>
      <c r="F695" s="30" t="inlineStr">
        <is>
          <t>Out of scope</t>
        </is>
      </c>
      <c r="G695" s="30" t="inlineStr">
        <is>
          <t>Scope rules</t>
        </is>
      </c>
      <c r="H695" s="30" t="inlineStr">
        <is>
          <t>Excluded: Mel's (no mason jar)</t>
        </is>
      </c>
      <c r="I695" s="30" t="inlineStr">
        <is>
          <t>Mel's only takes products with mason jar in the title or bucket</t>
        </is>
      </c>
      <c r="J695" s="30" t="inlineStr">
        <is>
          <t>Scope rules</t>
        </is>
      </c>
      <c r="K695" s="30" t="n"/>
    </row>
    <row r="696" ht="15" customHeight="1" s="24">
      <c r="A696" s="28" t="n"/>
      <c r="B696" s="30" t="n"/>
      <c r="C696" s="30" t="inlineStr">
        <is>
          <t>AU11-50</t>
        </is>
      </c>
      <c r="D696" s="30" t="inlineStr">
        <is>
          <t>Dozen Fall Colour Roses</t>
        </is>
      </c>
      <c r="E696" s="30" t="inlineStr">
        <is>
          <t>Bouquets</t>
        </is>
      </c>
      <c r="F696" s="30" t="inlineStr">
        <is>
          <t>Out of scope</t>
        </is>
      </c>
      <c r="G696" s="30" t="inlineStr">
        <is>
          <t>Scope rules</t>
        </is>
      </c>
      <c r="H696" s="30" t="inlineStr">
        <is>
          <t>Excluded: Mel's (no mason jar)</t>
        </is>
      </c>
      <c r="I696" s="30" t="inlineStr">
        <is>
          <t>Mel's only takes products with mason jar in the title or bucket</t>
        </is>
      </c>
      <c r="J696" s="30" t="inlineStr">
        <is>
          <t>Scope rules</t>
        </is>
      </c>
      <c r="K696" s="30" t="n"/>
    </row>
    <row r="697" ht="15" customHeight="1" s="24">
      <c r="A697" s="28" t="n"/>
      <c r="B697" s="30" t="n"/>
      <c r="C697" s="30" t="inlineStr">
        <is>
          <t>AU11-56</t>
        </is>
      </c>
      <c r="D697" s="30" t="inlineStr">
        <is>
          <t>Dozen Red Roses</t>
        </is>
      </c>
      <c r="E697" s="30" t="inlineStr">
        <is>
          <t>Roses</t>
        </is>
      </c>
      <c r="F697" s="30" t="inlineStr">
        <is>
          <t>Out of scope</t>
        </is>
      </c>
      <c r="G697" s="30" t="inlineStr">
        <is>
          <t>Scope rules</t>
        </is>
      </c>
      <c r="H697" s="30" t="inlineStr">
        <is>
          <t>Excluded: Mel's (no mason jar)</t>
        </is>
      </c>
      <c r="I697" s="30" t="inlineStr">
        <is>
          <t>Mel's only takes products with mason jar in the title or bucket</t>
        </is>
      </c>
      <c r="J697" s="30" t="inlineStr">
        <is>
          <t>Scope rules</t>
        </is>
      </c>
      <c r="K697" s="30" t="n"/>
    </row>
    <row r="698" ht="15" customHeight="1" s="24">
      <c r="A698" s="28" t="n"/>
      <c r="B698" s="30" t="n"/>
      <c r="C698" s="30" t="inlineStr">
        <is>
          <t>AU11-65</t>
        </is>
      </c>
      <c r="D698" s="30" t="inlineStr">
        <is>
          <t>One Dozen Premium Red Roses</t>
        </is>
      </c>
      <c r="E698" s="30" t="inlineStr">
        <is>
          <t>Bouquets</t>
        </is>
      </c>
      <c r="F698" s="30" t="inlineStr">
        <is>
          <t>Out of scope</t>
        </is>
      </c>
      <c r="G698" s="30" t="inlineStr">
        <is>
          <t>Scope rules</t>
        </is>
      </c>
      <c r="H698" s="30" t="inlineStr">
        <is>
          <t>Excluded: Mel's (no mason jar)</t>
        </is>
      </c>
      <c r="I698" s="30" t="inlineStr">
        <is>
          <t>Mel's only takes products with mason jar in the title or bucket</t>
        </is>
      </c>
      <c r="J698" s="30" t="inlineStr">
        <is>
          <t>Scope rules</t>
        </is>
      </c>
      <c r="K698" s="30" t="n"/>
    </row>
    <row r="699" ht="15" customHeight="1" s="24">
      <c r="A699" s="28" t="n"/>
      <c r="B699" s="30" t="n"/>
      <c r="C699" s="30" t="inlineStr">
        <is>
          <t>AU11-90</t>
        </is>
      </c>
      <c r="D699" s="30" t="inlineStr">
        <is>
          <t>Three Dozen Stems Pink Roses</t>
        </is>
      </c>
      <c r="E699" s="30" t="inlineStr">
        <is>
          <t>Bouquets</t>
        </is>
      </c>
      <c r="F699" s="30" t="inlineStr">
        <is>
          <t>Out of scope</t>
        </is>
      </c>
      <c r="G699" s="30" t="inlineStr">
        <is>
          <t>Scope rules</t>
        </is>
      </c>
      <c r="H699" s="30" t="inlineStr">
        <is>
          <t>Excluded: Mel's (no mason jar)</t>
        </is>
      </c>
      <c r="I699" s="30" t="inlineStr">
        <is>
          <t>Mel's only takes products with mason jar in the title or bucket</t>
        </is>
      </c>
      <c r="J699" s="30" t="inlineStr">
        <is>
          <t>Scope rules</t>
        </is>
      </c>
      <c r="K699" s="30" t="n"/>
    </row>
    <row r="700" ht="15" customHeight="1" s="24">
      <c r="A700" s="28" t="n"/>
      <c r="B700" s="30" t="n"/>
      <c r="C700" s="30" t="inlineStr">
        <is>
          <t>AU11-97</t>
        </is>
      </c>
      <c r="D700" s="30" t="inlineStr">
        <is>
          <t>Premium White and Red Roses</t>
        </is>
      </c>
      <c r="E700" s="30" t="inlineStr">
        <is>
          <t>Bouquets</t>
        </is>
      </c>
      <c r="F700" s="30" t="inlineStr">
        <is>
          <t>Out of scope</t>
        </is>
      </c>
      <c r="G700" s="30" t="inlineStr">
        <is>
          <t>Scope rules</t>
        </is>
      </c>
      <c r="H700" s="30" t="inlineStr">
        <is>
          <t>Excluded: Mel's (no mason jar)</t>
        </is>
      </c>
      <c r="I700" s="30" t="inlineStr">
        <is>
          <t>Mel's only takes products with mason jar in the title or bucket</t>
        </is>
      </c>
      <c r="J700" s="30" t="inlineStr">
        <is>
          <t>Scope rules</t>
        </is>
      </c>
      <c r="K700" s="30" t="n"/>
    </row>
    <row r="701" ht="15" customHeight="1" s="24">
      <c r="A701" s="28" t="n"/>
      <c r="B701" s="30" t="n"/>
      <c r="C701" s="30" t="inlineStr">
        <is>
          <t>AU111-11</t>
        </is>
      </c>
      <c r="D701" s="30" t="inlineStr">
        <is>
          <t>Colourful Caboodle</t>
        </is>
      </c>
      <c r="E701" s="30" t="inlineStr">
        <is>
          <t>Bouquets</t>
        </is>
      </c>
      <c r="F701" s="30" t="inlineStr">
        <is>
          <t>Out of scope</t>
        </is>
      </c>
      <c r="G701" s="30" t="inlineStr">
        <is>
          <t>Scope rules</t>
        </is>
      </c>
      <c r="H701" s="30" t="inlineStr">
        <is>
          <t>Excluded: Mel's (no mason jar)</t>
        </is>
      </c>
      <c r="I701" s="30" t="inlineStr">
        <is>
          <t>Mel's only takes products with mason jar in the title or bucket</t>
        </is>
      </c>
      <c r="J701" s="30" t="inlineStr">
        <is>
          <t>Scope rules</t>
        </is>
      </c>
      <c r="K701" s="30" t="n"/>
    </row>
    <row r="702" ht="15" customHeight="1" s="24">
      <c r="A702" s="28" t="n"/>
      <c r="B702" s="30" t="n"/>
      <c r="C702" s="30" t="inlineStr">
        <is>
          <t>AU111-22</t>
        </is>
      </c>
      <c r="D702" s="30" t="inlineStr">
        <is>
          <t>Enchanted Cottage</t>
        </is>
      </c>
      <c r="E702" s="30" t="inlineStr">
        <is>
          <t>Bouquets</t>
        </is>
      </c>
      <c r="F702" s="30" t="inlineStr">
        <is>
          <t>Out of scope</t>
        </is>
      </c>
      <c r="G702" s="30" t="inlineStr">
        <is>
          <t>Scope rules</t>
        </is>
      </c>
      <c r="H702" s="30" t="inlineStr">
        <is>
          <t>Excluded: Mel's (no mason jar)</t>
        </is>
      </c>
      <c r="I702" s="30" t="inlineStr">
        <is>
          <t>Mel's only takes products with mason jar in the title or bucket</t>
        </is>
      </c>
      <c r="J702" s="30" t="inlineStr">
        <is>
          <t>Scope rules</t>
        </is>
      </c>
      <c r="K702" s="30" t="n"/>
    </row>
    <row r="703" ht="15" customHeight="1" s="24">
      <c r="A703" s="28" t="n"/>
      <c r="B703" s="30" t="n"/>
      <c r="C703" s="30" t="inlineStr">
        <is>
          <t>AU111-25</t>
        </is>
      </c>
      <c r="D703" s="30" t="inlineStr">
        <is>
          <t>Tasteful Blooms</t>
        </is>
      </c>
      <c r="E703" s="30" t="inlineStr">
        <is>
          <t>Bouquets</t>
        </is>
      </c>
      <c r="F703" s="30" t="inlineStr">
        <is>
          <t>Out of scope</t>
        </is>
      </c>
      <c r="G703" s="30" t="inlineStr">
        <is>
          <t>Scope rules</t>
        </is>
      </c>
      <c r="H703" s="30" t="inlineStr">
        <is>
          <t>Excluded: Mel's (no mason jar)</t>
        </is>
      </c>
      <c r="I703" s="30" t="inlineStr">
        <is>
          <t>Mel's only takes products with mason jar in the title or bucket</t>
        </is>
      </c>
      <c r="J703" s="30" t="inlineStr">
        <is>
          <t>Scope rules</t>
        </is>
      </c>
      <c r="K703" s="30" t="n"/>
    </row>
    <row r="704" ht="22.35" customHeight="1" s="24">
      <c r="A704" s="28" t="n"/>
      <c r="B704" s="30" t="n"/>
      <c r="C704" s="30" t="inlineStr">
        <is>
          <t>AU111-40</t>
        </is>
      </c>
      <c r="D704" s="30" t="inlineStr">
        <is>
          <t>Classic Assorted Colour Daisy Bouquet</t>
        </is>
      </c>
      <c r="E704" s="30" t="inlineStr">
        <is>
          <t>Bouquets</t>
        </is>
      </c>
      <c r="F704" s="30" t="inlineStr">
        <is>
          <t>Out of scope</t>
        </is>
      </c>
      <c r="G704" s="30" t="inlineStr">
        <is>
          <t>Scope rules</t>
        </is>
      </c>
      <c r="H704" s="30" t="inlineStr">
        <is>
          <t>Excluded: Mel's (no mason jar)</t>
        </is>
      </c>
      <c r="I704" s="30" t="inlineStr">
        <is>
          <t>Mel's only takes products with mason jar in the title or bucket</t>
        </is>
      </c>
      <c r="J704" s="30" t="inlineStr">
        <is>
          <t>Scope rules</t>
        </is>
      </c>
      <c r="K704" s="30" t="n"/>
    </row>
    <row r="705" ht="15" customHeight="1" s="24">
      <c r="A705" s="28" t="n"/>
      <c r="B705" s="30" t="n"/>
      <c r="C705" s="30" t="inlineStr">
        <is>
          <t>AU111-41</t>
        </is>
      </c>
      <c r="D705" s="30" t="inlineStr">
        <is>
          <t>Classic Mauve Daisy Bouquet</t>
        </is>
      </c>
      <c r="E705" s="30" t="inlineStr">
        <is>
          <t>Bouquets</t>
        </is>
      </c>
      <c r="F705" s="30" t="inlineStr">
        <is>
          <t>Out of scope</t>
        </is>
      </c>
      <c r="G705" s="30" t="inlineStr">
        <is>
          <t>Scope rules</t>
        </is>
      </c>
      <c r="H705" s="30" t="inlineStr">
        <is>
          <t>Excluded: Mel's (no mason jar)</t>
        </is>
      </c>
      <c r="I705" s="30" t="inlineStr">
        <is>
          <t>Mel's only takes products with mason jar in the title or bucket</t>
        </is>
      </c>
      <c r="J705" s="30" t="inlineStr">
        <is>
          <t>Scope rules</t>
        </is>
      </c>
      <c r="K705" s="30" t="n"/>
    </row>
    <row r="706" ht="15" customHeight="1" s="24">
      <c r="A706" s="28" t="n"/>
      <c r="B706" s="30" t="n"/>
      <c r="C706" s="30" t="inlineStr">
        <is>
          <t>AU111-42</t>
        </is>
      </c>
      <c r="D706" s="30" t="inlineStr">
        <is>
          <t>Classic White Daisies</t>
        </is>
      </c>
      <c r="E706" s="30" t="inlineStr">
        <is>
          <t>Bouquets</t>
        </is>
      </c>
      <c r="F706" s="30" t="inlineStr">
        <is>
          <t>Out of scope</t>
        </is>
      </c>
      <c r="G706" s="30" t="inlineStr">
        <is>
          <t>Scope rules</t>
        </is>
      </c>
      <c r="H706" s="30" t="inlineStr">
        <is>
          <t>Excluded: Mel's (no mason jar)</t>
        </is>
      </c>
      <c r="I706" s="30" t="inlineStr">
        <is>
          <t>Mel's only takes products with mason jar in the title or bucket</t>
        </is>
      </c>
      <c r="J706" s="30" t="inlineStr">
        <is>
          <t>Scope rules</t>
        </is>
      </c>
      <c r="K706" s="30" t="n"/>
    </row>
    <row r="707" ht="15" customHeight="1" s="24">
      <c r="A707" s="28" t="n"/>
      <c r="B707" s="30" t="n"/>
      <c r="C707" s="30" t="inlineStr">
        <is>
          <t>AU111-48</t>
        </is>
      </c>
      <c r="D707" s="30" t="inlineStr">
        <is>
          <t>Rose Orchestra</t>
        </is>
      </c>
      <c r="E707" s="30" t="inlineStr">
        <is>
          <t>Bouquets</t>
        </is>
      </c>
      <c r="F707" s="30" t="inlineStr">
        <is>
          <t>Out of scope</t>
        </is>
      </c>
      <c r="G707" s="30" t="inlineStr">
        <is>
          <t>Scope rules</t>
        </is>
      </c>
      <c r="H707" s="30" t="inlineStr">
        <is>
          <t>Excluded: Mel's (no mason jar)</t>
        </is>
      </c>
      <c r="I707" s="30" t="inlineStr">
        <is>
          <t>Mel's only takes products with mason jar in the title or bucket</t>
        </is>
      </c>
      <c r="J707" s="30" t="inlineStr">
        <is>
          <t>Scope rules</t>
        </is>
      </c>
      <c r="K707" s="30" t="n"/>
    </row>
    <row r="708" ht="15" customHeight="1" s="24">
      <c r="A708" s="28" t="n"/>
      <c r="B708" s="30" t="n"/>
      <c r="C708" s="30" t="inlineStr">
        <is>
          <t>AU111-52</t>
        </is>
      </c>
      <c r="D708" s="30" t="inlineStr">
        <is>
          <t>Jubilee</t>
        </is>
      </c>
      <c r="E708" s="30" t="inlineStr">
        <is>
          <t>Bouquets</t>
        </is>
      </c>
      <c r="F708" s="30" t="inlineStr">
        <is>
          <t>Out of scope</t>
        </is>
      </c>
      <c r="G708" s="30" t="inlineStr">
        <is>
          <t>Scope rules</t>
        </is>
      </c>
      <c r="H708" s="30" t="inlineStr">
        <is>
          <t>Excluded: Mel's (no mason jar)</t>
        </is>
      </c>
      <c r="I708" s="30" t="inlineStr">
        <is>
          <t>Mel's only takes products with mason jar in the title or bucket</t>
        </is>
      </c>
      <c r="J708" s="30" t="inlineStr">
        <is>
          <t>Scope rules</t>
        </is>
      </c>
      <c r="K708" s="30" t="n"/>
    </row>
    <row r="709" ht="15" customHeight="1" s="24">
      <c r="A709" s="28" t="n"/>
      <c r="B709" s="30" t="n"/>
      <c r="C709" s="30" t="inlineStr">
        <is>
          <t>AU111-57</t>
        </is>
      </c>
      <c r="D709" s="30" t="inlineStr">
        <is>
          <t>Fuchsia Bouquet</t>
        </is>
      </c>
      <c r="E709" s="30" t="inlineStr">
        <is>
          <t>Bouquets</t>
        </is>
      </c>
      <c r="F709" s="30" t="inlineStr">
        <is>
          <t>Out of scope</t>
        </is>
      </c>
      <c r="G709" s="30" t="inlineStr">
        <is>
          <t>Scope rules</t>
        </is>
      </c>
      <c r="H709" s="30" t="inlineStr">
        <is>
          <t>Excluded: Mel's (no mason jar)</t>
        </is>
      </c>
      <c r="I709" s="30" t="inlineStr">
        <is>
          <t>Mel's only takes products with mason jar in the title or bucket</t>
        </is>
      </c>
      <c r="J709" s="30" t="inlineStr">
        <is>
          <t>Scope rules</t>
        </is>
      </c>
      <c r="K709" s="30" t="n"/>
    </row>
    <row r="710" ht="15" customHeight="1" s="24">
      <c r="A710" s="28" t="n"/>
      <c r="B710" s="30" t="n"/>
      <c r="C710" s="30" t="inlineStr">
        <is>
          <t>AU111-59</t>
        </is>
      </c>
      <c r="D710" s="30" t="inlineStr">
        <is>
          <t>Teddy Bear Beauty</t>
        </is>
      </c>
      <c r="E710" s="30" t="inlineStr">
        <is>
          <t>Bouquets</t>
        </is>
      </c>
      <c r="F710" s="30" t="inlineStr">
        <is>
          <t>Out of scope</t>
        </is>
      </c>
      <c r="G710" s="30" t="inlineStr">
        <is>
          <t>Scope rules</t>
        </is>
      </c>
      <c r="H710" s="30" t="inlineStr">
        <is>
          <t>Excluded: Mel's (no mason jar)</t>
        </is>
      </c>
      <c r="I710" s="30" t="inlineStr">
        <is>
          <t>Mel's only takes products with mason jar in the title or bucket</t>
        </is>
      </c>
      <c r="J710" s="30" t="inlineStr">
        <is>
          <t>Scope rules</t>
        </is>
      </c>
      <c r="K710" s="30" t="n"/>
    </row>
    <row r="711" ht="15" customHeight="1" s="24">
      <c r="A711" s="28" t="n"/>
      <c r="B711" s="30" t="n"/>
      <c r="C711" s="30" t="inlineStr">
        <is>
          <t>AU111-72</t>
        </is>
      </c>
      <c r="D711" s="30" t="inlineStr">
        <is>
          <t>Joy and Harmony</t>
        </is>
      </c>
      <c r="E711" s="30" t="inlineStr">
        <is>
          <t>Bouquets</t>
        </is>
      </c>
      <c r="F711" s="30" t="inlineStr">
        <is>
          <t>Out of scope</t>
        </is>
      </c>
      <c r="G711" s="30" t="inlineStr">
        <is>
          <t>Scope rules</t>
        </is>
      </c>
      <c r="H711" s="30" t="inlineStr">
        <is>
          <t>Excluded: Mel's (no mason jar)</t>
        </is>
      </c>
      <c r="I711" s="30" t="inlineStr">
        <is>
          <t>Mel's only takes products with mason jar in the title or bucket</t>
        </is>
      </c>
      <c r="J711" s="30" t="inlineStr">
        <is>
          <t>Scope rules</t>
        </is>
      </c>
      <c r="K711" s="30" t="n"/>
    </row>
    <row r="712" ht="15" customHeight="1" s="24">
      <c r="A712" s="28" t="n"/>
      <c r="B712" s="30" t="n"/>
      <c r="C712" s="30" t="inlineStr">
        <is>
          <t>AU111-93</t>
        </is>
      </c>
      <c r="D712" s="30" t="inlineStr">
        <is>
          <t>Pink and Cream Bouquet</t>
        </is>
      </c>
      <c r="E712" s="30" t="inlineStr">
        <is>
          <t>Bouquets</t>
        </is>
      </c>
      <c r="F712" s="30" t="inlineStr">
        <is>
          <t>Out of scope</t>
        </is>
      </c>
      <c r="G712" s="30" t="inlineStr">
        <is>
          <t>Scope rules</t>
        </is>
      </c>
      <c r="H712" s="30" t="inlineStr">
        <is>
          <t>Excluded: Mel's (no mason jar)</t>
        </is>
      </c>
      <c r="I712" s="30" t="inlineStr">
        <is>
          <t>Mel's only takes products with mason jar in the title or bucket</t>
        </is>
      </c>
      <c r="J712" s="30" t="inlineStr">
        <is>
          <t>Scope rules</t>
        </is>
      </c>
      <c r="K712" s="30" t="n"/>
    </row>
    <row r="713" ht="15" customHeight="1" s="24">
      <c r="A713" s="28" t="n"/>
      <c r="B713" s="30" t="n"/>
      <c r="C713" s="30" t="inlineStr">
        <is>
          <t>AU1111-03</t>
        </is>
      </c>
      <c r="D713" s="30" t="inlineStr">
        <is>
          <t>Classic Rainbow Gerbera Bouquet</t>
        </is>
      </c>
      <c r="E713" s="30" t="inlineStr">
        <is>
          <t>Bouquets</t>
        </is>
      </c>
      <c r="F713" s="30" t="inlineStr">
        <is>
          <t>Out of scope</t>
        </is>
      </c>
      <c r="G713" s="30" t="inlineStr">
        <is>
          <t>Scope rules</t>
        </is>
      </c>
      <c r="H713" s="30" t="inlineStr">
        <is>
          <t>Excluded: Mel's (no mason jar)</t>
        </is>
      </c>
      <c r="I713" s="30" t="inlineStr">
        <is>
          <t>Mel's only takes products with mason jar in the title or bucket</t>
        </is>
      </c>
      <c r="J713" s="30" t="inlineStr">
        <is>
          <t>Scope rules</t>
        </is>
      </c>
      <c r="K713" s="30" t="n"/>
    </row>
    <row r="714" ht="15" customHeight="1" s="24">
      <c r="A714" s="28" t="n"/>
      <c r="B714" s="30" t="n"/>
      <c r="C714" s="30" t="inlineStr">
        <is>
          <t>AU1111-04</t>
        </is>
      </c>
      <c r="D714" s="30" t="inlineStr">
        <is>
          <t>24 Pink and White Roses</t>
        </is>
      </c>
      <c r="E714" s="30" t="inlineStr">
        <is>
          <t>Bouquets</t>
        </is>
      </c>
      <c r="F714" s="30" t="inlineStr">
        <is>
          <t>Out of scope</t>
        </is>
      </c>
      <c r="G714" s="30" t="inlineStr">
        <is>
          <t>Scope rules</t>
        </is>
      </c>
      <c r="H714" s="30" t="inlineStr">
        <is>
          <t>Excluded: Mel's (no mason jar)</t>
        </is>
      </c>
      <c r="I714" s="30" t="inlineStr">
        <is>
          <t>Mel's only takes products with mason jar in the title or bucket</t>
        </is>
      </c>
      <c r="J714" s="30" t="inlineStr">
        <is>
          <t>Scope rules</t>
        </is>
      </c>
      <c r="K714" s="30" t="n"/>
    </row>
    <row r="715" ht="15" customHeight="1" s="24">
      <c r="A715" s="28" t="n"/>
      <c r="B715" s="30" t="n"/>
      <c r="C715" s="30" t="inlineStr">
        <is>
          <t>AU1111-05</t>
        </is>
      </c>
      <c r="D715" s="30" t="inlineStr">
        <is>
          <t>Flower Fairy</t>
        </is>
      </c>
      <c r="E715" s="30" t="inlineStr">
        <is>
          <t>Bouquets</t>
        </is>
      </c>
      <c r="F715" s="30" t="inlineStr">
        <is>
          <t>Out of scope</t>
        </is>
      </c>
      <c r="G715" s="30" t="inlineStr">
        <is>
          <t>Scope rules</t>
        </is>
      </c>
      <c r="H715" s="30" t="inlineStr">
        <is>
          <t>Excluded: Mel's (no mason jar)</t>
        </is>
      </c>
      <c r="I715" s="30" t="inlineStr">
        <is>
          <t>Mel's only takes products with mason jar in the title or bucket</t>
        </is>
      </c>
      <c r="J715" s="30" t="inlineStr">
        <is>
          <t>Scope rules</t>
        </is>
      </c>
      <c r="K715" s="30" t="n"/>
    </row>
    <row r="716" ht="15" customHeight="1" s="24">
      <c r="A716" s="28" t="n"/>
      <c r="B716" s="30" t="n"/>
      <c r="C716" s="30" t="inlineStr">
        <is>
          <t>AU1111-06</t>
        </is>
      </c>
      <c r="D716" s="30" t="inlineStr">
        <is>
          <t>Gerberomeria</t>
        </is>
      </c>
      <c r="E716" s="30" t="inlineStr">
        <is>
          <t>Bouquets</t>
        </is>
      </c>
      <c r="F716" s="30" t="inlineStr">
        <is>
          <t>Out of scope</t>
        </is>
      </c>
      <c r="G716" s="30" t="inlineStr">
        <is>
          <t>Scope rules</t>
        </is>
      </c>
      <c r="H716" s="30" t="inlineStr">
        <is>
          <t>Excluded: Mel's (no mason jar)</t>
        </is>
      </c>
      <c r="I716" s="30" t="inlineStr">
        <is>
          <t>Mel's only takes products with mason jar in the title or bucket</t>
        </is>
      </c>
      <c r="J716" s="30" t="inlineStr">
        <is>
          <t>Scope rules</t>
        </is>
      </c>
      <c r="K716" s="30" t="n"/>
    </row>
    <row r="717" ht="15" customHeight="1" s="24">
      <c r="A717" s="28" t="n"/>
      <c r="B717" s="30" t="n"/>
      <c r="C717" s="30" t="inlineStr">
        <is>
          <t>AU1111-20</t>
        </is>
      </c>
      <c r="D717" s="30" t="inlineStr">
        <is>
          <t>Half Dozen Red Roses</t>
        </is>
      </c>
      <c r="E717" s="30" t="inlineStr">
        <is>
          <t>Roses</t>
        </is>
      </c>
      <c r="F717" s="30" t="inlineStr">
        <is>
          <t>Out of scope</t>
        </is>
      </c>
      <c r="G717" s="30" t="inlineStr">
        <is>
          <t>Scope rules</t>
        </is>
      </c>
      <c r="H717" s="30" t="inlineStr">
        <is>
          <t>Excluded: Mel's (no mason jar)</t>
        </is>
      </c>
      <c r="I717" s="30" t="inlineStr">
        <is>
          <t>Mel's only takes products with mason jar in the title or bucket</t>
        </is>
      </c>
      <c r="J717" s="30" t="inlineStr">
        <is>
          <t>Scope rules</t>
        </is>
      </c>
      <c r="K717" s="30" t="n"/>
    </row>
    <row r="718" ht="15" customHeight="1" s="24">
      <c r="A718" s="28" t="n"/>
      <c r="B718" s="30" t="n"/>
      <c r="C718" s="30" t="inlineStr">
        <is>
          <t>AU112-10</t>
        </is>
      </c>
      <c r="D718" s="30" t="inlineStr">
        <is>
          <t>Lavender Love</t>
        </is>
      </c>
      <c r="E718" s="30" t="inlineStr">
        <is>
          <t>Bouquets</t>
        </is>
      </c>
      <c r="F718" s="30" t="inlineStr">
        <is>
          <t>Out of scope</t>
        </is>
      </c>
      <c r="G718" s="30" t="inlineStr">
        <is>
          <t>Scope rules</t>
        </is>
      </c>
      <c r="H718" s="30" t="inlineStr">
        <is>
          <t>Excluded: Mel's (no mason jar)</t>
        </is>
      </c>
      <c r="I718" s="30" t="inlineStr">
        <is>
          <t>Mel's only takes products with mason jar in the title or bucket</t>
        </is>
      </c>
      <c r="J718" s="30" t="inlineStr">
        <is>
          <t>Scope rules</t>
        </is>
      </c>
      <c r="K718" s="30" t="n"/>
    </row>
    <row r="719" ht="15" customHeight="1" s="24">
      <c r="A719" s="28" t="n"/>
      <c r="B719" s="30" t="n"/>
      <c r="C719" s="30" t="inlineStr">
        <is>
          <t>AU112-11</t>
        </is>
      </c>
      <c r="D719" s="30" t="inlineStr">
        <is>
          <t>Sugar and Spice</t>
        </is>
      </c>
      <c r="E719" s="30" t="inlineStr">
        <is>
          <t>Bouquets</t>
        </is>
      </c>
      <c r="F719" s="30" t="inlineStr">
        <is>
          <t>Out of scope</t>
        </is>
      </c>
      <c r="G719" s="30" t="inlineStr">
        <is>
          <t>Scope rules</t>
        </is>
      </c>
      <c r="H719" s="30" t="inlineStr">
        <is>
          <t>Excluded: Mel's (no mason jar)</t>
        </is>
      </c>
      <c r="I719" s="30" t="inlineStr">
        <is>
          <t>Mel's only takes products with mason jar in the title or bucket</t>
        </is>
      </c>
      <c r="J719" s="30" t="inlineStr">
        <is>
          <t>Scope rules</t>
        </is>
      </c>
      <c r="K719" s="30" t="n"/>
    </row>
    <row r="720" ht="15" customHeight="1" s="24">
      <c r="A720" s="28" t="n"/>
      <c r="B720" s="30" t="n"/>
      <c r="C720" s="30" t="inlineStr">
        <is>
          <t>AU112-12</t>
        </is>
      </c>
      <c r="D720" s="30" t="inlineStr">
        <is>
          <t>Beautiful in Blue</t>
        </is>
      </c>
      <c r="E720" s="30" t="inlineStr">
        <is>
          <t>Sympathy</t>
        </is>
      </c>
      <c r="F720" s="30" t="inlineStr">
        <is>
          <t>Out of scope</t>
        </is>
      </c>
      <c r="G720" s="30" t="inlineStr">
        <is>
          <t>Scope rules</t>
        </is>
      </c>
      <c r="H720" s="30" t="inlineStr">
        <is>
          <t>Excluded: Mel's (no mason jar)</t>
        </is>
      </c>
      <c r="I720" s="30" t="inlineStr">
        <is>
          <t>Mel's only takes products with mason jar in the title or bucket</t>
        </is>
      </c>
      <c r="J720" s="30" t="inlineStr">
        <is>
          <t>Scope rules</t>
        </is>
      </c>
      <c r="K720" s="30" t="n"/>
    </row>
    <row r="721" ht="15" customHeight="1" s="24">
      <c r="A721" s="28" t="n"/>
      <c r="B721" s="30" t="n"/>
      <c r="C721" s="30" t="inlineStr">
        <is>
          <t>AU112-18</t>
        </is>
      </c>
      <c r="D721" s="30" t="inlineStr">
        <is>
          <t>Forever Beloved</t>
        </is>
      </c>
      <c r="E721" s="30" t="inlineStr">
        <is>
          <t>Bouquets</t>
        </is>
      </c>
      <c r="F721" s="30" t="inlineStr">
        <is>
          <t>Out of scope</t>
        </is>
      </c>
      <c r="G721" s="30" t="inlineStr">
        <is>
          <t>Scope rules</t>
        </is>
      </c>
      <c r="H721" s="30" t="inlineStr">
        <is>
          <t>Excluded: Mel's (no mason jar)</t>
        </is>
      </c>
      <c r="I721" s="30" t="inlineStr">
        <is>
          <t>Mel's only takes products with mason jar in the title or bucket</t>
        </is>
      </c>
      <c r="J721" s="30" t="inlineStr">
        <is>
          <t>Scope rules</t>
        </is>
      </c>
      <c r="K721" s="30" t="n"/>
    </row>
    <row r="722" ht="15" customHeight="1" s="24">
      <c r="A722" s="28" t="n"/>
      <c r="B722" s="30" t="n"/>
      <c r="C722" s="30" t="inlineStr">
        <is>
          <t>AU112-22</t>
        </is>
      </c>
      <c r="D722" s="30" t="inlineStr">
        <is>
          <t>Romantic Getaway</t>
        </is>
      </c>
      <c r="E722" s="30" t="inlineStr">
        <is>
          <t>Bouquets</t>
        </is>
      </c>
      <c r="F722" s="30" t="inlineStr">
        <is>
          <t>Out of scope</t>
        </is>
      </c>
      <c r="G722" s="30" t="inlineStr">
        <is>
          <t>Scope rules</t>
        </is>
      </c>
      <c r="H722" s="30" t="inlineStr">
        <is>
          <t>Excluded: Mel's (no mason jar)</t>
        </is>
      </c>
      <c r="I722" s="30" t="inlineStr">
        <is>
          <t>Mel's only takes products with mason jar in the title or bucket</t>
        </is>
      </c>
      <c r="J722" s="30" t="inlineStr">
        <is>
          <t>Scope rules</t>
        </is>
      </c>
      <c r="K722" s="30" t="n"/>
    </row>
    <row r="723" ht="15" customHeight="1" s="24">
      <c r="A723" s="28" t="n"/>
      <c r="B723" s="30" t="n"/>
      <c r="C723" s="30" t="inlineStr">
        <is>
          <t>AU112-24</t>
        </is>
      </c>
      <c r="D723" s="30" t="inlineStr">
        <is>
          <t>Fabulous Bouquet</t>
        </is>
      </c>
      <c r="E723" s="30" t="inlineStr">
        <is>
          <t>Bouquets</t>
        </is>
      </c>
      <c r="F723" s="30" t="inlineStr">
        <is>
          <t>Out of scope</t>
        </is>
      </c>
      <c r="G723" s="30" t="inlineStr">
        <is>
          <t>Scope rules</t>
        </is>
      </c>
      <c r="H723" s="30" t="inlineStr">
        <is>
          <t>Excluded: Mel's (no mason jar)</t>
        </is>
      </c>
      <c r="I723" s="30" t="inlineStr">
        <is>
          <t>Mel's only takes products with mason jar in the title or bucket</t>
        </is>
      </c>
      <c r="J723" s="30" t="inlineStr">
        <is>
          <t>Scope rules</t>
        </is>
      </c>
      <c r="K723" s="30" t="n"/>
    </row>
    <row r="724" ht="15" customHeight="1" s="24">
      <c r="A724" s="28" t="n"/>
      <c r="B724" s="30" t="n"/>
      <c r="C724" s="30" t="inlineStr">
        <is>
          <t>AU112-28</t>
        </is>
      </c>
      <c r="D724" s="30" t="inlineStr">
        <is>
          <t>Radiant Care Spray</t>
        </is>
      </c>
      <c r="E724" s="30" t="inlineStr">
        <is>
          <t>Sympathy</t>
        </is>
      </c>
      <c r="F724" s="30" t="inlineStr">
        <is>
          <t>Out of scope</t>
        </is>
      </c>
      <c r="G724" s="30" t="inlineStr">
        <is>
          <t>Scope rules</t>
        </is>
      </c>
      <c r="H724" s="30" t="inlineStr">
        <is>
          <t>Excluded: Mel's (no mason jar)</t>
        </is>
      </c>
      <c r="I724" s="30" t="inlineStr">
        <is>
          <t>Mel's only takes products with mason jar in the title or bucket</t>
        </is>
      </c>
      <c r="J724" s="30" t="inlineStr">
        <is>
          <t>Scope rules</t>
        </is>
      </c>
      <c r="K724" s="30" t="n"/>
    </row>
    <row r="725" ht="15" customHeight="1" s="24">
      <c r="A725" s="28" t="n"/>
      <c r="B725" s="30" t="n"/>
      <c r="C725" s="30" t="inlineStr">
        <is>
          <t>AU112-30</t>
        </is>
      </c>
      <c r="D725" s="30" t="inlineStr">
        <is>
          <t>Pastel Posy</t>
        </is>
      </c>
      <c r="E725" s="30" t="inlineStr">
        <is>
          <t>Bouquets</t>
        </is>
      </c>
      <c r="F725" s="30" t="inlineStr">
        <is>
          <t>Out of scope</t>
        </is>
      </c>
      <c r="G725" s="30" t="inlineStr">
        <is>
          <t>Scope rules</t>
        </is>
      </c>
      <c r="H725" s="30" t="inlineStr">
        <is>
          <t>Excluded: Mel's (no mason jar)</t>
        </is>
      </c>
      <c r="I725" s="30" t="inlineStr">
        <is>
          <t>Mel's only takes products with mason jar in the title or bucket</t>
        </is>
      </c>
      <c r="J725" s="30" t="inlineStr">
        <is>
          <t>Scope rules</t>
        </is>
      </c>
      <c r="K725" s="30" t="n"/>
    </row>
    <row r="726" ht="15" customHeight="1" s="24">
      <c r="A726" s="28" t="n"/>
      <c r="B726" s="30" t="n"/>
      <c r="C726" s="30" t="inlineStr">
        <is>
          <t>AU112-37</t>
        </is>
      </c>
      <c r="D726" s="30" t="inlineStr">
        <is>
          <t>Rose Tribute</t>
        </is>
      </c>
      <c r="E726" s="30" t="inlineStr">
        <is>
          <t>Sympathy</t>
        </is>
      </c>
      <c r="F726" s="30" t="inlineStr">
        <is>
          <t>Out of scope</t>
        </is>
      </c>
      <c r="G726" s="30" t="inlineStr">
        <is>
          <t>Scope rules</t>
        </is>
      </c>
      <c r="H726" s="30" t="inlineStr">
        <is>
          <t>Excluded: Mel's (no mason jar)</t>
        </is>
      </c>
      <c r="I726" s="30" t="inlineStr">
        <is>
          <t>Mel's only takes products with mason jar in the title or bucket</t>
        </is>
      </c>
      <c r="J726" s="30" t="inlineStr">
        <is>
          <t>Scope rules</t>
        </is>
      </c>
      <c r="K726" s="30" t="n"/>
    </row>
    <row r="727" ht="15" customHeight="1" s="24">
      <c r="A727" s="28" t="n"/>
      <c r="B727" s="30" t="n"/>
      <c r="C727" s="30" t="inlineStr">
        <is>
          <t>AU112-42</t>
        </is>
      </c>
      <c r="D727" s="30" t="inlineStr">
        <is>
          <t>Zesty Bouquet</t>
        </is>
      </c>
      <c r="E727" s="30" t="inlineStr">
        <is>
          <t>Bouquets</t>
        </is>
      </c>
      <c r="F727" s="30" t="inlineStr">
        <is>
          <t>Out of scope</t>
        </is>
      </c>
      <c r="G727" s="30" t="inlineStr">
        <is>
          <t>Scope rules</t>
        </is>
      </c>
      <c r="H727" s="30" t="inlineStr">
        <is>
          <t>Excluded: Mel's (no mason jar)</t>
        </is>
      </c>
      <c r="I727" s="30" t="inlineStr">
        <is>
          <t>Mel's only takes products with mason jar in the title or bucket</t>
        </is>
      </c>
      <c r="J727" s="30" t="inlineStr">
        <is>
          <t>Scope rules</t>
        </is>
      </c>
      <c r="K727" s="30" t="n"/>
    </row>
    <row r="728" ht="15" customHeight="1" s="24">
      <c r="A728" s="28" t="n"/>
      <c r="B728" s="30" t="n"/>
      <c r="C728" s="30" t="inlineStr">
        <is>
          <t>AU112-56</t>
        </is>
      </c>
      <c r="D728" s="30" t="inlineStr">
        <is>
          <t>Rose Impression</t>
        </is>
      </c>
      <c r="E728" s="30" t="inlineStr">
        <is>
          <t>Sympathy</t>
        </is>
      </c>
      <c r="F728" s="30" t="inlineStr">
        <is>
          <t>Out of scope</t>
        </is>
      </c>
      <c r="G728" s="30" t="inlineStr">
        <is>
          <t>Scope rules</t>
        </is>
      </c>
      <c r="H728" s="30" t="inlineStr">
        <is>
          <t>Excluded: Mel's (no mason jar)</t>
        </is>
      </c>
      <c r="I728" s="30" t="inlineStr">
        <is>
          <t>Mel's only takes products with mason jar in the title or bucket</t>
        </is>
      </c>
      <c r="J728" s="30" t="inlineStr">
        <is>
          <t>Scope rules</t>
        </is>
      </c>
      <c r="K728" s="30" t="n"/>
    </row>
    <row r="729" ht="15" customHeight="1" s="24">
      <c r="A729" s="28" t="n"/>
      <c r="B729" s="30" t="n"/>
      <c r="C729" s="30" t="inlineStr">
        <is>
          <t>AU112-73</t>
        </is>
      </c>
      <c r="D729" s="30" t="inlineStr">
        <is>
          <t>Celestial Love</t>
        </is>
      </c>
      <c r="E729" s="30" t="inlineStr">
        <is>
          <t>Sympathy</t>
        </is>
      </c>
      <c r="F729" s="30" t="inlineStr">
        <is>
          <t>Out of scope</t>
        </is>
      </c>
      <c r="G729" s="30" t="inlineStr">
        <is>
          <t>Scope rules</t>
        </is>
      </c>
      <c r="H729" s="30" t="inlineStr">
        <is>
          <t>Excluded: Mel's (no mason jar)</t>
        </is>
      </c>
      <c r="I729" s="30" t="inlineStr">
        <is>
          <t>Mel's only takes products with mason jar in the title or bucket</t>
        </is>
      </c>
      <c r="J729" s="30" t="inlineStr">
        <is>
          <t>Scope rules</t>
        </is>
      </c>
      <c r="K729" s="30" t="n"/>
    </row>
    <row r="730" ht="15" customHeight="1" s="24">
      <c r="A730" s="28" t="n"/>
      <c r="B730" s="30" t="n"/>
      <c r="C730" s="30" t="inlineStr">
        <is>
          <t>AU112-90</t>
        </is>
      </c>
      <c r="D730" s="30" t="inlineStr">
        <is>
          <t>Simply Sweet</t>
        </is>
      </c>
      <c r="E730" s="30" t="inlineStr">
        <is>
          <t>Bouquets</t>
        </is>
      </c>
      <c r="F730" s="30" t="inlineStr">
        <is>
          <t>Out of scope</t>
        </is>
      </c>
      <c r="G730" s="30" t="inlineStr">
        <is>
          <t>Scope rules</t>
        </is>
      </c>
      <c r="H730" s="30" t="inlineStr">
        <is>
          <t>Excluded: Mel's (no mason jar)</t>
        </is>
      </c>
      <c r="I730" s="30" t="inlineStr">
        <is>
          <t>Mel's only takes products with mason jar in the title or bucket</t>
        </is>
      </c>
      <c r="J730" s="30" t="inlineStr">
        <is>
          <t>Scope rules</t>
        </is>
      </c>
      <c r="K730" s="30" t="n"/>
    </row>
    <row r="731" ht="22.35" customHeight="1" s="24">
      <c r="A731" s="28" t="n"/>
      <c r="B731" s="30" t="n"/>
      <c r="C731" s="30" t="inlineStr">
        <is>
          <t>AU115-12</t>
        </is>
      </c>
      <c r="D731" s="30" t="inlineStr">
        <is>
          <t>12 Red Roses, Chocolates, Card &amp; Wine</t>
        </is>
      </c>
      <c r="E731" s="30" t="inlineStr">
        <is>
          <t>Roses</t>
        </is>
      </c>
      <c r="F731" s="30" t="inlineStr">
        <is>
          <t>Out of scope</t>
        </is>
      </c>
      <c r="G731" s="30" t="inlineStr">
        <is>
          <t>Scope rules</t>
        </is>
      </c>
      <c r="H731" s="30" t="inlineStr">
        <is>
          <t>Excluded: Mel's (no mason jar)</t>
        </is>
      </c>
      <c r="I731" s="30" t="inlineStr">
        <is>
          <t>Mel's only takes products with mason jar in the title or bucket</t>
        </is>
      </c>
      <c r="J731" s="30" t="inlineStr">
        <is>
          <t>Scope rules</t>
        </is>
      </c>
      <c r="K731" s="30" t="n"/>
    </row>
    <row r="732" ht="15" customHeight="1" s="24">
      <c r="A732" s="28" t="n"/>
      <c r="B732" s="30" t="n"/>
      <c r="C732" s="30" t="inlineStr">
        <is>
          <t>AU115-18</t>
        </is>
      </c>
      <c r="D732" s="30" t="inlineStr">
        <is>
          <t>Revitalising Aromas</t>
        </is>
      </c>
      <c r="E732" s="30" t="inlineStr">
        <is>
          <t>Bouquets</t>
        </is>
      </c>
      <c r="F732" s="30" t="inlineStr">
        <is>
          <t>Out of scope</t>
        </is>
      </c>
      <c r="G732" s="30" t="inlineStr">
        <is>
          <t>Scope rules</t>
        </is>
      </c>
      <c r="H732" s="30" t="inlineStr">
        <is>
          <t>Excluded: Mel's (no mason jar)</t>
        </is>
      </c>
      <c r="I732" s="30" t="inlineStr">
        <is>
          <t>Mel's only takes products with mason jar in the title or bucket</t>
        </is>
      </c>
      <c r="J732" s="30" t="inlineStr">
        <is>
          <t>Scope rules</t>
        </is>
      </c>
      <c r="K732" s="30" t="n"/>
    </row>
    <row r="733" ht="15" customHeight="1" s="24">
      <c r="A733" s="28" t="n"/>
      <c r="B733" s="30" t="n"/>
      <c r="C733" s="30" t="inlineStr">
        <is>
          <t>AU1151-01</t>
        </is>
      </c>
      <c r="D733" s="30" t="inlineStr">
        <is>
          <t>Dozen Assorted Roses &amp; Card</t>
        </is>
      </c>
      <c r="E733" s="30" t="inlineStr">
        <is>
          <t>Roses</t>
        </is>
      </c>
      <c r="F733" s="30" t="inlineStr">
        <is>
          <t>Out of scope</t>
        </is>
      </c>
      <c r="G733" s="30" t="inlineStr">
        <is>
          <t>Scope rules</t>
        </is>
      </c>
      <c r="H733" s="30" t="inlineStr">
        <is>
          <t>Excluded: Mel's (no mason jar)</t>
        </is>
      </c>
      <c r="I733" s="30" t="inlineStr">
        <is>
          <t>Mel's only takes products with mason jar in the title or bucket</t>
        </is>
      </c>
      <c r="J733" s="30" t="inlineStr">
        <is>
          <t>Scope rules</t>
        </is>
      </c>
      <c r="K733" s="30" t="n"/>
    </row>
    <row r="734" ht="15" customHeight="1" s="24">
      <c r="A734" s="28" t="n"/>
      <c r="B734" s="30" t="n"/>
      <c r="C734" s="30" t="inlineStr">
        <is>
          <t>AU116-10</t>
        </is>
      </c>
      <c r="D734" s="30" t="inlineStr">
        <is>
          <t>Sublime Sentiments</t>
        </is>
      </c>
      <c r="E734" s="30" t="inlineStr">
        <is>
          <t>Sympathy</t>
        </is>
      </c>
      <c r="F734" s="30" t="inlineStr">
        <is>
          <t>Out of scope</t>
        </is>
      </c>
      <c r="G734" s="30" t="inlineStr">
        <is>
          <t>Scope rules</t>
        </is>
      </c>
      <c r="H734" s="30" t="inlineStr">
        <is>
          <t>Excluded: Mel's (no mason jar)</t>
        </is>
      </c>
      <c r="I734" s="30" t="inlineStr">
        <is>
          <t>Mel's only takes products with mason jar in the title or bucket</t>
        </is>
      </c>
      <c r="J734" s="30" t="inlineStr">
        <is>
          <t>Scope rules</t>
        </is>
      </c>
      <c r="K734" s="30" t="n"/>
    </row>
    <row r="735" ht="15" customHeight="1" s="24">
      <c r="A735" s="28" t="n"/>
      <c r="B735" s="30" t="n"/>
      <c r="C735" s="30" t="inlineStr">
        <is>
          <t>AU116-30</t>
        </is>
      </c>
      <c r="D735" s="30" t="inlineStr">
        <is>
          <t>Fairest Sentiments</t>
        </is>
      </c>
      <c r="E735" s="30" t="inlineStr">
        <is>
          <t>Sympathy</t>
        </is>
      </c>
      <c r="F735" s="30" t="inlineStr">
        <is>
          <t>Out of scope</t>
        </is>
      </c>
      <c r="G735" s="30" t="inlineStr">
        <is>
          <t>Scope rules</t>
        </is>
      </c>
      <c r="H735" s="30" t="inlineStr">
        <is>
          <t>Excluded: Mel's (no mason jar)</t>
        </is>
      </c>
      <c r="I735" s="30" t="inlineStr">
        <is>
          <t>Mel's only takes products with mason jar in the title or bucket</t>
        </is>
      </c>
      <c r="J735" s="30" t="inlineStr">
        <is>
          <t>Scope rules</t>
        </is>
      </c>
      <c r="K735" s="30" t="n"/>
    </row>
    <row r="736" ht="15" customHeight="1" s="24">
      <c r="A736" s="28" t="n"/>
      <c r="B736" s="30" t="n"/>
      <c r="C736" s="30" t="inlineStr">
        <is>
          <t>AU120-02</t>
        </is>
      </c>
      <c r="D736" s="30" t="inlineStr">
        <is>
          <t>Smattering of Summer</t>
        </is>
      </c>
      <c r="E736" s="30" t="inlineStr">
        <is>
          <t>Bouquets</t>
        </is>
      </c>
      <c r="F736" s="30" t="inlineStr">
        <is>
          <t>Out of scope</t>
        </is>
      </c>
      <c r="G736" s="30" t="inlineStr">
        <is>
          <t>Scope rules</t>
        </is>
      </c>
      <c r="H736" s="30" t="inlineStr">
        <is>
          <t>Excluded: Mel's (no mason jar)</t>
        </is>
      </c>
      <c r="I736" s="30" t="inlineStr">
        <is>
          <t>Mel's only takes products with mason jar in the title or bucket</t>
        </is>
      </c>
      <c r="J736" s="30" t="inlineStr">
        <is>
          <t>Scope rules</t>
        </is>
      </c>
      <c r="K736" s="30" t="n"/>
    </row>
    <row r="737" ht="15" customHeight="1" s="24">
      <c r="A737" s="28" t="n"/>
      <c r="B737" s="30" t="n"/>
      <c r="C737" s="30" t="inlineStr">
        <is>
          <t>AU120-21</t>
        </is>
      </c>
      <c r="D737" s="30" t="inlineStr">
        <is>
          <t>Simply Stunning</t>
        </is>
      </c>
      <c r="E737" s="30" t="inlineStr">
        <is>
          <t>Bouquets</t>
        </is>
      </c>
      <c r="F737" s="30" t="inlineStr">
        <is>
          <t>Out of scope</t>
        </is>
      </c>
      <c r="G737" s="30" t="inlineStr">
        <is>
          <t>Scope rules</t>
        </is>
      </c>
      <c r="H737" s="30" t="inlineStr">
        <is>
          <t>Excluded: Mel's (no mason jar)</t>
        </is>
      </c>
      <c r="I737" s="30" t="inlineStr">
        <is>
          <t>Mel's only takes products with mason jar in the title or bucket</t>
        </is>
      </c>
      <c r="J737" s="30" t="inlineStr">
        <is>
          <t>Scope rules</t>
        </is>
      </c>
      <c r="K737" s="30" t="n"/>
    </row>
    <row r="738" ht="15" customHeight="1" s="24">
      <c r="A738" s="28" t="n"/>
      <c r="B738" s="30" t="n"/>
      <c r="C738" s="30" t="inlineStr">
        <is>
          <t>AU120-71</t>
        </is>
      </c>
      <c r="D738" s="30" t="inlineStr">
        <is>
          <t>Sizzling Bouquet</t>
        </is>
      </c>
      <c r="E738" s="30" t="inlineStr">
        <is>
          <t>Bouquets</t>
        </is>
      </c>
      <c r="F738" s="30" t="inlineStr">
        <is>
          <t>Out of scope</t>
        </is>
      </c>
      <c r="G738" s="30" t="inlineStr">
        <is>
          <t>Scope rules</t>
        </is>
      </c>
      <c r="H738" s="30" t="inlineStr">
        <is>
          <t>Excluded: Mel's (no mason jar)</t>
        </is>
      </c>
      <c r="I738" s="30" t="inlineStr">
        <is>
          <t>Mel's only takes products with mason jar in the title or bucket</t>
        </is>
      </c>
      <c r="J738" s="30" t="inlineStr">
        <is>
          <t>Scope rules</t>
        </is>
      </c>
      <c r="K738" s="30" t="n"/>
    </row>
    <row r="739" ht="15" customHeight="1" s="24">
      <c r="A739" s="28" t="n"/>
      <c r="B739" s="30" t="n"/>
      <c r="C739" s="30" t="inlineStr">
        <is>
          <t>AU1211-03</t>
        </is>
      </c>
      <c r="D739" s="30" t="inlineStr">
        <is>
          <t>Two Dozen Yellow Roses</t>
        </is>
      </c>
      <c r="E739" s="30" t="inlineStr">
        <is>
          <t>Roses</t>
        </is>
      </c>
      <c r="F739" s="30" t="inlineStr">
        <is>
          <t>Out of scope</t>
        </is>
      </c>
      <c r="G739" s="30" t="inlineStr">
        <is>
          <t>Scope rules</t>
        </is>
      </c>
      <c r="H739" s="30" t="inlineStr">
        <is>
          <t>Excluded: Mel's (no mason jar)</t>
        </is>
      </c>
      <c r="I739" s="30" t="inlineStr">
        <is>
          <t>Mel's only takes products with mason jar in the title or bucket</t>
        </is>
      </c>
      <c r="J739" s="30" t="inlineStr">
        <is>
          <t>Scope rules</t>
        </is>
      </c>
      <c r="K739" s="30" t="n"/>
    </row>
    <row r="740" ht="15" customHeight="1" s="24">
      <c r="A740" s="28" t="n"/>
      <c r="B740" s="30" t="n"/>
      <c r="C740" s="30" t="inlineStr">
        <is>
          <t>AU1211-04</t>
        </is>
      </c>
      <c r="D740" s="30" t="inlineStr">
        <is>
          <t>24 Red and Yellow Roses</t>
        </is>
      </c>
      <c r="E740" s="30" t="inlineStr">
        <is>
          <t>Roses</t>
        </is>
      </c>
      <c r="F740" s="30" t="inlineStr">
        <is>
          <t>Out of scope</t>
        </is>
      </c>
      <c r="G740" s="30" t="inlineStr">
        <is>
          <t>Scope rules</t>
        </is>
      </c>
      <c r="H740" s="30" t="inlineStr">
        <is>
          <t>Excluded: Mel's (no mason jar)</t>
        </is>
      </c>
      <c r="I740" s="30" t="inlineStr">
        <is>
          <t>Mel's only takes products with mason jar in the title or bucket</t>
        </is>
      </c>
      <c r="J740" s="30" t="inlineStr">
        <is>
          <t>Scope rules</t>
        </is>
      </c>
      <c r="K740" s="30" t="n"/>
    </row>
    <row r="741" ht="15" customHeight="1" s="24">
      <c r="A741" s="28" t="n"/>
      <c r="B741" s="30" t="n"/>
      <c r="C741" s="30" t="inlineStr">
        <is>
          <t>AU13-21</t>
        </is>
      </c>
      <c r="D741" s="30" t="inlineStr">
        <is>
          <t>12 Red Medium Stemmed Roses</t>
        </is>
      </c>
      <c r="E741" s="30" t="inlineStr">
        <is>
          <t>Bouquets</t>
        </is>
      </c>
      <c r="F741" s="30" t="inlineStr">
        <is>
          <t>Out of scope</t>
        </is>
      </c>
      <c r="G741" s="30" t="inlineStr">
        <is>
          <t>Scope rules</t>
        </is>
      </c>
      <c r="H741" s="30" t="inlineStr">
        <is>
          <t>Excluded: Mel's (no mason jar)</t>
        </is>
      </c>
      <c r="I741" s="30" t="inlineStr">
        <is>
          <t>Mel's only takes products with mason jar in the title or bucket</t>
        </is>
      </c>
      <c r="J741" s="30" t="inlineStr">
        <is>
          <t>Scope rules</t>
        </is>
      </c>
      <c r="K741" s="30" t="n"/>
    </row>
    <row r="742" ht="15" customHeight="1" s="24">
      <c r="A742" s="28" t="n"/>
      <c r="B742" s="30" t="n"/>
      <c r="C742" s="30" t="inlineStr">
        <is>
          <t>AU13-47</t>
        </is>
      </c>
      <c r="D742" s="30" t="inlineStr">
        <is>
          <t>Dozen Boxed Red Roses Combo III</t>
        </is>
      </c>
      <c r="E742" s="30" t="inlineStr">
        <is>
          <t>Add-Ons</t>
        </is>
      </c>
      <c r="F742" s="30" t="inlineStr">
        <is>
          <t>Out of scope</t>
        </is>
      </c>
      <c r="G742" s="30" t="inlineStr">
        <is>
          <t>Scope rules</t>
        </is>
      </c>
      <c r="H742" s="30" t="inlineStr">
        <is>
          <t>Excluded: Mel's (no mason jar)</t>
        </is>
      </c>
      <c r="I742" s="30" t="inlineStr">
        <is>
          <t>Mel's only takes products with mason jar in the title or bucket</t>
        </is>
      </c>
      <c r="J742" s="30" t="inlineStr">
        <is>
          <t>Scope rules</t>
        </is>
      </c>
      <c r="K742" s="30" t="n"/>
    </row>
    <row r="743" ht="15" customHeight="1" s="24">
      <c r="A743" s="28" t="n"/>
      <c r="B743" s="30" t="n"/>
      <c r="C743" s="30" t="inlineStr">
        <is>
          <t>AU14-11</t>
        </is>
      </c>
      <c r="D743" s="30" t="inlineStr">
        <is>
          <t>12 Mixed Medium Stemmed Roses</t>
        </is>
      </c>
      <c r="E743" s="30" t="inlineStr">
        <is>
          <t>Bouquets</t>
        </is>
      </c>
      <c r="F743" s="30" t="inlineStr">
        <is>
          <t>Out of scope</t>
        </is>
      </c>
      <c r="G743" s="30" t="inlineStr">
        <is>
          <t>Scope rules</t>
        </is>
      </c>
      <c r="H743" s="30" t="inlineStr">
        <is>
          <t>Excluded: Mel's (no mason jar)</t>
        </is>
      </c>
      <c r="I743" s="30" t="inlineStr">
        <is>
          <t>Mel's only takes products with mason jar in the title or bucket</t>
        </is>
      </c>
      <c r="J743" s="30" t="inlineStr">
        <is>
          <t>Scope rules</t>
        </is>
      </c>
      <c r="K743" s="30" t="n"/>
    </row>
    <row r="744" ht="15" customHeight="1" s="24">
      <c r="A744" s="28" t="n"/>
      <c r="B744" s="30" t="n"/>
      <c r="C744" s="30" t="inlineStr">
        <is>
          <t>AU15-100</t>
        </is>
      </c>
      <c r="D744" s="30" t="inlineStr">
        <is>
          <t>100 Assorted Peruvian Lilies</t>
        </is>
      </c>
      <c r="E744" s="30" t="inlineStr">
        <is>
          <t>Bouquets</t>
        </is>
      </c>
      <c r="F744" s="30" t="inlineStr">
        <is>
          <t>Out of scope</t>
        </is>
      </c>
      <c r="G744" s="30" t="inlineStr">
        <is>
          <t>Scope rules</t>
        </is>
      </c>
      <c r="H744" s="30" t="inlineStr">
        <is>
          <t>Excluded: Mel's (no mason jar)</t>
        </is>
      </c>
      <c r="I744" s="30" t="inlineStr">
        <is>
          <t>Mel's only takes products with mason jar in the title or bucket</t>
        </is>
      </c>
      <c r="J744" s="30" t="inlineStr">
        <is>
          <t>Scope rules</t>
        </is>
      </c>
      <c r="K744" s="30" t="n"/>
    </row>
    <row r="745" ht="15" customHeight="1" s="24">
      <c r="A745" s="28" t="n"/>
      <c r="B745" s="30" t="n"/>
      <c r="C745" s="30" t="inlineStr">
        <is>
          <t>AU15-140</t>
        </is>
      </c>
      <c r="D745" s="30" t="inlineStr">
        <is>
          <t>150 Blooms of Peruvian Lillies</t>
        </is>
      </c>
      <c r="E745" s="30" t="inlineStr">
        <is>
          <t>Bouquets</t>
        </is>
      </c>
      <c r="F745" s="30" t="inlineStr">
        <is>
          <t>Out of scope</t>
        </is>
      </c>
      <c r="G745" s="30" t="inlineStr">
        <is>
          <t>Scope rules</t>
        </is>
      </c>
      <c r="H745" s="30" t="inlineStr">
        <is>
          <t>Excluded: Mel's (no mason jar)</t>
        </is>
      </c>
      <c r="I745" s="30" t="inlineStr">
        <is>
          <t>Mel's only takes products with mason jar in the title or bucket</t>
        </is>
      </c>
      <c r="J745" s="30" t="inlineStr">
        <is>
          <t>Scope rules</t>
        </is>
      </c>
      <c r="K745" s="30" t="n"/>
    </row>
    <row r="746" ht="15" customHeight="1" s="24">
      <c r="A746" s="28" t="n"/>
      <c r="B746" s="30" t="n"/>
      <c r="C746" s="30" t="inlineStr">
        <is>
          <t>AU15-200</t>
        </is>
      </c>
      <c r="D746" s="30" t="inlineStr">
        <is>
          <t>200 Blooms of Peruvian Lilies</t>
        </is>
      </c>
      <c r="E746" s="30" t="inlineStr">
        <is>
          <t>Bouquets</t>
        </is>
      </c>
      <c r="F746" s="30" t="inlineStr">
        <is>
          <t>Out of scope</t>
        </is>
      </c>
      <c r="G746" s="30" t="inlineStr">
        <is>
          <t>Scope rules</t>
        </is>
      </c>
      <c r="H746" s="30" t="inlineStr">
        <is>
          <t>Excluded: Mel's (no mason jar)</t>
        </is>
      </c>
      <c r="I746" s="30" t="inlineStr">
        <is>
          <t>Mel's only takes products with mason jar in the title or bucket</t>
        </is>
      </c>
      <c r="J746" s="30" t="inlineStr">
        <is>
          <t>Scope rules</t>
        </is>
      </c>
      <c r="K746" s="30" t="n"/>
    </row>
    <row r="747" ht="15" customHeight="1" s="24">
      <c r="A747" s="28" t="n"/>
      <c r="B747" s="30" t="n"/>
      <c r="C747" s="30" t="inlineStr">
        <is>
          <t>AU15-50</t>
        </is>
      </c>
      <c r="D747" s="30" t="inlineStr">
        <is>
          <t>50 Blooms of Peruvian Lilies</t>
        </is>
      </c>
      <c r="E747" s="30" t="inlineStr">
        <is>
          <t>Bouquets</t>
        </is>
      </c>
      <c r="F747" s="30" t="inlineStr">
        <is>
          <t>Out of scope</t>
        </is>
      </c>
      <c r="G747" s="30" t="inlineStr">
        <is>
          <t>Scope rules</t>
        </is>
      </c>
      <c r="H747" s="30" t="inlineStr">
        <is>
          <t>Excluded: Mel's (no mason jar)</t>
        </is>
      </c>
      <c r="I747" s="30" t="inlineStr">
        <is>
          <t>Mel's only takes products with mason jar in the title or bucket</t>
        </is>
      </c>
      <c r="J747" s="30" t="inlineStr">
        <is>
          <t>Scope rules</t>
        </is>
      </c>
      <c r="K747" s="30" t="n"/>
    </row>
    <row r="748" ht="15" customHeight="1" s="24">
      <c r="A748" s="28" t="n"/>
      <c r="B748" s="30" t="n"/>
      <c r="C748" s="30" t="inlineStr">
        <is>
          <t>AU16-10</t>
        </is>
      </c>
      <c r="D748" s="30" t="inlineStr">
        <is>
          <t>Gorgeous Gerberas</t>
        </is>
      </c>
      <c r="E748" s="30" t="inlineStr">
        <is>
          <t>Bouquets</t>
        </is>
      </c>
      <c r="F748" s="30" t="inlineStr">
        <is>
          <t>Out of scope</t>
        </is>
      </c>
      <c r="G748" s="30" t="inlineStr">
        <is>
          <t>Scope rules</t>
        </is>
      </c>
      <c r="H748" s="30" t="inlineStr">
        <is>
          <t>Excluded: Mel's (no mason jar)</t>
        </is>
      </c>
      <c r="I748" s="30" t="inlineStr">
        <is>
          <t>Mel's only takes products with mason jar in the title or bucket</t>
        </is>
      </c>
      <c r="J748" s="30" t="inlineStr">
        <is>
          <t>Scope rules</t>
        </is>
      </c>
      <c r="K748" s="30" t="n"/>
    </row>
    <row r="749" ht="15" customHeight="1" s="24">
      <c r="A749" s="28" t="n"/>
      <c r="B749" s="30" t="n"/>
      <c r="C749" s="30" t="inlineStr">
        <is>
          <t>AU16-30</t>
        </is>
      </c>
      <c r="D749" s="30" t="inlineStr">
        <is>
          <t>Rainbow Gerberas</t>
        </is>
      </c>
      <c r="E749" s="30" t="inlineStr">
        <is>
          <t>Bouquets</t>
        </is>
      </c>
      <c r="F749" s="30" t="inlineStr">
        <is>
          <t>Out of scope</t>
        </is>
      </c>
      <c r="G749" s="30" t="inlineStr">
        <is>
          <t>Scope rules</t>
        </is>
      </c>
      <c r="H749" s="30" t="inlineStr">
        <is>
          <t>Excluded: Mel's (no mason jar)</t>
        </is>
      </c>
      <c r="I749" s="30" t="inlineStr">
        <is>
          <t>Mel's only takes products with mason jar in the title or bucket</t>
        </is>
      </c>
      <c r="J749" s="30" t="inlineStr">
        <is>
          <t>Scope rules</t>
        </is>
      </c>
      <c r="K749" s="30" t="n"/>
    </row>
    <row r="750" ht="15" customHeight="1" s="24">
      <c r="A750" s="28" t="n"/>
      <c r="B750" s="30" t="n"/>
      <c r="C750" s="30" t="inlineStr">
        <is>
          <t>AU160-26</t>
        </is>
      </c>
      <c r="D750" s="30" t="inlineStr">
        <is>
          <t>Truly Beloved</t>
        </is>
      </c>
      <c r="E750" s="30" t="inlineStr">
        <is>
          <t>Sympathy</t>
        </is>
      </c>
      <c r="F750" s="30" t="inlineStr">
        <is>
          <t>Out of scope</t>
        </is>
      </c>
      <c r="G750" s="30" t="inlineStr">
        <is>
          <t>Scope rules</t>
        </is>
      </c>
      <c r="H750" s="30" t="inlineStr">
        <is>
          <t>Excluded: Mel's (no mason jar)</t>
        </is>
      </c>
      <c r="I750" s="30" t="inlineStr">
        <is>
          <t>Mel's only takes products with mason jar in the title or bucket</t>
        </is>
      </c>
      <c r="J750" s="30" t="inlineStr">
        <is>
          <t>Scope rules</t>
        </is>
      </c>
      <c r="K750" s="30" t="n"/>
    </row>
    <row r="751" ht="15" customHeight="1" s="24">
      <c r="A751" s="28" t="n"/>
      <c r="B751" s="30" t="n"/>
      <c r="C751" s="30" t="inlineStr">
        <is>
          <t>AU189-01</t>
        </is>
      </c>
      <c r="D751" s="30" t="inlineStr">
        <is>
          <t>Classic Sympathy Wreath</t>
        </is>
      </c>
      <c r="E751" s="30" t="inlineStr">
        <is>
          <t>Sympathy</t>
        </is>
      </c>
      <c r="F751" s="30" t="inlineStr">
        <is>
          <t>Out of scope</t>
        </is>
      </c>
      <c r="G751" s="30" t="inlineStr">
        <is>
          <t>Scope rules</t>
        </is>
      </c>
      <c r="H751" s="30" t="inlineStr">
        <is>
          <t>Excluded: Mel's (no mason jar)</t>
        </is>
      </c>
      <c r="I751" s="30" t="inlineStr">
        <is>
          <t>Mel's only takes products with mason jar in the title or bucket</t>
        </is>
      </c>
      <c r="J751" s="30" t="inlineStr">
        <is>
          <t>Scope rules</t>
        </is>
      </c>
      <c r="K751" s="30" t="n"/>
    </row>
    <row r="752" ht="15" customHeight="1" s="24">
      <c r="A752" s="28" t="n"/>
      <c r="B752" s="30" t="n"/>
      <c r="C752" s="30" t="inlineStr">
        <is>
          <t>AU189-07</t>
        </is>
      </c>
      <c r="D752" s="30" t="inlineStr">
        <is>
          <t>Red &amp; White Wreath</t>
        </is>
      </c>
      <c r="E752" s="30" t="inlineStr">
        <is>
          <t>Sympathy</t>
        </is>
      </c>
      <c r="F752" s="30" t="inlineStr">
        <is>
          <t>Out of scope</t>
        </is>
      </c>
      <c r="G752" s="30" t="inlineStr">
        <is>
          <t>Scope rules</t>
        </is>
      </c>
      <c r="H752" s="30" t="inlineStr">
        <is>
          <t>Excluded: Mel's (no mason jar)</t>
        </is>
      </c>
      <c r="I752" s="30" t="inlineStr">
        <is>
          <t>Mel's only takes products with mason jar in the title or bucket</t>
        </is>
      </c>
      <c r="J752" s="30" t="inlineStr">
        <is>
          <t>Scope rules</t>
        </is>
      </c>
      <c r="K752" s="30" t="n"/>
    </row>
    <row r="753" ht="15" customHeight="1" s="24">
      <c r="A753" s="28" t="n"/>
      <c r="B753" s="30" t="n"/>
      <c r="C753" s="30" t="inlineStr">
        <is>
          <t>AU189-08</t>
        </is>
      </c>
      <c r="D753" s="30" t="inlineStr">
        <is>
          <t>Eternity Wreath</t>
        </is>
      </c>
      <c r="E753" s="30" t="inlineStr">
        <is>
          <t>Sympathy</t>
        </is>
      </c>
      <c r="F753" s="30" t="inlineStr">
        <is>
          <t>Out of scope</t>
        </is>
      </c>
      <c r="G753" s="30" t="inlineStr">
        <is>
          <t>Scope rules</t>
        </is>
      </c>
      <c r="H753" s="30" t="inlineStr">
        <is>
          <t>Excluded: Mel's (no mason jar)</t>
        </is>
      </c>
      <c r="I753" s="30" t="inlineStr">
        <is>
          <t>Mel's only takes products with mason jar in the title or bucket</t>
        </is>
      </c>
      <c r="J753" s="30" t="inlineStr">
        <is>
          <t>Scope rules</t>
        </is>
      </c>
      <c r="K753" s="30" t="n"/>
    </row>
    <row r="754" ht="15" customHeight="1" s="24">
      <c r="A754" s="28" t="n"/>
      <c r="B754" s="30" t="n"/>
      <c r="C754" s="30" t="inlineStr">
        <is>
          <t>AU189-09</t>
        </is>
      </c>
      <c r="D754" s="30" t="inlineStr">
        <is>
          <t>Red Memories</t>
        </is>
      </c>
      <c r="E754" s="30" t="inlineStr">
        <is>
          <t>Sympathy</t>
        </is>
      </c>
      <c r="F754" s="30" t="inlineStr">
        <is>
          <t>Out of scope</t>
        </is>
      </c>
      <c r="G754" s="30" t="inlineStr">
        <is>
          <t>Scope rules</t>
        </is>
      </c>
      <c r="H754" s="30" t="inlineStr">
        <is>
          <t>Excluded: Mel's (no mason jar)</t>
        </is>
      </c>
      <c r="I754" s="30" t="inlineStr">
        <is>
          <t>Mel's only takes products with mason jar in the title or bucket</t>
        </is>
      </c>
      <c r="J754" s="30" t="inlineStr">
        <is>
          <t>Scope rules</t>
        </is>
      </c>
      <c r="K754" s="30" t="n"/>
    </row>
    <row r="755" ht="15" customHeight="1" s="24">
      <c r="A755" s="28" t="n"/>
      <c r="B755" s="30" t="n"/>
      <c r="C755" s="30" t="inlineStr">
        <is>
          <t>AU199-01</t>
        </is>
      </c>
      <c r="D755" s="30" t="inlineStr">
        <is>
          <t>Standing Heart</t>
        </is>
      </c>
      <c r="E755" s="30" t="inlineStr">
        <is>
          <t>Sympathy</t>
        </is>
      </c>
      <c r="F755" s="30" t="inlineStr">
        <is>
          <t>Out of scope</t>
        </is>
      </c>
      <c r="G755" s="30" t="inlineStr">
        <is>
          <t>Scope rules</t>
        </is>
      </c>
      <c r="H755" s="30" t="inlineStr">
        <is>
          <t>Excluded: Mel's (no mason jar)</t>
        </is>
      </c>
      <c r="I755" s="30" t="inlineStr">
        <is>
          <t>Mel's only takes products with mason jar in the title or bucket</t>
        </is>
      </c>
      <c r="J755" s="30" t="inlineStr">
        <is>
          <t>Scope rules</t>
        </is>
      </c>
      <c r="K755" s="30" t="n"/>
    </row>
    <row r="756" ht="15" customHeight="1" s="24">
      <c r="A756" s="28" t="n"/>
      <c r="B756" s="30" t="n"/>
      <c r="C756" s="30" t="inlineStr">
        <is>
          <t>AU199-02</t>
        </is>
      </c>
      <c r="D756" s="30" t="inlineStr">
        <is>
          <t>White Daisy Heart</t>
        </is>
      </c>
      <c r="E756" s="30" t="inlineStr">
        <is>
          <t>Sympathy</t>
        </is>
      </c>
      <c r="F756" s="30" t="inlineStr">
        <is>
          <t>Out of scope</t>
        </is>
      </c>
      <c r="G756" s="30" t="inlineStr">
        <is>
          <t>Scope rules</t>
        </is>
      </c>
      <c r="H756" s="30" t="inlineStr">
        <is>
          <t>Excluded: Mel's (no mason jar)</t>
        </is>
      </c>
      <c r="I756" s="30" t="inlineStr">
        <is>
          <t>Mel's only takes products with mason jar in the title or bucket</t>
        </is>
      </c>
      <c r="J756" s="30" t="inlineStr">
        <is>
          <t>Scope rules</t>
        </is>
      </c>
      <c r="K756" s="30" t="n"/>
    </row>
    <row r="757" ht="15" customHeight="1" s="24">
      <c r="A757" s="28" t="n"/>
      <c r="B757" s="30" t="n"/>
      <c r="C757" s="30" t="inlineStr">
        <is>
          <t>AU199-03</t>
        </is>
      </c>
      <c r="D757" s="30" t="inlineStr">
        <is>
          <t>Red Remembrance</t>
        </is>
      </c>
      <c r="E757" s="30" t="inlineStr">
        <is>
          <t>Sympathy</t>
        </is>
      </c>
      <c r="F757" s="30" t="inlineStr">
        <is>
          <t>Out of scope</t>
        </is>
      </c>
      <c r="G757" s="30" t="inlineStr">
        <is>
          <t>Scope rules</t>
        </is>
      </c>
      <c r="H757" s="30" t="inlineStr">
        <is>
          <t>Excluded: Mel's (no mason jar)</t>
        </is>
      </c>
      <c r="I757" s="30" t="inlineStr">
        <is>
          <t>Mel's only takes products with mason jar in the title or bucket</t>
        </is>
      </c>
      <c r="J757" s="30" t="inlineStr">
        <is>
          <t>Scope rules</t>
        </is>
      </c>
      <c r="K757" s="30" t="n"/>
    </row>
    <row r="758" ht="15" customHeight="1" s="24">
      <c r="A758" s="28" t="n"/>
      <c r="B758" s="30" t="n"/>
      <c r="C758" s="30" t="inlineStr">
        <is>
          <t>AU199-07</t>
        </is>
      </c>
      <c r="D758" s="30" t="inlineStr">
        <is>
          <t>Green &amp; White Heart</t>
        </is>
      </c>
      <c r="E758" s="30" t="inlineStr">
        <is>
          <t>Sympathy</t>
        </is>
      </c>
      <c r="F758" s="30" t="inlineStr">
        <is>
          <t>Out of scope</t>
        </is>
      </c>
      <c r="G758" s="30" t="inlineStr">
        <is>
          <t>Scope rules</t>
        </is>
      </c>
      <c r="H758" s="30" t="inlineStr">
        <is>
          <t>Excluded: Mel's (no mason jar)</t>
        </is>
      </c>
      <c r="I758" s="30" t="inlineStr">
        <is>
          <t>Mel's only takes products with mason jar in the title or bucket</t>
        </is>
      </c>
      <c r="J758" s="30" t="inlineStr">
        <is>
          <t>Scope rules</t>
        </is>
      </c>
      <c r="K758" s="30" t="n"/>
    </row>
    <row r="759" ht="15" customHeight="1" s="24">
      <c r="A759" s="28" t="n"/>
      <c r="B759" s="30" t="n"/>
      <c r="C759" s="30" t="inlineStr">
        <is>
          <t>AU199-09</t>
        </is>
      </c>
      <c r="D759" s="30" t="inlineStr">
        <is>
          <t>Purest Heart</t>
        </is>
      </c>
      <c r="E759" s="30" t="inlineStr">
        <is>
          <t>Sympathy</t>
        </is>
      </c>
      <c r="F759" s="30" t="inlineStr">
        <is>
          <t>Out of scope</t>
        </is>
      </c>
      <c r="G759" s="30" t="inlineStr">
        <is>
          <t>Scope rules</t>
        </is>
      </c>
      <c r="H759" s="30" t="inlineStr">
        <is>
          <t>Excluded: Mel's (no mason jar)</t>
        </is>
      </c>
      <c r="I759" s="30" t="inlineStr">
        <is>
          <t>Mel's only takes products with mason jar in the title or bucket</t>
        </is>
      </c>
      <c r="J759" s="30" t="inlineStr">
        <is>
          <t>Scope rules</t>
        </is>
      </c>
      <c r="K759" s="30" t="n"/>
    </row>
    <row r="760" ht="15" customHeight="1" s="24">
      <c r="A760" s="28" t="n"/>
      <c r="B760" s="30" t="n"/>
      <c r="C760" s="30" t="inlineStr">
        <is>
          <t>AU20-03</t>
        </is>
      </c>
      <c r="D760" s="30" t="inlineStr">
        <is>
          <t>Roses and Smiles</t>
        </is>
      </c>
      <c r="E760" s="30" t="inlineStr">
        <is>
          <t>Bouquets</t>
        </is>
      </c>
      <c r="F760" s="30" t="inlineStr">
        <is>
          <t>Out of scope</t>
        </is>
      </c>
      <c r="G760" s="30" t="inlineStr">
        <is>
          <t>Scope rules</t>
        </is>
      </c>
      <c r="H760" s="30" t="inlineStr">
        <is>
          <t>Excluded: Mel's (no mason jar)</t>
        </is>
      </c>
      <c r="I760" s="30" t="inlineStr">
        <is>
          <t>Mel's only takes products with mason jar in the title or bucket</t>
        </is>
      </c>
      <c r="J760" s="30" t="inlineStr">
        <is>
          <t>Scope rules</t>
        </is>
      </c>
      <c r="K760" s="30" t="n"/>
    </row>
    <row r="761" ht="15" customHeight="1" s="24">
      <c r="A761" s="28" t="n"/>
      <c r="B761" s="30" t="n"/>
      <c r="C761" s="30" t="inlineStr">
        <is>
          <t>AU200-10</t>
        </is>
      </c>
      <c r="D761" s="30" t="inlineStr">
        <is>
          <t>Yellow Alstromeria</t>
        </is>
      </c>
      <c r="E761" s="30" t="inlineStr">
        <is>
          <t>Bouquets</t>
        </is>
      </c>
      <c r="F761" s="30" t="inlineStr">
        <is>
          <t>Out of scope</t>
        </is>
      </c>
      <c r="G761" s="30" t="inlineStr">
        <is>
          <t>Scope rules</t>
        </is>
      </c>
      <c r="H761" s="30" t="inlineStr">
        <is>
          <t>Excluded: Mel's (no mason jar)</t>
        </is>
      </c>
      <c r="I761" s="30" t="inlineStr">
        <is>
          <t>Mel's only takes products with mason jar in the title or bucket</t>
        </is>
      </c>
      <c r="J761" s="30" t="inlineStr">
        <is>
          <t>Scope rules</t>
        </is>
      </c>
      <c r="K761" s="30" t="n"/>
    </row>
    <row r="762" ht="15" customHeight="1" s="24">
      <c r="A762" s="28" t="n"/>
      <c r="B762" s="30" t="n"/>
      <c r="C762" s="30" t="inlineStr">
        <is>
          <t>AU200-20</t>
        </is>
      </c>
      <c r="D762" s="30" t="inlineStr">
        <is>
          <t>Alstroemeria Brights</t>
        </is>
      </c>
      <c r="E762" s="30" t="inlineStr">
        <is>
          <t>Bouquets</t>
        </is>
      </c>
      <c r="F762" s="30" t="inlineStr">
        <is>
          <t>Out of scope</t>
        </is>
      </c>
      <c r="G762" s="30" t="inlineStr">
        <is>
          <t>Scope rules</t>
        </is>
      </c>
      <c r="H762" s="30" t="inlineStr">
        <is>
          <t>Excluded: Mel's (no mason jar)</t>
        </is>
      </c>
      <c r="I762" s="30" t="inlineStr">
        <is>
          <t>Mel's only takes products with mason jar in the title or bucket</t>
        </is>
      </c>
      <c r="J762" s="30" t="inlineStr">
        <is>
          <t>Scope rules</t>
        </is>
      </c>
      <c r="K762" s="30" t="n"/>
    </row>
    <row r="763" ht="15" customHeight="1" s="24">
      <c r="A763" s="28" t="n"/>
      <c r="B763" s="30" t="n"/>
      <c r="C763" s="30" t="inlineStr">
        <is>
          <t>AU200-41</t>
        </is>
      </c>
      <c r="D763" s="30" t="inlineStr">
        <is>
          <t>Wild Berry</t>
        </is>
      </c>
      <c r="E763" s="30" t="inlineStr">
        <is>
          <t>Bouquets</t>
        </is>
      </c>
      <c r="F763" s="30" t="inlineStr">
        <is>
          <t>Out of scope</t>
        </is>
      </c>
      <c r="G763" s="30" t="inlineStr">
        <is>
          <t>Scope rules</t>
        </is>
      </c>
      <c r="H763" s="30" t="inlineStr">
        <is>
          <t>Excluded: Mel's (no mason jar)</t>
        </is>
      </c>
      <c r="I763" s="30" t="inlineStr">
        <is>
          <t>Mel's only takes products with mason jar in the title or bucket</t>
        </is>
      </c>
      <c r="J763" s="30" t="inlineStr">
        <is>
          <t>Scope rules</t>
        </is>
      </c>
      <c r="K763" s="30" t="n"/>
    </row>
    <row r="764" ht="15" customHeight="1" s="24">
      <c r="A764" s="28" t="n"/>
      <c r="B764" s="30" t="n"/>
      <c r="C764" s="30" t="inlineStr">
        <is>
          <t>AU200-51</t>
        </is>
      </c>
      <c r="D764" s="30" t="inlineStr">
        <is>
          <t>Ruby Sunset</t>
        </is>
      </c>
      <c r="E764" s="30" t="inlineStr">
        <is>
          <t>Bouquets</t>
        </is>
      </c>
      <c r="F764" s="30" t="inlineStr">
        <is>
          <t>Out of scope</t>
        </is>
      </c>
      <c r="G764" s="30" t="inlineStr">
        <is>
          <t>Scope rules</t>
        </is>
      </c>
      <c r="H764" s="30" t="inlineStr">
        <is>
          <t>Excluded: Mel's (no mason jar)</t>
        </is>
      </c>
      <c r="I764" s="30" t="inlineStr">
        <is>
          <t>Mel's only takes products with mason jar in the title or bucket</t>
        </is>
      </c>
      <c r="J764" s="30" t="inlineStr">
        <is>
          <t>Scope rules</t>
        </is>
      </c>
      <c r="K764" s="30" t="n"/>
    </row>
    <row r="765" ht="15" customHeight="1" s="24">
      <c r="A765" s="28" t="n"/>
      <c r="B765" s="30" t="n"/>
      <c r="C765" s="30" t="inlineStr">
        <is>
          <t>AU200-60</t>
        </is>
      </c>
      <c r="D765" s="30" t="inlineStr">
        <is>
          <t>Fresh &amp; Fragrant</t>
        </is>
      </c>
      <c r="E765" s="30" t="inlineStr">
        <is>
          <t>Bouquets</t>
        </is>
      </c>
      <c r="F765" s="30" t="inlineStr">
        <is>
          <t>Out of scope</t>
        </is>
      </c>
      <c r="G765" s="30" t="inlineStr">
        <is>
          <t>Scope rules</t>
        </is>
      </c>
      <c r="H765" s="30" t="inlineStr">
        <is>
          <t>Excluded: Mel's (no mason jar)</t>
        </is>
      </c>
      <c r="I765" s="30" t="inlineStr">
        <is>
          <t>Mel's only takes products with mason jar in the title or bucket</t>
        </is>
      </c>
      <c r="J765" s="30" t="inlineStr">
        <is>
          <t>Scope rules</t>
        </is>
      </c>
      <c r="K765" s="30" t="n"/>
    </row>
    <row r="766" ht="15" customHeight="1" s="24">
      <c r="A766" s="28" t="n"/>
      <c r="B766" s="30" t="n"/>
      <c r="C766" s="30" t="inlineStr">
        <is>
          <t>AU200-61</t>
        </is>
      </c>
      <c r="D766" s="30" t="inlineStr">
        <is>
          <t>Country Roads</t>
        </is>
      </c>
      <c r="E766" s="30" t="inlineStr">
        <is>
          <t>Bouquets</t>
        </is>
      </c>
      <c r="F766" s="30" t="inlineStr">
        <is>
          <t>Out of scope</t>
        </is>
      </c>
      <c r="G766" s="30" t="inlineStr">
        <is>
          <t>Scope rules</t>
        </is>
      </c>
      <c r="H766" s="30" t="inlineStr">
        <is>
          <t>Excluded: Mel's (no mason jar)</t>
        </is>
      </c>
      <c r="I766" s="30" t="inlineStr">
        <is>
          <t>Mel's only takes products with mason jar in the title or bucket</t>
        </is>
      </c>
      <c r="J766" s="30" t="inlineStr">
        <is>
          <t>Scope rules</t>
        </is>
      </c>
      <c r="K766" s="30" t="n"/>
    </row>
    <row r="767" ht="15" customHeight="1" s="24">
      <c r="A767" s="28" t="n"/>
      <c r="B767" s="30" t="n"/>
      <c r="C767" s="30" t="inlineStr">
        <is>
          <t>AU213-60</t>
        </is>
      </c>
      <c r="D767" s="30" t="inlineStr">
        <is>
          <t>Joyous Delight</t>
        </is>
      </c>
      <c r="E767" s="30" t="inlineStr">
        <is>
          <t>Bouquets</t>
        </is>
      </c>
      <c r="F767" s="30" t="inlineStr">
        <is>
          <t>Out of scope</t>
        </is>
      </c>
      <c r="G767" s="30" t="inlineStr">
        <is>
          <t>Scope rules</t>
        </is>
      </c>
      <c r="H767" s="30" t="inlineStr">
        <is>
          <t>Excluded: Mel's (no mason jar)</t>
        </is>
      </c>
      <c r="I767" s="30" t="inlineStr">
        <is>
          <t>Mel's only takes products with mason jar in the title or bucket</t>
        </is>
      </c>
      <c r="J767" s="30" t="inlineStr">
        <is>
          <t>Scope rules</t>
        </is>
      </c>
      <c r="K767" s="30" t="n"/>
    </row>
    <row r="768" ht="15" customHeight="1" s="24">
      <c r="A768" s="28" t="n"/>
      <c r="B768" s="30" t="n"/>
      <c r="C768" s="30" t="inlineStr">
        <is>
          <t>AU215-40</t>
        </is>
      </c>
      <c r="D768" s="30" t="inlineStr">
        <is>
          <t>Country Classic Bouquet</t>
        </is>
      </c>
      <c r="E768" s="30" t="inlineStr">
        <is>
          <t>Bouquets</t>
        </is>
      </c>
      <c r="F768" s="30" t="inlineStr">
        <is>
          <t>Out of scope</t>
        </is>
      </c>
      <c r="G768" s="30" t="inlineStr">
        <is>
          <t>Scope rules</t>
        </is>
      </c>
      <c r="H768" s="30" t="inlineStr">
        <is>
          <t>Excluded: Mel's (no mason jar)</t>
        </is>
      </c>
      <c r="I768" s="30" t="inlineStr">
        <is>
          <t>Mel's only takes products with mason jar in the title or bucket</t>
        </is>
      </c>
      <c r="J768" s="30" t="inlineStr">
        <is>
          <t>Scope rules</t>
        </is>
      </c>
      <c r="K768" s="30" t="n"/>
    </row>
    <row r="769" ht="15" customHeight="1" s="24">
      <c r="A769" s="28" t="n"/>
      <c r="B769" s="30" t="n"/>
      <c r="C769" s="30" t="inlineStr">
        <is>
          <t>AU216-51</t>
        </is>
      </c>
      <c r="D769" s="30" t="inlineStr">
        <is>
          <t>Funky Bouquet</t>
        </is>
      </c>
      <c r="E769" s="30" t="inlineStr">
        <is>
          <t>Bouquets</t>
        </is>
      </c>
      <c r="F769" s="30" t="inlineStr">
        <is>
          <t>Out of scope</t>
        </is>
      </c>
      <c r="G769" s="30" t="inlineStr">
        <is>
          <t>Scope rules</t>
        </is>
      </c>
      <c r="H769" s="30" t="inlineStr">
        <is>
          <t>Excluded: Mel's (no mason jar)</t>
        </is>
      </c>
      <c r="I769" s="30" t="inlineStr">
        <is>
          <t>Mel's only takes products with mason jar in the title or bucket</t>
        </is>
      </c>
      <c r="J769" s="30" t="inlineStr">
        <is>
          <t>Scope rules</t>
        </is>
      </c>
      <c r="K769" s="30" t="n"/>
    </row>
    <row r="770" ht="15" customHeight="1" s="24">
      <c r="A770" s="28" t="n"/>
      <c r="B770" s="30" t="n"/>
      <c r="C770" s="30" t="inlineStr">
        <is>
          <t>AU216-63</t>
        </is>
      </c>
      <c r="D770" s="30" t="inlineStr">
        <is>
          <t>Colourful Inspiration</t>
        </is>
      </c>
      <c r="E770" s="30" t="inlineStr">
        <is>
          <t>Bouquets</t>
        </is>
      </c>
      <c r="F770" s="30" t="inlineStr">
        <is>
          <t>Out of scope</t>
        </is>
      </c>
      <c r="G770" s="30" t="inlineStr">
        <is>
          <t>Scope rules</t>
        </is>
      </c>
      <c r="H770" s="30" t="inlineStr">
        <is>
          <t>Excluded: Mel's (no mason jar)</t>
        </is>
      </c>
      <c r="I770" s="30" t="inlineStr">
        <is>
          <t>Mel's only takes products with mason jar in the title or bucket</t>
        </is>
      </c>
      <c r="J770" s="30" t="inlineStr">
        <is>
          <t>Scope rules</t>
        </is>
      </c>
      <c r="K770" s="30" t="n"/>
    </row>
    <row r="771" ht="15" customHeight="1" s="24">
      <c r="A771" s="28" t="n"/>
      <c r="B771" s="30" t="n"/>
      <c r="C771" s="30" t="inlineStr">
        <is>
          <t>AU216-80</t>
        </is>
      </c>
      <c r="D771" s="30" t="inlineStr">
        <is>
          <t>Shimmering Sunlight</t>
        </is>
      </c>
      <c r="E771" s="30" t="inlineStr">
        <is>
          <t>Bouquets</t>
        </is>
      </c>
      <c r="F771" s="30" t="inlineStr">
        <is>
          <t>Out of scope</t>
        </is>
      </c>
      <c r="G771" s="30" t="inlineStr">
        <is>
          <t>Scope rules</t>
        </is>
      </c>
      <c r="H771" s="30" t="inlineStr">
        <is>
          <t>Excluded: Mel's (no mason jar)</t>
        </is>
      </c>
      <c r="I771" s="30" t="inlineStr">
        <is>
          <t>Mel's only takes products with mason jar in the title or bucket</t>
        </is>
      </c>
      <c r="J771" s="30" t="inlineStr">
        <is>
          <t>Scope rules</t>
        </is>
      </c>
      <c r="K771" s="30" t="n"/>
    </row>
    <row r="772" ht="15" customHeight="1" s="24">
      <c r="A772" s="28" t="n"/>
      <c r="B772" s="30" t="n"/>
      <c r="C772" s="30" t="inlineStr">
        <is>
          <t>AU218-30</t>
        </is>
      </c>
      <c r="D772" s="30" t="inlineStr">
        <is>
          <t>Pretty Posy</t>
        </is>
      </c>
      <c r="E772" s="30" t="inlineStr">
        <is>
          <t>Bouquets</t>
        </is>
      </c>
      <c r="F772" s="30" t="inlineStr">
        <is>
          <t>Out of scope</t>
        </is>
      </c>
      <c r="G772" s="30" t="inlineStr">
        <is>
          <t>Scope rules</t>
        </is>
      </c>
      <c r="H772" s="30" t="inlineStr">
        <is>
          <t>Excluded: Mel's (no mason jar)</t>
        </is>
      </c>
      <c r="I772" s="30" t="inlineStr">
        <is>
          <t>Mel's only takes products with mason jar in the title or bucket</t>
        </is>
      </c>
      <c r="J772" s="30" t="inlineStr">
        <is>
          <t>Scope rules</t>
        </is>
      </c>
      <c r="K772" s="30" t="n"/>
    </row>
    <row r="773" ht="15" customHeight="1" s="24">
      <c r="A773" s="28" t="n"/>
      <c r="B773" s="30" t="n"/>
      <c r="C773" s="30" t="inlineStr">
        <is>
          <t>AU219-40</t>
        </is>
      </c>
      <c r="D773" s="30" t="inlineStr">
        <is>
          <t>Pink and Lavender Bouquet</t>
        </is>
      </c>
      <c r="E773" s="30" t="inlineStr">
        <is>
          <t>Bouquets</t>
        </is>
      </c>
      <c r="F773" s="30" t="inlineStr">
        <is>
          <t>Out of scope</t>
        </is>
      </c>
      <c r="G773" s="30" t="inlineStr">
        <is>
          <t>Scope rules</t>
        </is>
      </c>
      <c r="H773" s="30" t="inlineStr">
        <is>
          <t>Excluded: Mel's (no mason jar)</t>
        </is>
      </c>
      <c r="I773" s="30" t="inlineStr">
        <is>
          <t>Mel's only takes products with mason jar in the title or bucket</t>
        </is>
      </c>
      <c r="J773" s="30" t="inlineStr">
        <is>
          <t>Scope rules</t>
        </is>
      </c>
      <c r="K773" s="30" t="n"/>
    </row>
    <row r="774" ht="15" customHeight="1" s="24">
      <c r="A774" s="28" t="n"/>
      <c r="B774" s="30" t="n"/>
      <c r="C774" s="30" t="inlineStr">
        <is>
          <t>AU22-10</t>
        </is>
      </c>
      <c r="D774" s="30" t="inlineStr">
        <is>
          <t>Pink Pleasure</t>
        </is>
      </c>
      <c r="E774" s="30" t="inlineStr">
        <is>
          <t>Bouquets</t>
        </is>
      </c>
      <c r="F774" s="30" t="inlineStr">
        <is>
          <t>Out of scope</t>
        </is>
      </c>
      <c r="G774" s="30" t="inlineStr">
        <is>
          <t>Scope rules</t>
        </is>
      </c>
      <c r="H774" s="30" t="inlineStr">
        <is>
          <t>Excluded: Mel's (no mason jar)</t>
        </is>
      </c>
      <c r="I774" s="30" t="inlineStr">
        <is>
          <t>Mel's only takes products with mason jar in the title or bucket</t>
        </is>
      </c>
      <c r="J774" s="30" t="inlineStr">
        <is>
          <t>Scope rules</t>
        </is>
      </c>
      <c r="K774" s="30" t="n"/>
    </row>
    <row r="775" ht="15" customHeight="1" s="24">
      <c r="A775" s="28" t="n"/>
      <c r="B775" s="30" t="n"/>
      <c r="C775" s="30" t="inlineStr">
        <is>
          <t>AU22-40</t>
        </is>
      </c>
      <c r="D775" s="30" t="inlineStr">
        <is>
          <t>Pink Grace</t>
        </is>
      </c>
      <c r="E775" s="30" t="inlineStr">
        <is>
          <t>Bouquets</t>
        </is>
      </c>
      <c r="F775" s="30" t="inlineStr">
        <is>
          <t>Out of scope</t>
        </is>
      </c>
      <c r="G775" s="30" t="inlineStr">
        <is>
          <t>Scope rules</t>
        </is>
      </c>
      <c r="H775" s="30" t="inlineStr">
        <is>
          <t>Excluded: Mel's (no mason jar)</t>
        </is>
      </c>
      <c r="I775" s="30" t="inlineStr">
        <is>
          <t>Mel's only takes products with mason jar in the title or bucket</t>
        </is>
      </c>
      <c r="J775" s="30" t="inlineStr">
        <is>
          <t>Scope rules</t>
        </is>
      </c>
      <c r="K775" s="30" t="n"/>
    </row>
    <row r="776" ht="15" customHeight="1" s="24">
      <c r="A776" s="28" t="n"/>
      <c r="B776" s="30" t="n"/>
      <c r="C776" s="30" t="inlineStr">
        <is>
          <t>AU22-61</t>
        </is>
      </c>
      <c r="D776" s="30" t="inlineStr">
        <is>
          <t>Lively Sparkles</t>
        </is>
      </c>
      <c r="E776" s="30" t="inlineStr">
        <is>
          <t>Bouquets</t>
        </is>
      </c>
      <c r="F776" s="30" t="inlineStr">
        <is>
          <t>Out of scope</t>
        </is>
      </c>
      <c r="G776" s="30" t="inlineStr">
        <is>
          <t>Scope rules</t>
        </is>
      </c>
      <c r="H776" s="30" t="inlineStr">
        <is>
          <t>Excluded: Mel's (no mason jar)</t>
        </is>
      </c>
      <c r="I776" s="30" t="inlineStr">
        <is>
          <t>Mel's only takes products with mason jar in the title or bucket</t>
        </is>
      </c>
      <c r="J776" s="30" t="inlineStr">
        <is>
          <t>Scope rules</t>
        </is>
      </c>
      <c r="K776" s="30" t="n"/>
    </row>
    <row r="777" ht="15" customHeight="1" s="24">
      <c r="A777" s="28" t="n"/>
      <c r="B777" s="30" t="n"/>
      <c r="C777" s="30" t="inlineStr">
        <is>
          <t>AU22-62</t>
        </is>
      </c>
      <c r="D777" s="30" t="inlineStr">
        <is>
          <t>Pink Delight</t>
        </is>
      </c>
      <c r="E777" s="30" t="inlineStr">
        <is>
          <t>Bouquets</t>
        </is>
      </c>
      <c r="F777" s="30" t="inlineStr">
        <is>
          <t>Out of scope</t>
        </is>
      </c>
      <c r="G777" s="30" t="inlineStr">
        <is>
          <t>Scope rules</t>
        </is>
      </c>
      <c r="H777" s="30" t="inlineStr">
        <is>
          <t>Excluded: Mel's (no mason jar)</t>
        </is>
      </c>
      <c r="I777" s="30" t="inlineStr">
        <is>
          <t>Mel's only takes products with mason jar in the title or bucket</t>
        </is>
      </c>
      <c r="J777" s="30" t="inlineStr">
        <is>
          <t>Scope rules</t>
        </is>
      </c>
      <c r="K777" s="30" t="n"/>
    </row>
    <row r="778" ht="15" customHeight="1" s="24">
      <c r="A778" s="28" t="n"/>
      <c r="B778" s="30" t="n"/>
      <c r="C778" s="30" t="inlineStr">
        <is>
          <t>AU222-05</t>
        </is>
      </c>
      <c r="D778" s="30" t="inlineStr">
        <is>
          <t>Blushing Bouquet</t>
        </is>
      </c>
      <c r="E778" s="30" t="inlineStr">
        <is>
          <t>Bouquets</t>
        </is>
      </c>
      <c r="F778" s="30" t="inlineStr">
        <is>
          <t>Out of scope</t>
        </is>
      </c>
      <c r="G778" s="30" t="inlineStr">
        <is>
          <t>Scope rules</t>
        </is>
      </c>
      <c r="H778" s="30" t="inlineStr">
        <is>
          <t>Excluded: Mel's (no mason jar)</t>
        </is>
      </c>
      <c r="I778" s="30" t="inlineStr">
        <is>
          <t>Mel's only takes products with mason jar in the title or bucket</t>
        </is>
      </c>
      <c r="J778" s="30" t="inlineStr">
        <is>
          <t>Scope rules</t>
        </is>
      </c>
      <c r="K778" s="30" t="n"/>
    </row>
    <row r="779" ht="15" customHeight="1" s="24">
      <c r="A779" s="28" t="n"/>
      <c r="B779" s="30" t="n"/>
      <c r="C779" s="30" t="inlineStr">
        <is>
          <t>AU222-09</t>
        </is>
      </c>
      <c r="D779" s="30" t="inlineStr">
        <is>
          <t>Autumn Garden</t>
        </is>
      </c>
      <c r="E779" s="30" t="inlineStr">
        <is>
          <t>Bouquets</t>
        </is>
      </c>
      <c r="F779" s="30" t="inlineStr">
        <is>
          <t>Out of scope</t>
        </is>
      </c>
      <c r="G779" s="30" t="inlineStr">
        <is>
          <t>Scope rules</t>
        </is>
      </c>
      <c r="H779" s="30" t="inlineStr">
        <is>
          <t>Excluded: Mel's (no mason jar)</t>
        </is>
      </c>
      <c r="I779" s="30" t="inlineStr">
        <is>
          <t>Mel's only takes products with mason jar in the title or bucket</t>
        </is>
      </c>
      <c r="J779" s="30" t="inlineStr">
        <is>
          <t>Scope rules</t>
        </is>
      </c>
      <c r="K779" s="30" t="n"/>
    </row>
    <row r="780" ht="15" customHeight="1" s="24">
      <c r="A780" s="28" t="n"/>
      <c r="B780" s="30" t="n"/>
      <c r="C780" s="30" t="inlineStr">
        <is>
          <t>AU222-19</t>
        </is>
      </c>
      <c r="D780" s="30" t="inlineStr">
        <is>
          <t>Ravishing Radiance</t>
        </is>
      </c>
      <c r="E780" s="30" t="inlineStr">
        <is>
          <t>Bouquets</t>
        </is>
      </c>
      <c r="F780" s="30" t="inlineStr">
        <is>
          <t>Out of scope</t>
        </is>
      </c>
      <c r="G780" s="30" t="inlineStr">
        <is>
          <t>Scope rules</t>
        </is>
      </c>
      <c r="H780" s="30" t="inlineStr">
        <is>
          <t>Excluded: Mel's (no mason jar)</t>
        </is>
      </c>
      <c r="I780" s="30" t="inlineStr">
        <is>
          <t>Mel's only takes products with mason jar in the title or bucket</t>
        </is>
      </c>
      <c r="J780" s="30" t="inlineStr">
        <is>
          <t>Scope rules</t>
        </is>
      </c>
      <c r="K780" s="30" t="n"/>
    </row>
    <row r="781" ht="15" customHeight="1" s="24">
      <c r="A781" s="28" t="n"/>
      <c r="B781" s="30" t="n"/>
      <c r="C781" s="30" t="inlineStr">
        <is>
          <t>AU222-80</t>
        </is>
      </c>
      <c r="D781" s="30" t="inlineStr">
        <is>
          <t>Wild Spirits</t>
        </is>
      </c>
      <c r="E781" s="30" t="inlineStr">
        <is>
          <t>Bouquets</t>
        </is>
      </c>
      <c r="F781" s="30" t="inlineStr">
        <is>
          <t>Out of scope</t>
        </is>
      </c>
      <c r="G781" s="30" t="inlineStr">
        <is>
          <t>Scope rules</t>
        </is>
      </c>
      <c r="H781" s="30" t="inlineStr">
        <is>
          <t>Excluded: Mel's (no mason jar)</t>
        </is>
      </c>
      <c r="I781" s="30" t="inlineStr">
        <is>
          <t>Mel's only takes products with mason jar in the title or bucket</t>
        </is>
      </c>
      <c r="J781" s="30" t="inlineStr">
        <is>
          <t>Scope rules</t>
        </is>
      </c>
      <c r="K781" s="30" t="n"/>
    </row>
    <row r="782" ht="15" customHeight="1" s="24">
      <c r="A782" s="28" t="n"/>
      <c r="B782" s="30" t="n"/>
      <c r="C782" s="30" t="inlineStr">
        <is>
          <t>AU24-60</t>
        </is>
      </c>
      <c r="D782" s="30" t="inlineStr">
        <is>
          <t>Feeling Peachy</t>
        </is>
      </c>
      <c r="E782" s="30" t="inlineStr">
        <is>
          <t>Bouquets</t>
        </is>
      </c>
      <c r="F782" s="30" t="inlineStr">
        <is>
          <t>Out of scope</t>
        </is>
      </c>
      <c r="G782" s="30" t="inlineStr">
        <is>
          <t>Scope rules</t>
        </is>
      </c>
      <c r="H782" s="30" t="inlineStr">
        <is>
          <t>Excluded: Mel's (no mason jar)</t>
        </is>
      </c>
      <c r="I782" s="30" t="inlineStr">
        <is>
          <t>Mel's only takes products with mason jar in the title or bucket</t>
        </is>
      </c>
      <c r="J782" s="30" t="inlineStr">
        <is>
          <t>Scope rules</t>
        </is>
      </c>
      <c r="K782" s="30" t="n"/>
    </row>
    <row r="783" ht="15" customHeight="1" s="24">
      <c r="A783" s="28" t="n"/>
      <c r="B783" s="30" t="n"/>
      <c r="C783" s="30" t="inlineStr">
        <is>
          <t>AU25-40</t>
        </is>
      </c>
      <c r="D783" s="30" t="inlineStr">
        <is>
          <t>Sunshine Bouquet</t>
        </is>
      </c>
      <c r="E783" s="30" t="inlineStr">
        <is>
          <t>Bouquets</t>
        </is>
      </c>
      <c r="F783" s="30" t="inlineStr">
        <is>
          <t>Out of scope</t>
        </is>
      </c>
      <c r="G783" s="30" t="inlineStr">
        <is>
          <t>Scope rules</t>
        </is>
      </c>
      <c r="H783" s="30" t="inlineStr">
        <is>
          <t>Excluded: Mel's (no mason jar)</t>
        </is>
      </c>
      <c r="I783" s="30" t="inlineStr">
        <is>
          <t>Mel's only takes products with mason jar in the title or bucket</t>
        </is>
      </c>
      <c r="J783" s="30" t="inlineStr">
        <is>
          <t>Scope rules</t>
        </is>
      </c>
      <c r="K783" s="30" t="n"/>
    </row>
    <row r="784" ht="15" customHeight="1" s="24">
      <c r="A784" s="28" t="n"/>
      <c r="B784" s="30" t="n"/>
      <c r="C784" s="30" t="inlineStr">
        <is>
          <t>AU25-60</t>
        </is>
      </c>
      <c r="D784" s="30" t="inlineStr">
        <is>
          <t>Heavenly Sunsets</t>
        </is>
      </c>
      <c r="E784" s="30" t="inlineStr">
        <is>
          <t>Bouquets</t>
        </is>
      </c>
      <c r="F784" s="30" t="inlineStr">
        <is>
          <t>Out of scope</t>
        </is>
      </c>
      <c r="G784" s="30" t="inlineStr">
        <is>
          <t>Scope rules</t>
        </is>
      </c>
      <c r="H784" s="30" t="inlineStr">
        <is>
          <t>Excluded: Mel's (no mason jar)</t>
        </is>
      </c>
      <c r="I784" s="30" t="inlineStr">
        <is>
          <t>Mel's only takes products with mason jar in the title or bucket</t>
        </is>
      </c>
      <c r="J784" s="30" t="inlineStr">
        <is>
          <t>Scope rules</t>
        </is>
      </c>
      <c r="K784" s="30" t="n"/>
    </row>
    <row r="785" ht="15" customHeight="1" s="24">
      <c r="A785" s="28" t="n"/>
      <c r="B785" s="30" t="n"/>
      <c r="C785" s="30" t="inlineStr">
        <is>
          <t>AU31-31</t>
        </is>
      </c>
      <c r="D785" s="30" t="inlineStr">
        <is>
          <t>Crimson Kiss</t>
        </is>
      </c>
      <c r="E785" s="30" t="inlineStr">
        <is>
          <t>Bouquets</t>
        </is>
      </c>
      <c r="F785" s="30" t="inlineStr">
        <is>
          <t>Out of scope</t>
        </is>
      </c>
      <c r="G785" s="30" t="inlineStr">
        <is>
          <t>Scope rules</t>
        </is>
      </c>
      <c r="H785" s="30" t="inlineStr">
        <is>
          <t>Excluded: Mel's (no mason jar)</t>
        </is>
      </c>
      <c r="I785" s="30" t="inlineStr">
        <is>
          <t>Mel's only takes products with mason jar in the title or bucket</t>
        </is>
      </c>
      <c r="J785" s="30" t="inlineStr">
        <is>
          <t>Scope rules</t>
        </is>
      </c>
      <c r="K785" s="30" t="n"/>
    </row>
    <row r="786" ht="15" customHeight="1" s="24">
      <c r="A786" s="28" t="n"/>
      <c r="B786" s="30" t="n"/>
      <c r="C786" s="30" t="inlineStr">
        <is>
          <t>AU40-12</t>
        </is>
      </c>
      <c r="D786" s="30" t="inlineStr">
        <is>
          <t>Carnival Bouquet</t>
        </is>
      </c>
      <c r="E786" s="30" t="inlineStr">
        <is>
          <t>Bouquets</t>
        </is>
      </c>
      <c r="F786" s="30" t="inlineStr">
        <is>
          <t>Out of scope</t>
        </is>
      </c>
      <c r="G786" s="30" t="inlineStr">
        <is>
          <t>Scope rules</t>
        </is>
      </c>
      <c r="H786" s="30" t="inlineStr">
        <is>
          <t>Excluded: Mel's (no mason jar)</t>
        </is>
      </c>
      <c r="I786" s="30" t="inlineStr">
        <is>
          <t>Mel's only takes products with mason jar in the title or bucket</t>
        </is>
      </c>
      <c r="J786" s="30" t="inlineStr">
        <is>
          <t>Scope rules</t>
        </is>
      </c>
      <c r="K786" s="30" t="n"/>
    </row>
    <row r="787" ht="15" customHeight="1" s="24">
      <c r="A787" s="28" t="n"/>
      <c r="B787" s="30" t="n"/>
      <c r="C787" s="30" t="inlineStr">
        <is>
          <t>AU40-30</t>
        </is>
      </c>
      <c r="D787" s="30" t="inlineStr">
        <is>
          <t>Dozen Gerberas</t>
        </is>
      </c>
      <c r="E787" s="30" t="inlineStr">
        <is>
          <t>Bouquets</t>
        </is>
      </c>
      <c r="F787" s="30" t="inlineStr">
        <is>
          <t>Out of scope</t>
        </is>
      </c>
      <c r="G787" s="30" t="inlineStr">
        <is>
          <t>Scope rules</t>
        </is>
      </c>
      <c r="H787" s="30" t="inlineStr">
        <is>
          <t>Excluded: Mel's (no mason jar)</t>
        </is>
      </c>
      <c r="I787" s="30" t="inlineStr">
        <is>
          <t>Mel's only takes products with mason jar in the title or bucket</t>
        </is>
      </c>
      <c r="J787" s="30" t="inlineStr">
        <is>
          <t>Scope rules</t>
        </is>
      </c>
      <c r="K787" s="30" t="n"/>
    </row>
    <row r="788" ht="15" customHeight="1" s="24">
      <c r="A788" s="28" t="n"/>
      <c r="B788" s="30" t="n"/>
      <c r="C788" s="30" t="inlineStr">
        <is>
          <t>AU501-02</t>
        </is>
      </c>
      <c r="D788" s="30" t="inlineStr">
        <is>
          <t>Red Rose Trio, Card &amp; Teddy</t>
        </is>
      </c>
      <c r="E788" s="30" t="inlineStr">
        <is>
          <t>Add-Ons</t>
        </is>
      </c>
      <c r="F788" s="30" t="inlineStr">
        <is>
          <t>Out of scope</t>
        </is>
      </c>
      <c r="G788" s="30" t="inlineStr">
        <is>
          <t>Scope rules</t>
        </is>
      </c>
      <c r="H788" s="30" t="inlineStr">
        <is>
          <t>Excluded: Mel's (no mason jar)</t>
        </is>
      </c>
      <c r="I788" s="30" t="inlineStr">
        <is>
          <t>Mel's only takes products with mason jar in the title or bucket</t>
        </is>
      </c>
      <c r="J788" s="30" t="inlineStr">
        <is>
          <t>Scope rules</t>
        </is>
      </c>
      <c r="K788" s="30" t="n"/>
    </row>
    <row r="789" ht="15" customHeight="1" s="24">
      <c r="A789" s="28" t="n"/>
      <c r="B789" s="30" t="n"/>
      <c r="C789" s="30" t="inlineStr">
        <is>
          <t>AU501-09</t>
        </is>
      </c>
      <c r="D789" s="30" t="inlineStr">
        <is>
          <t>Ten Red Roses, Card &amp; Teddy</t>
        </is>
      </c>
      <c r="E789" s="30" t="inlineStr">
        <is>
          <t>Add-Ons</t>
        </is>
      </c>
      <c r="F789" s="30" t="inlineStr">
        <is>
          <t>Out of scope</t>
        </is>
      </c>
      <c r="G789" s="30" t="inlineStr">
        <is>
          <t>Scope rules</t>
        </is>
      </c>
      <c r="H789" s="30" t="inlineStr">
        <is>
          <t>Excluded: Mel's (no mason jar)</t>
        </is>
      </c>
      <c r="I789" s="30" t="inlineStr">
        <is>
          <t>Mel's only takes products with mason jar in the title or bucket</t>
        </is>
      </c>
      <c r="J789" s="30" t="inlineStr">
        <is>
          <t>Scope rules</t>
        </is>
      </c>
      <c r="K789" s="30" t="n"/>
    </row>
    <row r="790" ht="15" customHeight="1" s="24">
      <c r="A790" s="28" t="n"/>
      <c r="B790" s="30" t="n"/>
      <c r="C790" s="30" t="inlineStr">
        <is>
          <t>AU501-10</t>
        </is>
      </c>
      <c r="D790" s="30" t="inlineStr">
        <is>
          <t>Ten Red Roses, Card &amp; Chocolates</t>
        </is>
      </c>
      <c r="E790" s="30" t="inlineStr">
        <is>
          <t>Bouquets</t>
        </is>
      </c>
      <c r="F790" s="30" t="inlineStr">
        <is>
          <t>Out of scope</t>
        </is>
      </c>
      <c r="G790" s="30" t="inlineStr">
        <is>
          <t>Scope rules</t>
        </is>
      </c>
      <c r="H790" s="30" t="inlineStr">
        <is>
          <t>Excluded: Mel's (no mason jar)</t>
        </is>
      </c>
      <c r="I790" s="30" t="inlineStr">
        <is>
          <t>Mel's only takes products with mason jar in the title or bucket</t>
        </is>
      </c>
      <c r="J790" s="30" t="inlineStr">
        <is>
          <t>Scope rules</t>
        </is>
      </c>
      <c r="K790" s="30" t="n"/>
    </row>
    <row r="791" ht="15" customHeight="1" s="24">
      <c r="A791" s="28" t="n"/>
      <c r="B791" s="30" t="n"/>
      <c r="C791" s="30" t="inlineStr">
        <is>
          <t>AU51-01</t>
        </is>
      </c>
      <c r="D791" s="30" t="inlineStr">
        <is>
          <t>Bestseller Combo I</t>
        </is>
      </c>
      <c r="E791" s="30" t="inlineStr">
        <is>
          <t>Bouquets</t>
        </is>
      </c>
      <c r="F791" s="30" t="inlineStr">
        <is>
          <t>Out of scope</t>
        </is>
      </c>
      <c r="G791" s="30" t="inlineStr">
        <is>
          <t>Scope rules</t>
        </is>
      </c>
      <c r="H791" s="30" t="inlineStr">
        <is>
          <t>Excluded: Mel's (no mason jar)</t>
        </is>
      </c>
      <c r="I791" s="30" t="inlineStr">
        <is>
          <t>Mel's only takes products with mason jar in the title or bucket</t>
        </is>
      </c>
      <c r="J791" s="30" t="inlineStr">
        <is>
          <t>Scope rules</t>
        </is>
      </c>
      <c r="K791" s="30" t="n"/>
    </row>
    <row r="792" ht="15" customHeight="1" s="24">
      <c r="A792" s="28" t="n"/>
      <c r="B792" s="30" t="n"/>
      <c r="C792" s="30" t="inlineStr">
        <is>
          <t>AU51-04</t>
        </is>
      </c>
      <c r="D792" s="30" t="inlineStr">
        <is>
          <t>Bestseller Combo IV</t>
        </is>
      </c>
      <c r="E792" s="30" t="inlineStr">
        <is>
          <t>Bouquets</t>
        </is>
      </c>
      <c r="F792" s="30" t="inlineStr">
        <is>
          <t>Out of scope</t>
        </is>
      </c>
      <c r="G792" s="30" t="inlineStr">
        <is>
          <t>Scope rules</t>
        </is>
      </c>
      <c r="H792" s="30" t="inlineStr">
        <is>
          <t>Excluded: Mel's (no mason jar)</t>
        </is>
      </c>
      <c r="I792" s="30" t="inlineStr">
        <is>
          <t>Mel's only takes products with mason jar in the title or bucket</t>
        </is>
      </c>
      <c r="J792" s="30" t="inlineStr">
        <is>
          <t>Scope rules</t>
        </is>
      </c>
      <c r="K792" s="30" t="n"/>
    </row>
    <row r="793" ht="22.35" customHeight="1" s="24">
      <c r="A793" s="28" t="n"/>
      <c r="B793" s="30" t="n"/>
      <c r="C793" s="30" t="inlineStr">
        <is>
          <t>AU77-21</t>
        </is>
      </c>
      <c r="D793" s="30" t="inlineStr">
        <is>
          <t>12 mixed Colour Medium Stemmed Roses</t>
        </is>
      </c>
      <c r="E793" s="30" t="inlineStr">
        <is>
          <t>Bouquets</t>
        </is>
      </c>
      <c r="F793" s="30" t="inlineStr">
        <is>
          <t>Out of scope</t>
        </is>
      </c>
      <c r="G793" s="30" t="inlineStr">
        <is>
          <t>Scope rules</t>
        </is>
      </c>
      <c r="H793" s="30" t="inlineStr">
        <is>
          <t>Excluded: Mel's (no mason jar)</t>
        </is>
      </c>
      <c r="I793" s="30" t="inlineStr">
        <is>
          <t>Mel's only takes products with mason jar in the title or bucket</t>
        </is>
      </c>
      <c r="J793" s="30" t="inlineStr">
        <is>
          <t>Scope rules</t>
        </is>
      </c>
      <c r="K793" s="30" t="n"/>
    </row>
    <row r="794" ht="15" customHeight="1" s="24">
      <c r="A794" s="28" t="n"/>
      <c r="B794" s="30" t="n"/>
      <c r="C794" s="30" t="inlineStr">
        <is>
          <t>AU80-05</t>
        </is>
      </c>
      <c r="D794" s="30" t="inlineStr">
        <is>
          <t>Picturesque</t>
        </is>
      </c>
      <c r="E794" s="30" t="inlineStr">
        <is>
          <t>Bouquets</t>
        </is>
      </c>
      <c r="F794" s="30" t="inlineStr">
        <is>
          <t>Out of scope</t>
        </is>
      </c>
      <c r="G794" s="30" t="inlineStr">
        <is>
          <t>Scope rules</t>
        </is>
      </c>
      <c r="H794" s="30" t="inlineStr">
        <is>
          <t>Excluded: Mel's (no mason jar)</t>
        </is>
      </c>
      <c r="I794" s="30" t="inlineStr">
        <is>
          <t>Mel's only takes products with mason jar in the title or bucket</t>
        </is>
      </c>
      <c r="J794" s="30" t="inlineStr">
        <is>
          <t>Scope rules</t>
        </is>
      </c>
      <c r="K794" s="30" t="n"/>
    </row>
    <row r="795" ht="15" customHeight="1" s="24">
      <c r="A795" s="28" t="n"/>
      <c r="B795" s="30" t="n"/>
      <c r="C795" s="30" t="inlineStr">
        <is>
          <t>AU80-06</t>
        </is>
      </c>
      <c r="D795" s="30" t="inlineStr">
        <is>
          <t>Classic Elegance</t>
        </is>
      </c>
      <c r="E795" s="30" t="inlineStr">
        <is>
          <t>Bouquets</t>
        </is>
      </c>
      <c r="F795" s="30" t="inlineStr">
        <is>
          <t>Out of scope</t>
        </is>
      </c>
      <c r="G795" s="30" t="inlineStr">
        <is>
          <t>Scope rules</t>
        </is>
      </c>
      <c r="H795" s="30" t="inlineStr">
        <is>
          <t>Excluded: Mel's (no mason jar)</t>
        </is>
      </c>
      <c r="I795" s="30" t="inlineStr">
        <is>
          <t>Mel's only takes products with mason jar in the title or bucket</t>
        </is>
      </c>
      <c r="J795" s="30" t="inlineStr">
        <is>
          <t>Scope rules</t>
        </is>
      </c>
      <c r="K795" s="30" t="n"/>
    </row>
    <row r="796" ht="15" customHeight="1" s="24">
      <c r="A796" s="28" t="n"/>
      <c r="B796" s="30" t="n"/>
      <c r="C796" s="30" t="inlineStr">
        <is>
          <t>AU81-81</t>
        </is>
      </c>
      <c r="D796" s="30" t="inlineStr">
        <is>
          <t>Always and Forever</t>
        </is>
      </c>
      <c r="E796" s="30" t="inlineStr">
        <is>
          <t>Bouquets</t>
        </is>
      </c>
      <c r="F796" s="30" t="inlineStr">
        <is>
          <t>Out of scope</t>
        </is>
      </c>
      <c r="G796" s="30" t="inlineStr">
        <is>
          <t>Scope rules</t>
        </is>
      </c>
      <c r="H796" s="30" t="inlineStr">
        <is>
          <t>Excluded: Mel's (no mason jar)</t>
        </is>
      </c>
      <c r="I796" s="30" t="inlineStr">
        <is>
          <t>Mel's only takes products with mason jar in the title or bucket</t>
        </is>
      </c>
      <c r="J796" s="30" t="inlineStr">
        <is>
          <t>Scope rules</t>
        </is>
      </c>
      <c r="K796" s="30" t="n"/>
    </row>
    <row r="797" ht="15" customHeight="1" s="24">
      <c r="A797" s="28" t="n"/>
      <c r="B797" s="30" t="n"/>
      <c r="C797" s="30" t="inlineStr">
        <is>
          <t>AU89-99</t>
        </is>
      </c>
      <c r="D797" s="30" t="inlineStr">
        <is>
          <t>Eighteen Long Stem Red Roses</t>
        </is>
      </c>
      <c r="E797" s="30" t="inlineStr">
        <is>
          <t>Bouquets</t>
        </is>
      </c>
      <c r="F797" s="30" t="inlineStr">
        <is>
          <t>Out of scope</t>
        </is>
      </c>
      <c r="G797" s="30" t="inlineStr">
        <is>
          <t>Scope rules</t>
        </is>
      </c>
      <c r="H797" s="30" t="inlineStr">
        <is>
          <t>Excluded: Mel's (no mason jar)</t>
        </is>
      </c>
      <c r="I797" s="30" t="inlineStr">
        <is>
          <t>Mel's only takes products with mason jar in the title or bucket</t>
        </is>
      </c>
      <c r="J797" s="30" t="inlineStr">
        <is>
          <t>Scope rules</t>
        </is>
      </c>
      <c r="K797" s="30" t="n"/>
    </row>
    <row r="798" ht="15" customHeight="1" s="24">
      <c r="A798" s="28" t="n"/>
      <c r="B798" s="30" t="n"/>
      <c r="C798" s="30" t="inlineStr">
        <is>
          <t>AU9-99</t>
        </is>
      </c>
      <c r="D798" s="30" t="inlineStr">
        <is>
          <t>12 Long Stemmed Red Roses</t>
        </is>
      </c>
      <c r="E798" s="30" t="inlineStr">
        <is>
          <t>Bouquets</t>
        </is>
      </c>
      <c r="F798" s="30" t="inlineStr">
        <is>
          <t>Out of scope</t>
        </is>
      </c>
      <c r="G798" s="30" t="inlineStr">
        <is>
          <t>Scope rules</t>
        </is>
      </c>
      <c r="H798" s="30" t="inlineStr">
        <is>
          <t>Excluded: Mel's (no mason jar)</t>
        </is>
      </c>
      <c r="I798" s="30" t="inlineStr">
        <is>
          <t>Mel's only takes products with mason jar in the title or bucket</t>
        </is>
      </c>
      <c r="J798" s="30" t="inlineStr">
        <is>
          <t>Scope rules</t>
        </is>
      </c>
      <c r="K798" s="30" t="n"/>
    </row>
    <row r="799" ht="15" customHeight="1" s="24">
      <c r="A799" s="28" t="n"/>
      <c r="B799" s="30" t="n"/>
      <c r="C799" s="30" t="inlineStr">
        <is>
          <t>AUBC-01</t>
        </is>
      </c>
      <c r="D799" s="30" t="inlineStr">
        <is>
          <t>Birthday Combo I</t>
        </is>
      </c>
      <c r="E799" s="30" t="inlineStr">
        <is>
          <t>Bouquets</t>
        </is>
      </c>
      <c r="F799" s="30" t="inlineStr">
        <is>
          <t>Out of scope</t>
        </is>
      </c>
      <c r="G799" s="30" t="inlineStr">
        <is>
          <t>Scope rules</t>
        </is>
      </c>
      <c r="H799" s="30" t="inlineStr">
        <is>
          <t>Excluded: Mel's (no mason jar)</t>
        </is>
      </c>
      <c r="I799" s="30" t="inlineStr">
        <is>
          <t>Mel's only takes products with mason jar in the title or bucket</t>
        </is>
      </c>
      <c r="J799" s="30" t="inlineStr">
        <is>
          <t>Scope rules</t>
        </is>
      </c>
      <c r="K799" s="30" t="n"/>
    </row>
    <row r="800" ht="15" customHeight="1" s="24">
      <c r="A800" s="28" t="n"/>
      <c r="B800" s="30" t="n"/>
      <c r="C800" s="30" t="inlineStr">
        <is>
          <t>AUBC-02</t>
        </is>
      </c>
      <c r="D800" s="30" t="inlineStr">
        <is>
          <t>Birthday Combo II</t>
        </is>
      </c>
      <c r="E800" s="30" t="inlineStr">
        <is>
          <t>Bouquets</t>
        </is>
      </c>
      <c r="F800" s="30" t="inlineStr">
        <is>
          <t>Out of scope</t>
        </is>
      </c>
      <c r="G800" s="30" t="inlineStr">
        <is>
          <t>Scope rules</t>
        </is>
      </c>
      <c r="H800" s="30" t="inlineStr">
        <is>
          <t>Excluded: Mel's (no mason jar)</t>
        </is>
      </c>
      <c r="I800" s="30" t="inlineStr">
        <is>
          <t>Mel's only takes products with mason jar in the title or bucket</t>
        </is>
      </c>
      <c r="J800" s="30" t="inlineStr">
        <is>
          <t>Scope rules</t>
        </is>
      </c>
      <c r="K800" s="30" t="n"/>
    </row>
    <row r="801" ht="15" customHeight="1" s="24">
      <c r="A801" s="28" t="n"/>
      <c r="B801" s="30" t="n"/>
      <c r="C801" s="30" t="inlineStr">
        <is>
          <t>AUBC-04</t>
        </is>
      </c>
      <c r="D801" s="30" t="inlineStr">
        <is>
          <t>Birthday Combo IV</t>
        </is>
      </c>
      <c r="E801" s="30" t="inlineStr">
        <is>
          <t>Bouquets</t>
        </is>
      </c>
      <c r="F801" s="30" t="inlineStr">
        <is>
          <t>Out of scope</t>
        </is>
      </c>
      <c r="G801" s="30" t="inlineStr">
        <is>
          <t>Scope rules</t>
        </is>
      </c>
      <c r="H801" s="30" t="inlineStr">
        <is>
          <t>Excluded: Mel's (no mason jar)</t>
        </is>
      </c>
      <c r="I801" s="30" t="inlineStr">
        <is>
          <t>Mel's only takes products with mason jar in the title or bucket</t>
        </is>
      </c>
      <c r="J801" s="30" t="inlineStr">
        <is>
          <t>Scope rules</t>
        </is>
      </c>
      <c r="K801" s="30" t="n"/>
    </row>
    <row r="802" ht="15" customHeight="1" s="24">
      <c r="A802" s="28" t="n"/>
      <c r="B802" s="30" t="n"/>
      <c r="C802" s="30" t="inlineStr">
        <is>
          <t>AUBLXNZ-03</t>
        </is>
      </c>
      <c r="D802" s="30" t="inlineStr">
        <is>
          <t>Blossom Harmony</t>
        </is>
      </c>
      <c r="E802" s="30" t="inlineStr">
        <is>
          <t>Bouquets</t>
        </is>
      </c>
      <c r="F802" s="30" t="inlineStr">
        <is>
          <t>Out of scope</t>
        </is>
      </c>
      <c r="G802" s="30" t="inlineStr">
        <is>
          <t>Scope rules</t>
        </is>
      </c>
      <c r="H802" s="30" t="inlineStr">
        <is>
          <t>Excluded: Mel's (no mason jar)</t>
        </is>
      </c>
      <c r="I802" s="30" t="inlineStr">
        <is>
          <t>Mel's only takes products with mason jar in the title or bucket</t>
        </is>
      </c>
      <c r="J802" s="30" t="inlineStr">
        <is>
          <t>Scope rules</t>
        </is>
      </c>
      <c r="K802" s="30" t="n"/>
    </row>
    <row r="803" ht="15" customHeight="1" s="24">
      <c r="A803" s="28" t="n"/>
      <c r="B803" s="30" t="n"/>
      <c r="C803" s="30" t="inlineStr">
        <is>
          <t>AUBLXNZ-04</t>
        </is>
      </c>
      <c r="D803" s="30" t="inlineStr">
        <is>
          <t>Roses &amp; Alstroemeria Medley</t>
        </is>
      </c>
      <c r="E803" s="30" t="inlineStr">
        <is>
          <t>Bouquets</t>
        </is>
      </c>
      <c r="F803" s="30" t="inlineStr">
        <is>
          <t>Out of scope</t>
        </is>
      </c>
      <c r="G803" s="30" t="inlineStr">
        <is>
          <t>Scope rules</t>
        </is>
      </c>
      <c r="H803" s="30" t="inlineStr">
        <is>
          <t>Excluded: Mel's (no mason jar)</t>
        </is>
      </c>
      <c r="I803" s="30" t="inlineStr">
        <is>
          <t>Mel's only takes products with mason jar in the title or bucket</t>
        </is>
      </c>
      <c r="J803" s="30" t="inlineStr">
        <is>
          <t>Scope rules</t>
        </is>
      </c>
      <c r="K803" s="30" t="n"/>
    </row>
    <row r="804" ht="22.35" customHeight="1" s="24">
      <c r="A804" s="28" t="n"/>
      <c r="B804" s="30" t="n"/>
      <c r="C804" s="30" t="inlineStr">
        <is>
          <t>AUDC-01</t>
        </is>
      </c>
      <c r="D804" s="30" t="inlineStr">
        <is>
          <t>Designer Collection I</t>
        </is>
      </c>
      <c r="E804" s="30" t="inlineStr">
        <is>
          <t>Designer Collection</t>
        </is>
      </c>
      <c r="F804" s="30" t="inlineStr">
        <is>
          <t>Out of scope</t>
        </is>
      </c>
      <c r="G804" s="30" t="inlineStr">
        <is>
          <t>Scope rules</t>
        </is>
      </c>
      <c r="H804" s="30" t="inlineStr">
        <is>
          <t>Excluded: Mel's (no mason jar)</t>
        </is>
      </c>
      <c r="I804" s="30" t="inlineStr">
        <is>
          <t>Mel's only takes products with mason jar in the title or bucket</t>
        </is>
      </c>
      <c r="J804" s="30" t="inlineStr">
        <is>
          <t>Scope rules</t>
        </is>
      </c>
      <c r="K804" s="30" t="n"/>
    </row>
    <row r="805" ht="22.35" customHeight="1" s="24">
      <c r="A805" s="28" t="n"/>
      <c r="B805" s="30" t="n"/>
      <c r="C805" s="30" t="inlineStr">
        <is>
          <t>AUDC-02</t>
        </is>
      </c>
      <c r="D805" s="30" t="inlineStr">
        <is>
          <t>Designer Collection II</t>
        </is>
      </c>
      <c r="E805" s="30" t="inlineStr">
        <is>
          <t>Designer Collection</t>
        </is>
      </c>
      <c r="F805" s="30" t="inlineStr">
        <is>
          <t>Out of scope</t>
        </is>
      </c>
      <c r="G805" s="30" t="inlineStr">
        <is>
          <t>Scope rules</t>
        </is>
      </c>
      <c r="H805" s="30" t="inlineStr">
        <is>
          <t>Excluded: Mel's (no mason jar)</t>
        </is>
      </c>
      <c r="I805" s="30" t="inlineStr">
        <is>
          <t>Mel's only takes products with mason jar in the title or bucket</t>
        </is>
      </c>
      <c r="J805" s="30" t="inlineStr">
        <is>
          <t>Scope rules</t>
        </is>
      </c>
      <c r="K805" s="30" t="n"/>
    </row>
    <row r="806" ht="22.35" customHeight="1" s="24">
      <c r="A806" s="28" t="n"/>
      <c r="B806" s="30" t="n"/>
      <c r="C806" s="30" t="inlineStr">
        <is>
          <t>AUDC-03</t>
        </is>
      </c>
      <c r="D806" s="30" t="inlineStr">
        <is>
          <t>Designer Collection III</t>
        </is>
      </c>
      <c r="E806" s="30" t="inlineStr">
        <is>
          <t>Designer Collection</t>
        </is>
      </c>
      <c r="F806" s="30" t="inlineStr">
        <is>
          <t>Out of scope</t>
        </is>
      </c>
      <c r="G806" s="30" t="inlineStr">
        <is>
          <t>Scope rules</t>
        </is>
      </c>
      <c r="H806" s="30" t="inlineStr">
        <is>
          <t>Excluded: Mel's (no mason jar)</t>
        </is>
      </c>
      <c r="I806" s="30" t="inlineStr">
        <is>
          <t>Mel's only takes products with mason jar in the title or bucket</t>
        </is>
      </c>
      <c r="J806" s="30" t="inlineStr">
        <is>
          <t>Scope rules</t>
        </is>
      </c>
      <c r="K806" s="30" t="n"/>
    </row>
    <row r="807" ht="22.35" customHeight="1" s="24">
      <c r="A807" s="28" t="n"/>
      <c r="B807" s="30" t="n"/>
      <c r="C807" s="30" t="inlineStr">
        <is>
          <t>AUDC-04</t>
        </is>
      </c>
      <c r="D807" s="30" t="inlineStr">
        <is>
          <t>Designer Collection IV</t>
        </is>
      </c>
      <c r="E807" s="30" t="inlineStr">
        <is>
          <t>Designer Collection</t>
        </is>
      </c>
      <c r="F807" s="30" t="inlineStr">
        <is>
          <t>Out of scope</t>
        </is>
      </c>
      <c r="G807" s="30" t="inlineStr">
        <is>
          <t>Scope rules</t>
        </is>
      </c>
      <c r="H807" s="30" t="inlineStr">
        <is>
          <t>Excluded: Mel's (no mason jar)</t>
        </is>
      </c>
      <c r="I807" s="30" t="inlineStr">
        <is>
          <t>Mel's only takes products with mason jar in the title or bucket</t>
        </is>
      </c>
      <c r="J807" s="30" t="inlineStr">
        <is>
          <t>Scope rules</t>
        </is>
      </c>
      <c r="K807" s="30" t="n"/>
    </row>
    <row r="808" ht="22.35" customHeight="1" s="24">
      <c r="A808" s="28" t="n"/>
      <c r="B808" s="30" t="n"/>
      <c r="C808" s="30" t="inlineStr">
        <is>
          <t>AUDC-04A</t>
        </is>
      </c>
      <c r="D808" s="30" t="inlineStr">
        <is>
          <t>Designer Collection Anniversary IV</t>
        </is>
      </c>
      <c r="E808" s="30" t="inlineStr">
        <is>
          <t>Designer Collection</t>
        </is>
      </c>
      <c r="F808" s="30" t="inlineStr">
        <is>
          <t>Out of scope</t>
        </is>
      </c>
      <c r="G808" s="30" t="inlineStr">
        <is>
          <t>Scope rules</t>
        </is>
      </c>
      <c r="H808" s="30" t="inlineStr">
        <is>
          <t>Excluded: Mel's (no mason jar)</t>
        </is>
      </c>
      <c r="I808" s="30" t="inlineStr">
        <is>
          <t>Mel's only takes products with mason jar in the title or bucket</t>
        </is>
      </c>
      <c r="J808" s="30" t="inlineStr">
        <is>
          <t>Scope rules</t>
        </is>
      </c>
      <c r="K808" s="30" t="n"/>
    </row>
    <row r="809" ht="22.35" customHeight="1" s="24">
      <c r="A809" s="28" t="n"/>
      <c r="B809" s="30" t="n"/>
      <c r="C809" s="30" t="inlineStr">
        <is>
          <t>AUDNAT-01</t>
        </is>
      </c>
      <c r="D809" s="30" t="inlineStr">
        <is>
          <t>Native Flowers Bouquet Designer Collection I</t>
        </is>
      </c>
      <c r="E809" s="30" t="inlineStr">
        <is>
          <t>Designer Collection</t>
        </is>
      </c>
      <c r="F809" s="30" t="inlineStr">
        <is>
          <t>Out of scope</t>
        </is>
      </c>
      <c r="G809" s="30" t="inlineStr">
        <is>
          <t>Scope rules</t>
        </is>
      </c>
      <c r="H809" s="30" t="inlineStr">
        <is>
          <t>Excluded: Mel's (no mason jar)</t>
        </is>
      </c>
      <c r="I809" s="30" t="inlineStr">
        <is>
          <t>Mel's only takes products with mason jar in the title or bucket</t>
        </is>
      </c>
      <c r="J809" s="30" t="inlineStr">
        <is>
          <t>Scope rules</t>
        </is>
      </c>
      <c r="K809" s="30" t="n"/>
    </row>
    <row r="810" ht="22.35" customHeight="1" s="24">
      <c r="A810" s="28" t="n"/>
      <c r="B810" s="30" t="n"/>
      <c r="C810" s="30" t="inlineStr">
        <is>
          <t>AUDNAT-02</t>
        </is>
      </c>
      <c r="D810" s="30" t="inlineStr">
        <is>
          <t>Native Flowers Bouquet Designer Collection II</t>
        </is>
      </c>
      <c r="E810" s="30" t="inlineStr">
        <is>
          <t>Designer Collection</t>
        </is>
      </c>
      <c r="F810" s="30" t="inlineStr">
        <is>
          <t>Out of scope</t>
        </is>
      </c>
      <c r="G810" s="30" t="inlineStr">
        <is>
          <t>Scope rules</t>
        </is>
      </c>
      <c r="H810" s="30" t="inlineStr">
        <is>
          <t>Excluded: Mel's (no mason jar)</t>
        </is>
      </c>
      <c r="I810" s="30" t="inlineStr">
        <is>
          <t>Mel's only takes products with mason jar in the title or bucket</t>
        </is>
      </c>
      <c r="J810" s="30" t="inlineStr">
        <is>
          <t>Scope rules</t>
        </is>
      </c>
      <c r="K810" s="30" t="n"/>
    </row>
    <row r="811" ht="22.35" customHeight="1" s="24">
      <c r="A811" s="28" t="n"/>
      <c r="B811" s="30" t="n"/>
      <c r="C811" s="30" t="inlineStr">
        <is>
          <t>AUDNAT-03</t>
        </is>
      </c>
      <c r="D811" s="30" t="inlineStr">
        <is>
          <t>Native Flowers Bouquet Designer Collection III</t>
        </is>
      </c>
      <c r="E811" s="30" t="inlineStr">
        <is>
          <t>Designer Collection</t>
        </is>
      </c>
      <c r="F811" s="30" t="inlineStr">
        <is>
          <t>Out of scope</t>
        </is>
      </c>
      <c r="G811" s="30" t="inlineStr">
        <is>
          <t>Scope rules</t>
        </is>
      </c>
      <c r="H811" s="30" t="inlineStr">
        <is>
          <t>Excluded: Mel's (no mason jar)</t>
        </is>
      </c>
      <c r="I811" s="30" t="inlineStr">
        <is>
          <t>Mel's only takes products with mason jar in the title or bucket</t>
        </is>
      </c>
      <c r="J811" s="30" t="inlineStr">
        <is>
          <t>Scope rules</t>
        </is>
      </c>
      <c r="K811" s="30" t="n"/>
    </row>
    <row r="812" ht="15" customHeight="1" s="24">
      <c r="A812" s="28" t="n"/>
      <c r="B812" s="30" t="n"/>
      <c r="C812" s="30" t="inlineStr">
        <is>
          <t>AUFS-01</t>
        </is>
      </c>
      <c r="D812" s="30" t="inlineStr">
        <is>
          <t>Dozen Mixed Roses, Vase &amp; Card</t>
        </is>
      </c>
      <c r="E812" s="30" t="inlineStr">
        <is>
          <t>Roses</t>
        </is>
      </c>
      <c r="F812" s="30" t="inlineStr">
        <is>
          <t>Out of scope</t>
        </is>
      </c>
      <c r="G812" s="30" t="inlineStr">
        <is>
          <t>Scope rules</t>
        </is>
      </c>
      <c r="H812" s="30" t="inlineStr">
        <is>
          <t>Excluded: Mel's (no mason jar)</t>
        </is>
      </c>
      <c r="I812" s="30" t="inlineStr">
        <is>
          <t>Mel's only takes products with mason jar in the title or bucket</t>
        </is>
      </c>
      <c r="J812" s="30" t="inlineStr">
        <is>
          <t>Scope rules</t>
        </is>
      </c>
      <c r="K812" s="30" t="n"/>
    </row>
    <row r="813" ht="22.35" customHeight="1" s="24">
      <c r="A813" s="28" t="n"/>
      <c r="B813" s="30" t="n"/>
      <c r="C813" s="30" t="inlineStr">
        <is>
          <t>AUFS-03</t>
        </is>
      </c>
      <c r="D813" s="30" t="inlineStr">
        <is>
          <t>Dozen Roses, Chocolates, Vase &amp; Card</t>
        </is>
      </c>
      <c r="E813" s="30" t="inlineStr">
        <is>
          <t>Roses</t>
        </is>
      </c>
      <c r="F813" s="30" t="inlineStr">
        <is>
          <t>Out of scope</t>
        </is>
      </c>
      <c r="G813" s="30" t="inlineStr">
        <is>
          <t>Scope rules</t>
        </is>
      </c>
      <c r="H813" s="30" t="inlineStr">
        <is>
          <t>Excluded: Mel's (no mason jar)</t>
        </is>
      </c>
      <c r="I813" s="30" t="inlineStr">
        <is>
          <t>Mel's only takes products with mason jar in the title or bucket</t>
        </is>
      </c>
      <c r="J813" s="30" t="inlineStr">
        <is>
          <t>Scope rules</t>
        </is>
      </c>
      <c r="K813" s="30" t="n"/>
    </row>
    <row r="814" ht="15" customHeight="1" s="24">
      <c r="A814" s="28" t="n"/>
      <c r="B814" s="30" t="n"/>
      <c r="C814" s="30" t="inlineStr">
        <is>
          <t>AUFS-05</t>
        </is>
      </c>
      <c r="D814" s="30" t="inlineStr">
        <is>
          <t>Dozen Mixed Roses Combo</t>
        </is>
      </c>
      <c r="E814" s="30" t="inlineStr">
        <is>
          <t>Bouquets</t>
        </is>
      </c>
      <c r="F814" s="30" t="inlineStr">
        <is>
          <t>Out of scope</t>
        </is>
      </c>
      <c r="G814" s="30" t="inlineStr">
        <is>
          <t>Scope rules</t>
        </is>
      </c>
      <c r="H814" s="30" t="inlineStr">
        <is>
          <t>Excluded: Mel's (no mason jar)</t>
        </is>
      </c>
      <c r="I814" s="30" t="inlineStr">
        <is>
          <t>Mel's only takes products with mason jar in the title or bucket</t>
        </is>
      </c>
      <c r="J814" s="30" t="inlineStr">
        <is>
          <t>Scope rules</t>
        </is>
      </c>
      <c r="K814" s="30" t="n"/>
    </row>
    <row r="815" ht="15" customHeight="1" s="24">
      <c r="A815" s="28" t="n"/>
      <c r="B815" s="30" t="n"/>
      <c r="C815" s="30" t="inlineStr">
        <is>
          <t>AUFS-10</t>
        </is>
      </c>
      <c r="D815" s="30" t="inlineStr">
        <is>
          <t>Dozen Red Roses &amp; Shiraz</t>
        </is>
      </c>
      <c r="E815" s="30" t="inlineStr">
        <is>
          <t>Roses</t>
        </is>
      </c>
      <c r="F815" s="30" t="inlineStr">
        <is>
          <t>Out of scope</t>
        </is>
      </c>
      <c r="G815" s="30" t="inlineStr">
        <is>
          <t>Scope rules</t>
        </is>
      </c>
      <c r="H815" s="30" t="inlineStr">
        <is>
          <t>Excluded: Mel's (no mason jar)</t>
        </is>
      </c>
      <c r="I815" s="30" t="inlineStr">
        <is>
          <t>Mel's only takes products with mason jar in the title or bucket</t>
        </is>
      </c>
      <c r="J815" s="30" t="inlineStr">
        <is>
          <t>Scope rules</t>
        </is>
      </c>
      <c r="K815" s="30" t="n"/>
    </row>
    <row r="816" ht="15" customHeight="1" s="24">
      <c r="A816" s="28" t="n"/>
      <c r="B816" s="30" t="n"/>
      <c r="C816" s="30" t="inlineStr">
        <is>
          <t>AUFS-11</t>
        </is>
      </c>
      <c r="D816" s="30" t="inlineStr">
        <is>
          <t>Dozen Red Roses, Wine &amp; Truffles</t>
        </is>
      </c>
      <c r="E816" s="30" t="inlineStr">
        <is>
          <t>Roses</t>
        </is>
      </c>
      <c r="F816" s="30" t="inlineStr">
        <is>
          <t>Out of scope</t>
        </is>
      </c>
      <c r="G816" s="30" t="inlineStr">
        <is>
          <t>Scope rules</t>
        </is>
      </c>
      <c r="H816" s="30" t="inlineStr">
        <is>
          <t>Excluded: Mel's (no mason jar)</t>
        </is>
      </c>
      <c r="I816" s="30" t="inlineStr">
        <is>
          <t>Mel's only takes products with mason jar in the title or bucket</t>
        </is>
      </c>
      <c r="J816" s="30" t="inlineStr">
        <is>
          <t>Scope rules</t>
        </is>
      </c>
      <c r="K816" s="30" t="n"/>
    </row>
    <row r="817" ht="15" customHeight="1" s="24">
      <c r="A817" s="28" t="n"/>
      <c r="B817" s="30" t="n"/>
      <c r="C817" s="30" t="inlineStr">
        <is>
          <t>AUFS-12</t>
        </is>
      </c>
      <c r="D817" s="30" t="inlineStr">
        <is>
          <t>Dozen Mixed Roses Super Combo</t>
        </is>
      </c>
      <c r="E817" s="30" t="inlineStr">
        <is>
          <t>Bouquets</t>
        </is>
      </c>
      <c r="F817" s="30" t="inlineStr">
        <is>
          <t>Out of scope</t>
        </is>
      </c>
      <c r="G817" s="30" t="inlineStr">
        <is>
          <t>Scope rules</t>
        </is>
      </c>
      <c r="H817" s="30" t="inlineStr">
        <is>
          <t>Excluded: Mel's (no mason jar)</t>
        </is>
      </c>
      <c r="I817" s="30" t="inlineStr">
        <is>
          <t>Mel's only takes products with mason jar in the title or bucket</t>
        </is>
      </c>
      <c r="J817" s="30" t="inlineStr">
        <is>
          <t>Scope rules</t>
        </is>
      </c>
      <c r="K817" s="30" t="n"/>
    </row>
    <row r="818" ht="15" customHeight="1" s="24">
      <c r="A818" s="28" t="n"/>
      <c r="B818" s="30" t="n"/>
      <c r="C818" s="30" t="inlineStr">
        <is>
          <t>AUGF10-29</t>
        </is>
      </c>
      <c r="D818" s="30" t="inlineStr">
        <is>
          <t>Golden Romance</t>
        </is>
      </c>
      <c r="E818" s="30" t="inlineStr">
        <is>
          <t>Bouquets</t>
        </is>
      </c>
      <c r="F818" s="30" t="inlineStr">
        <is>
          <t>Out of scope</t>
        </is>
      </c>
      <c r="G818" s="30" t="inlineStr">
        <is>
          <t>Scope rules</t>
        </is>
      </c>
      <c r="H818" s="30" t="inlineStr">
        <is>
          <t>Excluded: Mel's (no mason jar)</t>
        </is>
      </c>
      <c r="I818" s="30" t="inlineStr">
        <is>
          <t>Mel's only takes products with mason jar in the title or bucket</t>
        </is>
      </c>
      <c r="J818" s="30" t="inlineStr">
        <is>
          <t>Scope rules</t>
        </is>
      </c>
      <c r="K818" s="30" t="n"/>
    </row>
    <row r="819" ht="15" customHeight="1" s="24">
      <c r="A819" s="28" t="n"/>
      <c r="B819" s="30" t="n"/>
      <c r="C819" s="30" t="inlineStr">
        <is>
          <t>AUGF16-60</t>
        </is>
      </c>
      <c r="D819" s="30" t="inlineStr">
        <is>
          <t>Sunshine Bliss</t>
        </is>
      </c>
      <c r="E819" s="30" t="inlineStr">
        <is>
          <t>Bouquets</t>
        </is>
      </c>
      <c r="F819" s="30" t="inlineStr">
        <is>
          <t>Out of scope</t>
        </is>
      </c>
      <c r="G819" s="30" t="inlineStr">
        <is>
          <t>Scope rules</t>
        </is>
      </c>
      <c r="H819" s="30" t="inlineStr">
        <is>
          <t>Excluded: Mel's (no mason jar)</t>
        </is>
      </c>
      <c r="I819" s="30" t="inlineStr">
        <is>
          <t>Mel's only takes products with mason jar in the title or bucket</t>
        </is>
      </c>
      <c r="J819" s="30" t="inlineStr">
        <is>
          <t>Scope rules</t>
        </is>
      </c>
      <c r="K819" s="30" t="n"/>
    </row>
    <row r="820" ht="15" customHeight="1" s="24">
      <c r="A820" s="28" t="n"/>
      <c r="B820" s="30" t="n"/>
      <c r="C820" s="30" t="inlineStr">
        <is>
          <t>AUGF16-82</t>
        </is>
      </c>
      <c r="D820" s="30" t="inlineStr">
        <is>
          <t>Just Because</t>
        </is>
      </c>
      <c r="E820" s="30" t="inlineStr">
        <is>
          <t>Bouquets</t>
        </is>
      </c>
      <c r="F820" s="30" t="inlineStr">
        <is>
          <t>Out of scope</t>
        </is>
      </c>
      <c r="G820" s="30" t="inlineStr">
        <is>
          <t>Scope rules</t>
        </is>
      </c>
      <c r="H820" s="30" t="inlineStr">
        <is>
          <t>Excluded: Mel's (no mason jar)</t>
        </is>
      </c>
      <c r="I820" s="30" t="inlineStr">
        <is>
          <t>Mel's only takes products with mason jar in the title or bucket</t>
        </is>
      </c>
      <c r="J820" s="30" t="inlineStr">
        <is>
          <t>Scope rules</t>
        </is>
      </c>
      <c r="K820" s="30" t="n"/>
    </row>
    <row r="821" ht="15" customHeight="1" s="24">
      <c r="A821" s="28" t="n"/>
      <c r="B821" s="30" t="n"/>
      <c r="C821" s="30" t="inlineStr">
        <is>
          <t>AUGF16-83</t>
        </is>
      </c>
      <c r="D821" s="30" t="inlineStr">
        <is>
          <t>Simply Sweet</t>
        </is>
      </c>
      <c r="E821" s="30" t="inlineStr">
        <is>
          <t>Bouquets</t>
        </is>
      </c>
      <c r="F821" s="30" t="inlineStr">
        <is>
          <t>Out of scope</t>
        </is>
      </c>
      <c r="G821" s="30" t="inlineStr">
        <is>
          <t>Scope rules</t>
        </is>
      </c>
      <c r="H821" s="30" t="inlineStr">
        <is>
          <t>Excluded: Mel's (no mason jar)</t>
        </is>
      </c>
      <c r="I821" s="30" t="inlineStr">
        <is>
          <t>Mel's only takes products with mason jar in the title or bucket</t>
        </is>
      </c>
      <c r="J821" s="30" t="inlineStr">
        <is>
          <t>Scope rules</t>
        </is>
      </c>
      <c r="K821" s="30" t="n"/>
    </row>
    <row r="822" ht="15" customHeight="1" s="24">
      <c r="A822" s="28" t="n"/>
      <c r="B822" s="30" t="n"/>
      <c r="C822" s="30" t="inlineStr">
        <is>
          <t>AUGF60-20</t>
        </is>
      </c>
      <c r="D822" s="30" t="inlineStr">
        <is>
          <t>Rainbow Gerbera Bouquet</t>
        </is>
      </c>
      <c r="E822" s="30" t="inlineStr">
        <is>
          <t>Bouquets</t>
        </is>
      </c>
      <c r="F822" s="30" t="inlineStr">
        <is>
          <t>Out of scope</t>
        </is>
      </c>
      <c r="G822" s="30" t="inlineStr">
        <is>
          <t>Scope rules</t>
        </is>
      </c>
      <c r="H822" s="30" t="inlineStr">
        <is>
          <t>Excluded: Mel's (no mason jar)</t>
        </is>
      </c>
      <c r="I822" s="30" t="inlineStr">
        <is>
          <t>Mel's only takes products with mason jar in the title or bucket</t>
        </is>
      </c>
      <c r="J822" s="30" t="inlineStr">
        <is>
          <t>Scope rules</t>
        </is>
      </c>
      <c r="K822" s="30" t="n"/>
    </row>
    <row r="823" ht="15" customHeight="1" s="24">
      <c r="A823" s="28" t="n"/>
      <c r="B823" s="30" t="n"/>
      <c r="C823" s="30" t="inlineStr">
        <is>
          <t>AUHS-03</t>
        </is>
      </c>
      <c r="D823" s="30" t="inlineStr">
        <is>
          <t>Blooming Heart Roses</t>
        </is>
      </c>
      <c r="E823" s="30" t="inlineStr">
        <is>
          <t>Bouquets</t>
        </is>
      </c>
      <c r="F823" s="30" t="inlineStr">
        <is>
          <t>Out of scope</t>
        </is>
      </c>
      <c r="G823" s="30" t="inlineStr">
        <is>
          <t>Scope rules</t>
        </is>
      </c>
      <c r="H823" s="30" t="inlineStr">
        <is>
          <t>Excluded: Mel's (no mason jar)</t>
        </is>
      </c>
      <c r="I823" s="30" t="inlineStr">
        <is>
          <t>Mel's only takes products with mason jar in the title or bucket</t>
        </is>
      </c>
      <c r="J823" s="30" t="inlineStr">
        <is>
          <t>Scope rules</t>
        </is>
      </c>
      <c r="K823" s="30" t="n"/>
    </row>
    <row r="824" ht="15" customHeight="1" s="24">
      <c r="A824" s="28" t="n"/>
      <c r="B824" s="30" t="n"/>
      <c r="C824" s="30" t="inlineStr">
        <is>
          <t>AULF11-53</t>
        </is>
      </c>
      <c r="D824" s="30" t="inlineStr">
        <is>
          <t>One Dozen Long Stem White Roses</t>
        </is>
      </c>
      <c r="E824" s="30" t="inlineStr">
        <is>
          <t>Bouquets</t>
        </is>
      </c>
      <c r="F824" s="30" t="inlineStr">
        <is>
          <t>Out of scope</t>
        </is>
      </c>
      <c r="G824" s="30" t="inlineStr">
        <is>
          <t>Scope rules</t>
        </is>
      </c>
      <c r="H824" s="30" t="inlineStr">
        <is>
          <t>Excluded: Mel's (no mason jar)</t>
        </is>
      </c>
      <c r="I824" s="30" t="inlineStr">
        <is>
          <t>Mel's only takes products with mason jar in the title or bucket</t>
        </is>
      </c>
      <c r="J824" s="30" t="inlineStr">
        <is>
          <t>Scope rules</t>
        </is>
      </c>
      <c r="K824" s="30" t="n"/>
    </row>
    <row r="825" ht="15" customHeight="1" s="24">
      <c r="A825" s="28" t="n"/>
      <c r="B825" s="30" t="n"/>
      <c r="C825" s="30" t="inlineStr">
        <is>
          <t>AURP-16sp</t>
        </is>
      </c>
      <c r="D825" s="30" t="inlineStr">
        <is>
          <t>Single Rose &amp; Card</t>
        </is>
      </c>
      <c r="E825" s="30" t="inlineStr">
        <is>
          <t>Add-Ons</t>
        </is>
      </c>
      <c r="F825" s="30" t="inlineStr">
        <is>
          <t>Out of scope</t>
        </is>
      </c>
      <c r="G825" s="30" t="inlineStr">
        <is>
          <t>Scope rules</t>
        </is>
      </c>
      <c r="H825" s="30" t="inlineStr">
        <is>
          <t>Excluded: Mel's (no mason jar)</t>
        </is>
      </c>
      <c r="I825" s="30" t="inlineStr">
        <is>
          <t>Mel's only takes products with mason jar in the title or bucket</t>
        </is>
      </c>
      <c r="J825" s="30" t="inlineStr">
        <is>
          <t>Scope rules</t>
        </is>
      </c>
      <c r="K825" s="30" t="n"/>
    </row>
    <row r="826" ht="15" customHeight="1" s="24">
      <c r="A826" s="28" t="n"/>
      <c r="B826" s="30" t="n"/>
      <c r="C826" s="30" t="inlineStr">
        <is>
          <t>AURP-B29</t>
        </is>
      </c>
      <c r="D826" s="30" t="inlineStr">
        <is>
          <t>The Birthday Bundle</t>
        </is>
      </c>
      <c r="E826" s="30" t="inlineStr">
        <is>
          <t>Bouquets</t>
        </is>
      </c>
      <c r="F826" s="30" t="inlineStr">
        <is>
          <t>Out of scope</t>
        </is>
      </c>
      <c r="G826" s="30" t="inlineStr">
        <is>
          <t>Scope rules</t>
        </is>
      </c>
      <c r="H826" s="30" t="inlineStr">
        <is>
          <t>Excluded: Mel's (no mason jar)</t>
        </is>
      </c>
      <c r="I826" s="30" t="inlineStr">
        <is>
          <t>Mel's only takes products with mason jar in the title or bucket</t>
        </is>
      </c>
      <c r="J826" s="30" t="inlineStr">
        <is>
          <t>Scope rules</t>
        </is>
      </c>
      <c r="K826" s="30" t="n"/>
    </row>
    <row r="827" ht="15" customHeight="1" s="24">
      <c r="A827" s="28" t="n"/>
      <c r="B827" s="30" t="n"/>
      <c r="C827" s="30" t="inlineStr">
        <is>
          <t>AUSC-01</t>
        </is>
      </c>
      <c r="D827" s="30" t="inlineStr">
        <is>
          <t>Sweetheart Collection I</t>
        </is>
      </c>
      <c r="E827" s="30" t="inlineStr">
        <is>
          <t>Bouquets</t>
        </is>
      </c>
      <c r="F827" s="30" t="inlineStr">
        <is>
          <t>Out of scope</t>
        </is>
      </c>
      <c r="G827" s="30" t="inlineStr">
        <is>
          <t>Scope rules</t>
        </is>
      </c>
      <c r="H827" s="30" t="inlineStr">
        <is>
          <t>Excluded: Mel's (no mason jar)</t>
        </is>
      </c>
      <c r="I827" s="30" t="inlineStr">
        <is>
          <t>Mel's only takes products with mason jar in the title or bucket</t>
        </is>
      </c>
      <c r="J827" s="30" t="inlineStr">
        <is>
          <t>Scope rules</t>
        </is>
      </c>
      <c r="K827" s="30" t="n"/>
    </row>
    <row r="828" ht="15" customHeight="1" s="24">
      <c r="A828" s="28" t="n"/>
      <c r="B828" s="30" t="n"/>
      <c r="C828" s="30" t="inlineStr">
        <is>
          <t>AUSC-02</t>
        </is>
      </c>
      <c r="D828" s="30" t="inlineStr">
        <is>
          <t>Sweetheart Collection II</t>
        </is>
      </c>
      <c r="E828" s="30" t="inlineStr">
        <is>
          <t>Bouquets</t>
        </is>
      </c>
      <c r="F828" s="30" t="inlineStr">
        <is>
          <t>Out of scope</t>
        </is>
      </c>
      <c r="G828" s="30" t="inlineStr">
        <is>
          <t>Scope rules</t>
        </is>
      </c>
      <c r="H828" s="30" t="inlineStr">
        <is>
          <t>Excluded: Mel's (no mason jar)</t>
        </is>
      </c>
      <c r="I828" s="30" t="inlineStr">
        <is>
          <t>Mel's only takes products with mason jar in the title or bucket</t>
        </is>
      </c>
      <c r="J828" s="30" t="inlineStr">
        <is>
          <t>Scope rules</t>
        </is>
      </c>
      <c r="K828" s="30" t="n"/>
    </row>
    <row r="829" ht="15" customHeight="1" s="24">
      <c r="A829" s="28" t="n"/>
      <c r="B829" s="30" t="n"/>
      <c r="C829" s="30" t="inlineStr">
        <is>
          <t>AUSC-03</t>
        </is>
      </c>
      <c r="D829" s="30" t="inlineStr">
        <is>
          <t>Sweetheart Collection III</t>
        </is>
      </c>
      <c r="E829" s="30" t="inlineStr">
        <is>
          <t>Bouquets</t>
        </is>
      </c>
      <c r="F829" s="30" t="inlineStr">
        <is>
          <t>Out of scope</t>
        </is>
      </c>
      <c r="G829" s="30" t="inlineStr">
        <is>
          <t>Scope rules</t>
        </is>
      </c>
      <c r="H829" s="30" t="inlineStr">
        <is>
          <t>Excluded: Mel's (no mason jar)</t>
        </is>
      </c>
      <c r="I829" s="30" t="inlineStr">
        <is>
          <t>Mel's only takes products with mason jar in the title or bucket</t>
        </is>
      </c>
      <c r="J829" s="30" t="inlineStr">
        <is>
          <t>Scope rules</t>
        </is>
      </c>
      <c r="K829" s="30" t="n"/>
    </row>
    <row r="830" ht="15" customHeight="1" s="24">
      <c r="A830" s="28" t="n"/>
      <c r="B830" s="30" t="n"/>
      <c r="C830" s="30" t="inlineStr">
        <is>
          <t>AUSC-04</t>
        </is>
      </c>
      <c r="D830" s="30" t="inlineStr">
        <is>
          <t>Sweetheart Collection IV</t>
        </is>
      </c>
      <c r="E830" s="30" t="inlineStr">
        <is>
          <t>Bouquets</t>
        </is>
      </c>
      <c r="F830" s="30" t="inlineStr">
        <is>
          <t>Out of scope</t>
        </is>
      </c>
      <c r="G830" s="30" t="inlineStr">
        <is>
          <t>Scope rules</t>
        </is>
      </c>
      <c r="H830" s="30" t="inlineStr">
        <is>
          <t>Excluded: Mel's (no mason jar)</t>
        </is>
      </c>
      <c r="I830" s="30" t="inlineStr">
        <is>
          <t>Mel's only takes products with mason jar in the title or bucket</t>
        </is>
      </c>
      <c r="J830" s="30" t="inlineStr">
        <is>
          <t>Scope rules</t>
        </is>
      </c>
      <c r="K830" s="30" t="n"/>
    </row>
    <row r="831" ht="15" customHeight="1" s="24">
      <c r="A831" s="28" t="n"/>
      <c r="B831" s="30" t="n"/>
      <c r="C831" s="30" t="inlineStr">
        <is>
          <t>AUSGF16-110</t>
        </is>
      </c>
      <c r="D831" s="30" t="inlineStr">
        <is>
          <t>Pastel Harmony</t>
        </is>
      </c>
      <c r="E831" s="30" t="inlineStr">
        <is>
          <t>Bouquets</t>
        </is>
      </c>
      <c r="F831" s="30" t="inlineStr">
        <is>
          <t>Out of scope</t>
        </is>
      </c>
      <c r="G831" s="30" t="inlineStr">
        <is>
          <t>Scope rules</t>
        </is>
      </c>
      <c r="H831" s="30" t="inlineStr">
        <is>
          <t>Excluded: Mel's (no mason jar)</t>
        </is>
      </c>
      <c r="I831" s="30" t="inlineStr">
        <is>
          <t>Mel's only takes products with mason jar in the title or bucket</t>
        </is>
      </c>
      <c r="J831" s="30" t="inlineStr">
        <is>
          <t>Scope rules</t>
        </is>
      </c>
      <c r="K831" s="30" t="n"/>
    </row>
    <row r="832" ht="15" customHeight="1" s="24">
      <c r="A832" s="28" t="n"/>
      <c r="B832" s="30" t="n"/>
      <c r="C832" s="30" t="inlineStr">
        <is>
          <t>AUSGF16-115</t>
        </is>
      </c>
      <c r="D832" s="30" t="inlineStr">
        <is>
          <t>Delicate Elegance</t>
        </is>
      </c>
      <c r="E832" s="30" t="inlineStr">
        <is>
          <t>Bouquets</t>
        </is>
      </c>
      <c r="F832" s="30" t="inlineStr">
        <is>
          <t>Out of scope</t>
        </is>
      </c>
      <c r="G832" s="30" t="inlineStr">
        <is>
          <t>Scope rules</t>
        </is>
      </c>
      <c r="H832" s="30" t="inlineStr">
        <is>
          <t>Excluded: Mel's (no mason jar)</t>
        </is>
      </c>
      <c r="I832" s="30" t="inlineStr">
        <is>
          <t>Mel's only takes products with mason jar in the title or bucket</t>
        </is>
      </c>
      <c r="J832" s="30" t="inlineStr">
        <is>
          <t>Scope rules</t>
        </is>
      </c>
      <c r="K832" s="30" t="n"/>
    </row>
    <row r="833" ht="15" customHeight="1" s="24">
      <c r="A833" s="28" t="n"/>
      <c r="B833" s="30" t="n"/>
      <c r="C833" s="30" t="inlineStr">
        <is>
          <t>AUSGRT-02</t>
        </is>
      </c>
      <c r="D833" s="30" t="inlineStr">
        <is>
          <t>White Cloud Gerbera Trio</t>
        </is>
      </c>
      <c r="E833" s="30" t="inlineStr">
        <is>
          <t>Bouquets</t>
        </is>
      </c>
      <c r="F833" s="30" t="inlineStr">
        <is>
          <t>Out of scope</t>
        </is>
      </c>
      <c r="G833" s="30" t="inlineStr">
        <is>
          <t>Scope rules</t>
        </is>
      </c>
      <c r="H833" s="30" t="inlineStr">
        <is>
          <t>Excluded: Mel's (no mason jar)</t>
        </is>
      </c>
      <c r="I833" s="30" t="inlineStr">
        <is>
          <t>Mel's only takes products with mason jar in the title or bucket</t>
        </is>
      </c>
      <c r="J833" s="30" t="inlineStr">
        <is>
          <t>Scope rules</t>
        </is>
      </c>
      <c r="K833" s="30" t="n"/>
    </row>
    <row r="834" ht="15" customHeight="1" s="24">
      <c r="A834" s="28" t="n"/>
      <c r="B834" s="30" t="n"/>
      <c r="C834" s="30" t="inlineStr">
        <is>
          <t>AUSGRT-03</t>
        </is>
      </c>
      <c r="D834" s="30" t="inlineStr">
        <is>
          <t>Pink Pop Gerbera Trio</t>
        </is>
      </c>
      <c r="E834" s="30" t="inlineStr">
        <is>
          <t>Bouquets</t>
        </is>
      </c>
      <c r="F834" s="30" t="inlineStr">
        <is>
          <t>Out of scope</t>
        </is>
      </c>
      <c r="G834" s="30" t="inlineStr">
        <is>
          <t>Scope rules</t>
        </is>
      </c>
      <c r="H834" s="30" t="inlineStr">
        <is>
          <t>Excluded: Mel's (no mason jar)</t>
        </is>
      </c>
      <c r="I834" s="30" t="inlineStr">
        <is>
          <t>Mel's only takes products with mason jar in the title or bucket</t>
        </is>
      </c>
      <c r="J834" s="30" t="inlineStr">
        <is>
          <t>Scope rules</t>
        </is>
      </c>
      <c r="K834" s="30" t="n"/>
    </row>
    <row r="835" ht="15" customHeight="1" s="24">
      <c r="A835" s="28" t="n"/>
      <c r="B835" s="30" t="n"/>
      <c r="C835" s="30" t="inlineStr">
        <is>
          <t>AUSGRT-04</t>
        </is>
      </c>
      <c r="D835" s="30" t="inlineStr">
        <is>
          <t>Sunshine Gerbera Trio</t>
        </is>
      </c>
      <c r="E835" s="30" t="inlineStr">
        <is>
          <t>Bouquets</t>
        </is>
      </c>
      <c r="F835" s="30" t="inlineStr">
        <is>
          <t>Out of scope</t>
        </is>
      </c>
      <c r="G835" s="30" t="inlineStr">
        <is>
          <t>Scope rules</t>
        </is>
      </c>
      <c r="H835" s="30" t="inlineStr">
        <is>
          <t>Excluded: Mel's (no mason jar)</t>
        </is>
      </c>
      <c r="I835" s="30" t="inlineStr">
        <is>
          <t>Mel's only takes products with mason jar in the title or bucket</t>
        </is>
      </c>
      <c r="J835" s="30" t="inlineStr">
        <is>
          <t>Scope rules</t>
        </is>
      </c>
      <c r="K835" s="30" t="n"/>
    </row>
    <row r="836" ht="15" customHeight="1" s="24">
      <c r="A836" s="28" t="n"/>
      <c r="B836" s="30" t="n"/>
      <c r="C836" s="30" t="inlineStr">
        <is>
          <t>AUSGRT-05</t>
        </is>
      </c>
      <c r="D836" s="30" t="inlineStr">
        <is>
          <t>Crimson Gerbera Trio</t>
        </is>
      </c>
      <c r="E836" s="30" t="inlineStr">
        <is>
          <t>Bouquets</t>
        </is>
      </c>
      <c r="F836" s="30" t="inlineStr">
        <is>
          <t>Out of scope</t>
        </is>
      </c>
      <c r="G836" s="30" t="inlineStr">
        <is>
          <t>Scope rules</t>
        </is>
      </c>
      <c r="H836" s="30" t="inlineStr">
        <is>
          <t>Excluded: Mel's (no mason jar)</t>
        </is>
      </c>
      <c r="I836" s="30" t="inlineStr">
        <is>
          <t>Mel's only takes products with mason jar in the title or bucket</t>
        </is>
      </c>
      <c r="J836" s="30" t="inlineStr">
        <is>
          <t>Scope rules</t>
        </is>
      </c>
      <c r="K836" s="30" t="n"/>
    </row>
    <row r="837" ht="15" customHeight="1" s="24">
      <c r="A837" s="28" t="n"/>
      <c r="B837" s="30" t="n"/>
      <c r="C837" s="30" t="inlineStr">
        <is>
          <t>AUSSR-02</t>
        </is>
      </c>
      <c r="D837" s="30" t="inlineStr">
        <is>
          <t>Snowdrop Solo</t>
        </is>
      </c>
      <c r="E837" s="30" t="inlineStr">
        <is>
          <t>Bouquets</t>
        </is>
      </c>
      <c r="F837" s="30" t="inlineStr">
        <is>
          <t>Out of scope</t>
        </is>
      </c>
      <c r="G837" s="30" t="inlineStr">
        <is>
          <t>Scope rules</t>
        </is>
      </c>
      <c r="H837" s="30" t="inlineStr">
        <is>
          <t>Excluded: Mel's (no mason jar)</t>
        </is>
      </c>
      <c r="I837" s="30" t="inlineStr">
        <is>
          <t>Mel's only takes products with mason jar in the title or bucket</t>
        </is>
      </c>
      <c r="J837" s="30" t="inlineStr">
        <is>
          <t>Scope rules</t>
        </is>
      </c>
      <c r="K837" s="30" t="n"/>
    </row>
    <row r="838" ht="15" customHeight="1" s="24">
      <c r="A838" s="28" t="n"/>
      <c r="B838" s="30" t="n"/>
      <c r="C838" s="30" t="inlineStr">
        <is>
          <t>AUSSR-03</t>
        </is>
      </c>
      <c r="D838" s="30" t="inlineStr">
        <is>
          <t>Sunny Smile</t>
        </is>
      </c>
      <c r="E838" s="30" t="inlineStr">
        <is>
          <t>Bouquets</t>
        </is>
      </c>
      <c r="F838" s="30" t="inlineStr">
        <is>
          <t>Out of scope</t>
        </is>
      </c>
      <c r="G838" s="30" t="inlineStr">
        <is>
          <t>Scope rules</t>
        </is>
      </c>
      <c r="H838" s="30" t="inlineStr">
        <is>
          <t>Excluded: Mel's (no mason jar)</t>
        </is>
      </c>
      <c r="I838" s="30" t="inlineStr">
        <is>
          <t>Mel's only takes products with mason jar in the title or bucket</t>
        </is>
      </c>
      <c r="J838" s="30" t="inlineStr">
        <is>
          <t>Scope rules</t>
        </is>
      </c>
      <c r="K838" s="30" t="n"/>
    </row>
    <row r="839" ht="15" customHeight="1" s="24">
      <c r="A839" s="28" t="n"/>
      <c r="B839" s="30" t="n"/>
      <c r="C839" s="30" t="inlineStr">
        <is>
          <t>AUSTRT-02</t>
        </is>
      </c>
      <c r="D839" s="30" t="inlineStr">
        <is>
          <t>Ivory Grace Trio</t>
        </is>
      </c>
      <c r="E839" s="30" t="inlineStr">
        <is>
          <t>Bouquets</t>
        </is>
      </c>
      <c r="F839" s="30" t="inlineStr">
        <is>
          <t>Out of scope</t>
        </is>
      </c>
      <c r="G839" s="30" t="inlineStr">
        <is>
          <t>Scope rules</t>
        </is>
      </c>
      <c r="H839" s="30" t="inlineStr">
        <is>
          <t>Excluded: Mel's (no mason jar)</t>
        </is>
      </c>
      <c r="I839" s="30" t="inlineStr">
        <is>
          <t>Mel's only takes products with mason jar in the title or bucket</t>
        </is>
      </c>
      <c r="J839" s="30" t="inlineStr">
        <is>
          <t>Scope rules</t>
        </is>
      </c>
      <c r="K839" s="30" t="n"/>
    </row>
    <row r="840" ht="15" customHeight="1" s="24">
      <c r="A840" s="28" t="n"/>
      <c r="B840" s="30" t="n"/>
      <c r="C840" s="30" t="inlineStr">
        <is>
          <t>AUSTRT-03</t>
        </is>
      </c>
      <c r="D840" s="30" t="inlineStr">
        <is>
          <t>Blushing Rose Trio</t>
        </is>
      </c>
      <c r="E840" s="30" t="inlineStr">
        <is>
          <t>Bouquets</t>
        </is>
      </c>
      <c r="F840" s="30" t="inlineStr">
        <is>
          <t>Out of scope</t>
        </is>
      </c>
      <c r="G840" s="30" t="inlineStr">
        <is>
          <t>Scope rules</t>
        </is>
      </c>
      <c r="H840" s="30" t="inlineStr">
        <is>
          <t>Excluded: Mel's (no mason jar)</t>
        </is>
      </c>
      <c r="I840" s="30" t="inlineStr">
        <is>
          <t>Mel's only takes products with mason jar in the title or bucket</t>
        </is>
      </c>
      <c r="J840" s="30" t="inlineStr">
        <is>
          <t>Scope rules</t>
        </is>
      </c>
      <c r="K840" s="30" t="n"/>
    </row>
    <row r="841" ht="22.35" customHeight="1" s="24">
      <c r="A841" s="28" t="n"/>
      <c r="B841" s="30" t="n"/>
      <c r="C841" s="30" t="inlineStr">
        <is>
          <t>CS112-07</t>
        </is>
      </c>
      <c r="D841" s="30" t="inlineStr">
        <is>
          <t>One Dozen Assorted Roses, Vase &amp; Card Combo</t>
        </is>
      </c>
      <c r="E841" s="30" t="inlineStr">
        <is>
          <t>Bouquets</t>
        </is>
      </c>
      <c r="F841" s="30" t="inlineStr">
        <is>
          <t>Out of scope</t>
        </is>
      </c>
      <c r="G841" s="30" t="inlineStr">
        <is>
          <t>Scope rules</t>
        </is>
      </c>
      <c r="H841" s="30" t="inlineStr">
        <is>
          <t>Excluded: Mel's (no mason jar)</t>
        </is>
      </c>
      <c r="I841" s="30" t="inlineStr">
        <is>
          <t>Mel's only takes products with mason jar in the title or bucket</t>
        </is>
      </c>
      <c r="J841" s="30" t="inlineStr">
        <is>
          <t>Scope rules</t>
        </is>
      </c>
      <c r="K841" s="30" t="n"/>
    </row>
    <row r="842" ht="22.35" customHeight="1" s="24">
      <c r="A842" s="28" t="n"/>
      <c r="B842" s="30" t="n"/>
      <c r="C842" s="30" t="inlineStr">
        <is>
          <t>DC-01B</t>
        </is>
      </c>
      <c r="D842" s="30" t="inlineStr">
        <is>
          <t>Birthday Designer Collection I</t>
        </is>
      </c>
      <c r="E842" s="30" t="inlineStr">
        <is>
          <t>Designer Collection</t>
        </is>
      </c>
      <c r="F842" s="30" t="inlineStr">
        <is>
          <t>Out of scope</t>
        </is>
      </c>
      <c r="G842" s="30" t="inlineStr">
        <is>
          <t>Scope rules</t>
        </is>
      </c>
      <c r="H842" s="30" t="inlineStr">
        <is>
          <t>Excluded: Mel's (no mason jar)</t>
        </is>
      </c>
      <c r="I842" s="30" t="inlineStr">
        <is>
          <t>Mel's only takes products with mason jar in the title or bucket</t>
        </is>
      </c>
      <c r="J842" s="30" t="inlineStr">
        <is>
          <t>Scope rules</t>
        </is>
      </c>
      <c r="K842" s="30" t="n"/>
    </row>
    <row r="843" ht="22.35" customHeight="1" s="24">
      <c r="A843" s="28" t="n"/>
      <c r="B843" s="30" t="n"/>
      <c r="C843" s="30" t="inlineStr">
        <is>
          <t>DC-01S</t>
        </is>
      </c>
      <c r="D843" s="30" t="inlineStr">
        <is>
          <t>Designer Sympathy Collection I</t>
        </is>
      </c>
      <c r="E843" s="30" t="inlineStr">
        <is>
          <t>Designer Collection</t>
        </is>
      </c>
      <c r="F843" s="30" t="inlineStr">
        <is>
          <t>Out of scope</t>
        </is>
      </c>
      <c r="G843" s="30" t="inlineStr">
        <is>
          <t>Scope rules</t>
        </is>
      </c>
      <c r="H843" s="30" t="inlineStr">
        <is>
          <t>Excluded: Mel's (no mason jar)</t>
        </is>
      </c>
      <c r="I843" s="30" t="inlineStr">
        <is>
          <t>Mel's only takes products with mason jar in the title or bucket</t>
        </is>
      </c>
      <c r="J843" s="30" t="inlineStr">
        <is>
          <t>Scope rules</t>
        </is>
      </c>
      <c r="K843" s="30" t="n"/>
    </row>
    <row r="844" ht="22.35" customHeight="1" s="24">
      <c r="A844" s="28" t="n"/>
      <c r="B844" s="30" t="n"/>
      <c r="C844" s="30" t="inlineStr">
        <is>
          <t>DC-02A</t>
        </is>
      </c>
      <c r="D844" s="30" t="inlineStr">
        <is>
          <t>Designer Collection Anniversary II</t>
        </is>
      </c>
      <c r="E844" s="30" t="inlineStr">
        <is>
          <t>Designer Collection</t>
        </is>
      </c>
      <c r="F844" s="30" t="inlineStr">
        <is>
          <t>Out of scope</t>
        </is>
      </c>
      <c r="G844" s="30" t="inlineStr">
        <is>
          <t>Scope rules</t>
        </is>
      </c>
      <c r="H844" s="30" t="inlineStr">
        <is>
          <t>Excluded: Mel's (no mason jar)</t>
        </is>
      </c>
      <c r="I844" s="30" t="inlineStr">
        <is>
          <t>Mel's only takes products with mason jar in the title or bucket</t>
        </is>
      </c>
      <c r="J844" s="30" t="inlineStr">
        <is>
          <t>Scope rules</t>
        </is>
      </c>
      <c r="K844" s="30" t="n"/>
    </row>
    <row r="845" ht="22.35" customHeight="1" s="24">
      <c r="A845" s="28" t="n"/>
      <c r="B845" s="30" t="n"/>
      <c r="C845" s="30" t="inlineStr">
        <is>
          <t>DC-02B</t>
        </is>
      </c>
      <c r="D845" s="30" t="inlineStr">
        <is>
          <t>Birthday Designer Collection II</t>
        </is>
      </c>
      <c r="E845" s="30" t="inlineStr">
        <is>
          <t>Designer Collection</t>
        </is>
      </c>
      <c r="F845" s="30" t="inlineStr">
        <is>
          <t>Out of scope</t>
        </is>
      </c>
      <c r="G845" s="30" t="inlineStr">
        <is>
          <t>Scope rules</t>
        </is>
      </c>
      <c r="H845" s="30" t="inlineStr">
        <is>
          <t>Excluded: Mel's (no mason jar)</t>
        </is>
      </c>
      <c r="I845" s="30" t="inlineStr">
        <is>
          <t>Mel's only takes products with mason jar in the title or bucket</t>
        </is>
      </c>
      <c r="J845" s="30" t="inlineStr">
        <is>
          <t>Scope rules</t>
        </is>
      </c>
      <c r="K845" s="30" t="n"/>
    </row>
    <row r="846" ht="22.35" customHeight="1" s="24">
      <c r="A846" s="28" t="n"/>
      <c r="B846" s="30" t="n"/>
      <c r="C846" s="30" t="inlineStr">
        <is>
          <t>DC-02S</t>
        </is>
      </c>
      <c r="D846" s="30" t="inlineStr">
        <is>
          <t>Designer Sympathy Collection II</t>
        </is>
      </c>
      <c r="E846" s="30" t="inlineStr">
        <is>
          <t>Designer Collection</t>
        </is>
      </c>
      <c r="F846" s="30" t="inlineStr">
        <is>
          <t>Out of scope</t>
        </is>
      </c>
      <c r="G846" s="30" t="inlineStr">
        <is>
          <t>Scope rules</t>
        </is>
      </c>
      <c r="H846" s="30" t="inlineStr">
        <is>
          <t>Excluded: Mel's (no mason jar)</t>
        </is>
      </c>
      <c r="I846" s="30" t="inlineStr">
        <is>
          <t>Mel's only takes products with mason jar in the title or bucket</t>
        </is>
      </c>
      <c r="J846" s="30" t="inlineStr">
        <is>
          <t>Scope rules</t>
        </is>
      </c>
      <c r="K846" s="30" t="n"/>
    </row>
    <row r="847" ht="22.35" customHeight="1" s="24">
      <c r="A847" s="28" t="n"/>
      <c r="B847" s="30" t="n"/>
      <c r="C847" s="30" t="inlineStr">
        <is>
          <t>DC-03A</t>
        </is>
      </c>
      <c r="D847" s="30" t="inlineStr">
        <is>
          <t>Designer Collection Anniversary III</t>
        </is>
      </c>
      <c r="E847" s="30" t="inlineStr">
        <is>
          <t>Designer Collection</t>
        </is>
      </c>
      <c r="F847" s="30" t="inlineStr">
        <is>
          <t>Out of scope</t>
        </is>
      </c>
      <c r="G847" s="30" t="inlineStr">
        <is>
          <t>Scope rules</t>
        </is>
      </c>
      <c r="H847" s="30" t="inlineStr">
        <is>
          <t>Excluded: Mel's (no mason jar)</t>
        </is>
      </c>
      <c r="I847" s="30" t="inlineStr">
        <is>
          <t>Mel's only takes products with mason jar in the title or bucket</t>
        </is>
      </c>
      <c r="J847" s="30" t="inlineStr">
        <is>
          <t>Scope rules</t>
        </is>
      </c>
      <c r="K847" s="30" t="n"/>
    </row>
    <row r="848" ht="22.35" customHeight="1" s="24">
      <c r="A848" s="28" t="n"/>
      <c r="B848" s="30" t="n"/>
      <c r="C848" s="30" t="inlineStr">
        <is>
          <t>DC-03B</t>
        </is>
      </c>
      <c r="D848" s="30" t="inlineStr">
        <is>
          <t>Birthday Designer Collection III</t>
        </is>
      </c>
      <c r="E848" s="30" t="inlineStr">
        <is>
          <t>Designer Collection</t>
        </is>
      </c>
      <c r="F848" s="30" t="inlineStr">
        <is>
          <t>Out of scope</t>
        </is>
      </c>
      <c r="G848" s="30" t="inlineStr">
        <is>
          <t>Scope rules</t>
        </is>
      </c>
      <c r="H848" s="30" t="inlineStr">
        <is>
          <t>Excluded: Mel's (no mason jar)</t>
        </is>
      </c>
      <c r="I848" s="30" t="inlineStr">
        <is>
          <t>Mel's only takes products with mason jar in the title or bucket</t>
        </is>
      </c>
      <c r="J848" s="30" t="inlineStr">
        <is>
          <t>Scope rules</t>
        </is>
      </c>
      <c r="K848" s="30" t="n"/>
    </row>
    <row r="849" ht="22.35" customHeight="1" s="24">
      <c r="A849" s="28" t="n"/>
      <c r="B849" s="30" t="n"/>
      <c r="C849" s="30" t="inlineStr">
        <is>
          <t>DC-03S</t>
        </is>
      </c>
      <c r="D849" s="30" t="inlineStr">
        <is>
          <t>Designer Sympathy Collection III</t>
        </is>
      </c>
      <c r="E849" s="30" t="inlineStr">
        <is>
          <t>Designer Collection</t>
        </is>
      </c>
      <c r="F849" s="30" t="inlineStr">
        <is>
          <t>Out of scope</t>
        </is>
      </c>
      <c r="G849" s="30" t="inlineStr">
        <is>
          <t>Scope rules</t>
        </is>
      </c>
      <c r="H849" s="30" t="inlineStr">
        <is>
          <t>Excluded: Mel's (no mason jar)</t>
        </is>
      </c>
      <c r="I849" s="30" t="inlineStr">
        <is>
          <t>Mel's only takes products with mason jar in the title or bucket</t>
        </is>
      </c>
      <c r="J849" s="30" t="inlineStr">
        <is>
          <t>Scope rules</t>
        </is>
      </c>
      <c r="K849" s="30" t="n"/>
    </row>
    <row r="850" ht="22.35" customHeight="1" s="24">
      <c r="A850" s="28" t="n"/>
      <c r="B850" s="30" t="n"/>
      <c r="C850" s="30" t="inlineStr">
        <is>
          <t>DC-04B</t>
        </is>
      </c>
      <c r="D850" s="30" t="inlineStr">
        <is>
          <t>Birthday Designer Collection IV</t>
        </is>
      </c>
      <c r="E850" s="30" t="inlineStr">
        <is>
          <t>Designer Collection</t>
        </is>
      </c>
      <c r="F850" s="30" t="inlineStr">
        <is>
          <t>Out of scope</t>
        </is>
      </c>
      <c r="G850" s="30" t="inlineStr">
        <is>
          <t>Scope rules</t>
        </is>
      </c>
      <c r="H850" s="30" t="inlineStr">
        <is>
          <t>Excluded: Mel's (no mason jar)</t>
        </is>
      </c>
      <c r="I850" s="30" t="inlineStr">
        <is>
          <t>Mel's only takes products with mason jar in the title or bucket</t>
        </is>
      </c>
      <c r="J850" s="30" t="inlineStr">
        <is>
          <t>Scope rules</t>
        </is>
      </c>
      <c r="K850" s="30" t="n"/>
    </row>
    <row r="851" ht="22.35" customHeight="1" s="24">
      <c r="A851" s="28" t="n"/>
      <c r="B851" s="30" t="n"/>
      <c r="C851" s="30" t="inlineStr">
        <is>
          <t>DC112-01</t>
        </is>
      </c>
      <c r="D851" s="30" t="inlineStr">
        <is>
          <t>Designers Collection I</t>
        </is>
      </c>
      <c r="E851" s="30" t="inlineStr">
        <is>
          <t>Designer Collection</t>
        </is>
      </c>
      <c r="F851" s="30" t="inlineStr">
        <is>
          <t>Out of scope</t>
        </is>
      </c>
      <c r="G851" s="30" t="inlineStr">
        <is>
          <t>Scope rules</t>
        </is>
      </c>
      <c r="H851" s="30" t="inlineStr">
        <is>
          <t>Excluded: Mel's (no mason jar)</t>
        </is>
      </c>
      <c r="I851" s="30" t="inlineStr">
        <is>
          <t>Mel's only takes products with mason jar in the title or bucket</t>
        </is>
      </c>
      <c r="J851" s="30" t="inlineStr">
        <is>
          <t>Scope rules</t>
        </is>
      </c>
      <c r="K851" s="30" t="n"/>
    </row>
    <row r="852" ht="22.35" customHeight="1" s="24">
      <c r="A852" s="28" t="n"/>
      <c r="B852" s="30" t="n"/>
      <c r="C852" s="30" t="inlineStr">
        <is>
          <t>DC112-01A</t>
        </is>
      </c>
      <c r="D852" s="30" t="inlineStr">
        <is>
          <t>Designers Collection I</t>
        </is>
      </c>
      <c r="E852" s="30" t="inlineStr">
        <is>
          <t>Designer Collection</t>
        </is>
      </c>
      <c r="F852" s="30" t="inlineStr">
        <is>
          <t>Out of scope</t>
        </is>
      </c>
      <c r="G852" s="30" t="inlineStr">
        <is>
          <t>Scope rules</t>
        </is>
      </c>
      <c r="H852" s="30" t="inlineStr">
        <is>
          <t>Excluded: Mel's (no mason jar)</t>
        </is>
      </c>
      <c r="I852" s="30" t="inlineStr">
        <is>
          <t>Mel's only takes products with mason jar in the title or bucket</t>
        </is>
      </c>
      <c r="J852" s="30" t="inlineStr">
        <is>
          <t>Scope rules</t>
        </is>
      </c>
      <c r="K852" s="30" t="n"/>
    </row>
    <row r="853" ht="22.35" customHeight="1" s="24">
      <c r="A853" s="28" t="n"/>
      <c r="B853" s="30" t="n"/>
      <c r="C853" s="30" t="inlineStr">
        <is>
          <t>DC112-02</t>
        </is>
      </c>
      <c r="D853" s="30" t="inlineStr">
        <is>
          <t>Designers Collection II</t>
        </is>
      </c>
      <c r="E853" s="30" t="inlineStr">
        <is>
          <t>Designer Collection</t>
        </is>
      </c>
      <c r="F853" s="30" t="inlineStr">
        <is>
          <t>Out of scope</t>
        </is>
      </c>
      <c r="G853" s="30" t="inlineStr">
        <is>
          <t>Scope rules</t>
        </is>
      </c>
      <c r="H853" s="30" t="inlineStr">
        <is>
          <t>Excluded: Mel's (no mason jar)</t>
        </is>
      </c>
      <c r="I853" s="30" t="inlineStr">
        <is>
          <t>Mel's only takes products with mason jar in the title or bucket</t>
        </is>
      </c>
      <c r="J853" s="30" t="inlineStr">
        <is>
          <t>Scope rules</t>
        </is>
      </c>
      <c r="K853" s="30" t="n"/>
    </row>
    <row r="854" ht="22.35" customHeight="1" s="24">
      <c r="A854" s="28" t="n"/>
      <c r="B854" s="30" t="n"/>
      <c r="C854" s="30" t="inlineStr">
        <is>
          <t>DC112-03</t>
        </is>
      </c>
      <c r="D854" s="30" t="inlineStr">
        <is>
          <t>Designers Collection III</t>
        </is>
      </c>
      <c r="E854" s="30" t="inlineStr">
        <is>
          <t>Designer Collection</t>
        </is>
      </c>
      <c r="F854" s="30" t="inlineStr">
        <is>
          <t>Out of scope</t>
        </is>
      </c>
      <c r="G854" s="30" t="inlineStr">
        <is>
          <t>Scope rules</t>
        </is>
      </c>
      <c r="H854" s="30" t="inlineStr">
        <is>
          <t>Excluded: Mel's (no mason jar)</t>
        </is>
      </c>
      <c r="I854" s="30" t="inlineStr">
        <is>
          <t>Mel's only takes products with mason jar in the title or bucket</t>
        </is>
      </c>
      <c r="J854" s="30" t="inlineStr">
        <is>
          <t>Scope rules</t>
        </is>
      </c>
      <c r="K854" s="30" t="n"/>
    </row>
    <row r="855" ht="22.35" customHeight="1" s="24">
      <c r="A855" s="28" t="n"/>
      <c r="B855" s="30" t="n"/>
      <c r="C855" s="30" t="inlineStr">
        <is>
          <t>DC112-04</t>
        </is>
      </c>
      <c r="D855" s="30" t="inlineStr">
        <is>
          <t>Designer Collection IV</t>
        </is>
      </c>
      <c r="E855" s="30" t="inlineStr">
        <is>
          <t>Designer Collection</t>
        </is>
      </c>
      <c r="F855" s="30" t="inlineStr">
        <is>
          <t>Out of scope</t>
        </is>
      </c>
      <c r="G855" s="30" t="inlineStr">
        <is>
          <t>Scope rules</t>
        </is>
      </c>
      <c r="H855" s="30" t="inlineStr">
        <is>
          <t>Excluded: Mel's (no mason jar)</t>
        </is>
      </c>
      <c r="I855" s="30" t="inlineStr">
        <is>
          <t>Mel's only takes products with mason jar in the title or bucket</t>
        </is>
      </c>
      <c r="J855" s="30" t="inlineStr">
        <is>
          <t>Scope rules</t>
        </is>
      </c>
      <c r="K855" s="30" t="n"/>
    </row>
    <row r="856" ht="22.35" customHeight="1" s="24">
      <c r="A856" s="28" t="n"/>
      <c r="B856" s="30" t="n"/>
      <c r="C856" s="30" t="inlineStr">
        <is>
          <t>DCA-01-00</t>
        </is>
      </c>
      <c r="D856" s="30" t="inlineStr">
        <is>
          <t>Anniversary Designer Collection I</t>
        </is>
      </c>
      <c r="E856" s="30" t="inlineStr">
        <is>
          <t>Designer Collection</t>
        </is>
      </c>
      <c r="F856" s="30" t="inlineStr">
        <is>
          <t>Out of scope</t>
        </is>
      </c>
      <c r="G856" s="30" t="inlineStr">
        <is>
          <t>Scope rules</t>
        </is>
      </c>
      <c r="H856" s="30" t="inlineStr">
        <is>
          <t>Excluded: Mel's (no mason jar)</t>
        </is>
      </c>
      <c r="I856" s="30" t="inlineStr">
        <is>
          <t>Mel's only takes products with mason jar in the title or bucket</t>
        </is>
      </c>
      <c r="J856" s="30" t="inlineStr">
        <is>
          <t>Scope rules</t>
        </is>
      </c>
      <c r="K856" s="30" t="n"/>
    </row>
    <row r="857" ht="22.35" customHeight="1" s="24">
      <c r="A857" s="28" t="n"/>
      <c r="B857" s="30" t="n"/>
      <c r="C857" s="30" t="inlineStr">
        <is>
          <t>DCA-02-00</t>
        </is>
      </c>
      <c r="D857" s="30" t="inlineStr">
        <is>
          <t>Anniversary Designer Collection II</t>
        </is>
      </c>
      <c r="E857" s="30" t="inlineStr">
        <is>
          <t>Designer Collection</t>
        </is>
      </c>
      <c r="F857" s="30" t="inlineStr">
        <is>
          <t>Out of scope</t>
        </is>
      </c>
      <c r="G857" s="30" t="inlineStr">
        <is>
          <t>Scope rules</t>
        </is>
      </c>
      <c r="H857" s="30" t="inlineStr">
        <is>
          <t>Excluded: Mel's (no mason jar)</t>
        </is>
      </c>
      <c r="I857" s="30" t="inlineStr">
        <is>
          <t>Mel's only takes products with mason jar in the title or bucket</t>
        </is>
      </c>
      <c r="J857" s="30" t="inlineStr">
        <is>
          <t>Scope rules</t>
        </is>
      </c>
      <c r="K857" s="30" t="n"/>
    </row>
    <row r="858" ht="22.35" customHeight="1" s="24">
      <c r="A858" s="28" t="n"/>
      <c r="B858" s="30" t="n"/>
      <c r="C858" s="30" t="inlineStr">
        <is>
          <t>DCA-03-00</t>
        </is>
      </c>
      <c r="D858" s="30" t="inlineStr">
        <is>
          <t>Anniversary Designer Collection III</t>
        </is>
      </c>
      <c r="E858" s="30" t="inlineStr">
        <is>
          <t>Designer Collection</t>
        </is>
      </c>
      <c r="F858" s="30" t="inlineStr">
        <is>
          <t>Out of scope</t>
        </is>
      </c>
      <c r="G858" s="30" t="inlineStr">
        <is>
          <t>Scope rules</t>
        </is>
      </c>
      <c r="H858" s="30" t="inlineStr">
        <is>
          <t>Excluded: Mel's (no mason jar)</t>
        </is>
      </c>
      <c r="I858" s="30" t="inlineStr">
        <is>
          <t>Mel's only takes products with mason jar in the title or bucket</t>
        </is>
      </c>
      <c r="J858" s="30" t="inlineStr">
        <is>
          <t>Scope rules</t>
        </is>
      </c>
      <c r="K858" s="30" t="n"/>
    </row>
    <row r="859" ht="22.35" customHeight="1" s="24">
      <c r="A859" s="28" t="n"/>
      <c r="B859" s="30" t="n"/>
      <c r="C859" s="30" t="inlineStr">
        <is>
          <t>DCA-04-00</t>
        </is>
      </c>
      <c r="D859" s="30" t="inlineStr">
        <is>
          <t>Anniversary Designer Collection IV</t>
        </is>
      </c>
      <c r="E859" s="30" t="inlineStr">
        <is>
          <t>Designer Collection</t>
        </is>
      </c>
      <c r="F859" s="30" t="inlineStr">
        <is>
          <t>Out of scope</t>
        </is>
      </c>
      <c r="G859" s="30" t="inlineStr">
        <is>
          <t>Scope rules</t>
        </is>
      </c>
      <c r="H859" s="30" t="inlineStr">
        <is>
          <t>Excluded: Mel's (no mason jar)</t>
        </is>
      </c>
      <c r="I859" s="30" t="inlineStr">
        <is>
          <t>Mel's only takes products with mason jar in the title or bucket</t>
        </is>
      </c>
      <c r="J859" s="30" t="inlineStr">
        <is>
          <t>Scope rules</t>
        </is>
      </c>
      <c r="K859" s="30" t="n"/>
    </row>
    <row r="860" ht="22.35" customHeight="1" s="24">
      <c r="A860" s="28" t="n"/>
      <c r="B860" s="30" t="n"/>
      <c r="C860" s="30" t="inlineStr">
        <is>
          <t>DCB-01</t>
        </is>
      </c>
      <c r="D860" s="30" t="inlineStr">
        <is>
          <t>Birthday Designer Collection I</t>
        </is>
      </c>
      <c r="E860" s="30" t="inlineStr">
        <is>
          <t>Designer Collection</t>
        </is>
      </c>
      <c r="F860" s="30" t="inlineStr">
        <is>
          <t>Out of scope</t>
        </is>
      </c>
      <c r="G860" s="30" t="inlineStr">
        <is>
          <t>Scope rules</t>
        </is>
      </c>
      <c r="H860" s="30" t="inlineStr">
        <is>
          <t>Excluded: Mel's (no mason jar)</t>
        </is>
      </c>
      <c r="I860" s="30" t="inlineStr">
        <is>
          <t>Mel's only takes products with mason jar in the title or bucket</t>
        </is>
      </c>
      <c r="J860" s="30" t="inlineStr">
        <is>
          <t>Scope rules</t>
        </is>
      </c>
      <c r="K860" s="30" t="n"/>
    </row>
    <row r="861" ht="22.35" customHeight="1" s="24">
      <c r="A861" s="28" t="n"/>
      <c r="B861" s="30" t="n"/>
      <c r="C861" s="30" t="inlineStr">
        <is>
          <t>DCB-01C</t>
        </is>
      </c>
      <c r="D861" s="30" t="inlineStr">
        <is>
          <t>Birthday Designer Collection I Combo</t>
        </is>
      </c>
      <c r="E861" s="30" t="inlineStr">
        <is>
          <t>Designer Collection</t>
        </is>
      </c>
      <c r="F861" s="30" t="inlineStr">
        <is>
          <t>Out of scope</t>
        </is>
      </c>
      <c r="G861" s="30" t="inlineStr">
        <is>
          <t>Scope rules</t>
        </is>
      </c>
      <c r="H861" s="30" t="inlineStr">
        <is>
          <t>Excluded: Mel's (no mason jar)</t>
        </is>
      </c>
      <c r="I861" s="30" t="inlineStr">
        <is>
          <t>Mel's only takes products with mason jar in the title or bucket</t>
        </is>
      </c>
      <c r="J861" s="30" t="inlineStr">
        <is>
          <t>Scope rules</t>
        </is>
      </c>
      <c r="K861" s="30" t="n"/>
    </row>
    <row r="862" ht="22.35" customHeight="1" s="24">
      <c r="A862" s="28" t="n"/>
      <c r="B862" s="30" t="n"/>
      <c r="C862" s="30" t="inlineStr">
        <is>
          <t>DCB-02</t>
        </is>
      </c>
      <c r="D862" s="30" t="inlineStr">
        <is>
          <t>Birthday Designer Collection II</t>
        </is>
      </c>
      <c r="E862" s="30" t="inlineStr">
        <is>
          <t>Designer Collection</t>
        </is>
      </c>
      <c r="F862" s="30" t="inlineStr">
        <is>
          <t>Out of scope</t>
        </is>
      </c>
      <c r="G862" s="30" t="inlineStr">
        <is>
          <t>Scope rules</t>
        </is>
      </c>
      <c r="H862" s="30" t="inlineStr">
        <is>
          <t>Excluded: Mel's (no mason jar)</t>
        </is>
      </c>
      <c r="I862" s="30" t="inlineStr">
        <is>
          <t>Mel's only takes products with mason jar in the title or bucket</t>
        </is>
      </c>
      <c r="J862" s="30" t="inlineStr">
        <is>
          <t>Scope rules</t>
        </is>
      </c>
      <c r="K862" s="30" t="n"/>
    </row>
    <row r="863" ht="22.35" customHeight="1" s="24">
      <c r="A863" s="28" t="n"/>
      <c r="B863" s="30" t="n"/>
      <c r="C863" s="30" t="inlineStr">
        <is>
          <t>DCB-03</t>
        </is>
      </c>
      <c r="D863" s="30" t="inlineStr">
        <is>
          <t>Birthday Designer Collection III</t>
        </is>
      </c>
      <c r="E863" s="30" t="inlineStr">
        <is>
          <t>Designer Collection</t>
        </is>
      </c>
      <c r="F863" s="30" t="inlineStr">
        <is>
          <t>Out of scope</t>
        </is>
      </c>
      <c r="G863" s="30" t="inlineStr">
        <is>
          <t>Scope rules</t>
        </is>
      </c>
      <c r="H863" s="30" t="inlineStr">
        <is>
          <t>Excluded: Mel's (no mason jar)</t>
        </is>
      </c>
      <c r="I863" s="30" t="inlineStr">
        <is>
          <t>Mel's only takes products with mason jar in the title or bucket</t>
        </is>
      </c>
      <c r="J863" s="30" t="inlineStr">
        <is>
          <t>Scope rules</t>
        </is>
      </c>
      <c r="K863" s="30" t="n"/>
    </row>
    <row r="864" ht="22.35" customHeight="1" s="24">
      <c r="A864" s="28" t="n"/>
      <c r="B864" s="30" t="n"/>
      <c r="C864" s="30" t="inlineStr">
        <is>
          <t>DCB-04</t>
        </is>
      </c>
      <c r="D864" s="30" t="inlineStr">
        <is>
          <t>Birthday Designer Collection IV</t>
        </is>
      </c>
      <c r="E864" s="30" t="inlineStr">
        <is>
          <t>Designer Collection</t>
        </is>
      </c>
      <c r="F864" s="30" t="inlineStr">
        <is>
          <t>Out of scope</t>
        </is>
      </c>
      <c r="G864" s="30" t="inlineStr">
        <is>
          <t>Scope rules</t>
        </is>
      </c>
      <c r="H864" s="30" t="inlineStr">
        <is>
          <t>Excluded: Mel's (no mason jar)</t>
        </is>
      </c>
      <c r="I864" s="30" t="inlineStr">
        <is>
          <t>Mel's only takes products with mason jar in the title or bucket</t>
        </is>
      </c>
      <c r="J864" s="30" t="inlineStr">
        <is>
          <t>Scope rules</t>
        </is>
      </c>
      <c r="K864" s="30" t="n"/>
    </row>
    <row r="865" ht="22.35" customHeight="1" s="24">
      <c r="A865" s="28" t="n"/>
      <c r="B865" s="30" t="n"/>
      <c r="C865" s="30" t="inlineStr">
        <is>
          <t>DCS-01</t>
        </is>
      </c>
      <c r="D865" s="30" t="inlineStr">
        <is>
          <t>Designer Sympathy Collection I</t>
        </is>
      </c>
      <c r="E865" s="30" t="inlineStr">
        <is>
          <t>Designer Collection</t>
        </is>
      </c>
      <c r="F865" s="30" t="inlineStr">
        <is>
          <t>Out of scope</t>
        </is>
      </c>
      <c r="G865" s="30" t="inlineStr">
        <is>
          <t>Scope rules</t>
        </is>
      </c>
      <c r="H865" s="30" t="inlineStr">
        <is>
          <t>Excluded: Mel's (no mason jar)</t>
        </is>
      </c>
      <c r="I865" s="30" t="inlineStr">
        <is>
          <t>Mel's only takes products with mason jar in the title or bucket</t>
        </is>
      </c>
      <c r="J865" s="30" t="inlineStr">
        <is>
          <t>Scope rules</t>
        </is>
      </c>
      <c r="K865" s="30" t="n"/>
    </row>
    <row r="866" ht="22.35" customHeight="1" s="24">
      <c r="A866" s="28" t="n"/>
      <c r="B866" s="30" t="n"/>
      <c r="C866" s="30" t="inlineStr">
        <is>
          <t>DCS-02</t>
        </is>
      </c>
      <c r="D866" s="30" t="inlineStr">
        <is>
          <t>Designer Sympathy Collection II</t>
        </is>
      </c>
      <c r="E866" s="30" t="inlineStr">
        <is>
          <t>Designer Collection</t>
        </is>
      </c>
      <c r="F866" s="30" t="inlineStr">
        <is>
          <t>Out of scope</t>
        </is>
      </c>
      <c r="G866" s="30" t="inlineStr">
        <is>
          <t>Scope rules</t>
        </is>
      </c>
      <c r="H866" s="30" t="inlineStr">
        <is>
          <t>Excluded: Mel's (no mason jar)</t>
        </is>
      </c>
      <c r="I866" s="30" t="inlineStr">
        <is>
          <t>Mel's only takes products with mason jar in the title or bucket</t>
        </is>
      </c>
      <c r="J866" s="30" t="inlineStr">
        <is>
          <t>Scope rules</t>
        </is>
      </c>
      <c r="K866" s="30" t="n"/>
    </row>
    <row r="867" ht="22.35" customHeight="1" s="24">
      <c r="A867" s="28" t="n"/>
      <c r="B867" s="30" t="n"/>
      <c r="C867" s="30" t="inlineStr">
        <is>
          <t>DCS-03</t>
        </is>
      </c>
      <c r="D867" s="30" t="inlineStr">
        <is>
          <t>Designer Sympathy Collection III</t>
        </is>
      </c>
      <c r="E867" s="30" t="inlineStr">
        <is>
          <t>Designer Collection</t>
        </is>
      </c>
      <c r="F867" s="30" t="inlineStr">
        <is>
          <t>Out of scope</t>
        </is>
      </c>
      <c r="G867" s="30" t="inlineStr">
        <is>
          <t>Scope rules</t>
        </is>
      </c>
      <c r="H867" s="30" t="inlineStr">
        <is>
          <t>Excluded: Mel's (no mason jar)</t>
        </is>
      </c>
      <c r="I867" s="30" t="inlineStr">
        <is>
          <t>Mel's only takes products with mason jar in the title or bucket</t>
        </is>
      </c>
      <c r="J867" s="30" t="inlineStr">
        <is>
          <t>Scope rules</t>
        </is>
      </c>
      <c r="K867" s="30" t="n"/>
    </row>
    <row r="868" ht="22.35" customHeight="1" s="24">
      <c r="A868" s="28" t="n"/>
      <c r="B868" s="30" t="n"/>
      <c r="C868" s="30" t="inlineStr">
        <is>
          <t>DCS-04</t>
        </is>
      </c>
      <c r="D868" s="30" t="inlineStr">
        <is>
          <t>Designer Sympathy Collection IV</t>
        </is>
      </c>
      <c r="E868" s="30" t="inlineStr">
        <is>
          <t>Designer Collection</t>
        </is>
      </c>
      <c r="F868" s="30" t="inlineStr">
        <is>
          <t>Out of scope</t>
        </is>
      </c>
      <c r="G868" s="30" t="inlineStr">
        <is>
          <t>Scope rules</t>
        </is>
      </c>
      <c r="H868" s="30" t="inlineStr">
        <is>
          <t>Excluded: Mel's (no mason jar)</t>
        </is>
      </c>
      <c r="I868" s="30" t="inlineStr">
        <is>
          <t>Mel's only takes products with mason jar in the title or bucket</t>
        </is>
      </c>
      <c r="J868" s="30" t="inlineStr">
        <is>
          <t>Scope rules</t>
        </is>
      </c>
      <c r="K868" s="30" t="n"/>
    </row>
    <row r="869" ht="22.35" customHeight="1" s="24">
      <c r="A869" s="28" t="n"/>
      <c r="B869" s="30" t="n"/>
      <c r="C869" s="30" t="inlineStr">
        <is>
          <t>EEEE</t>
        </is>
      </c>
      <c r="D869" s="30" t="inlineStr">
        <is>
          <t>WWWW</t>
        </is>
      </c>
      <c r="E869" s="30" t="inlineStr">
        <is>
          <t>Designer Collection</t>
        </is>
      </c>
      <c r="F869" s="30" t="inlineStr">
        <is>
          <t>Out of scope</t>
        </is>
      </c>
      <c r="G869" s="30" t="inlineStr">
        <is>
          <t>Scope rules</t>
        </is>
      </c>
      <c r="H869" s="30" t="inlineStr">
        <is>
          <t>Excluded: Mel's (no mason jar)</t>
        </is>
      </c>
      <c r="I869" s="30" t="inlineStr">
        <is>
          <t>Mel's only takes products with mason jar in the title or bucket</t>
        </is>
      </c>
      <c r="J869" s="30" t="inlineStr">
        <is>
          <t>Scope rules</t>
        </is>
      </c>
      <c r="K869" s="30" t="n"/>
    </row>
    <row r="870" ht="15" customHeight="1" s="24">
      <c r="A870" s="28" t="n"/>
      <c r="B870" s="30" t="n"/>
      <c r="C870" s="30" t="inlineStr">
        <is>
          <t>FBAU61-66</t>
        </is>
      </c>
      <c r="D870" s="30" t="inlineStr">
        <is>
          <t>European Sampler Basket</t>
        </is>
      </c>
      <c r="E870" s="30" t="inlineStr">
        <is>
          <t>Bouquets</t>
        </is>
      </c>
      <c r="F870" s="30" t="inlineStr">
        <is>
          <t>Out of scope</t>
        </is>
      </c>
      <c r="G870" s="30" t="inlineStr">
        <is>
          <t>Scope rules</t>
        </is>
      </c>
      <c r="H870" s="30" t="inlineStr">
        <is>
          <t>Excluded: Mel's (no mason jar)</t>
        </is>
      </c>
      <c r="I870" s="30" t="inlineStr">
        <is>
          <t>Mel's only takes products with mason jar in the title or bucket</t>
        </is>
      </c>
      <c r="J870" s="30" t="inlineStr">
        <is>
          <t>Scope rules</t>
        </is>
      </c>
      <c r="K870" s="30" t="n"/>
    </row>
    <row r="871" ht="15" customHeight="1" s="24">
      <c r="A871" s="28" t="n"/>
      <c r="B871" s="30" t="n"/>
      <c r="C871" s="30" t="inlineStr">
        <is>
          <t>FBAU76-60</t>
        </is>
      </c>
      <c r="D871" s="30" t="inlineStr">
        <is>
          <t>Fruits &amp; Chocolates</t>
        </is>
      </c>
      <c r="E871" s="30" t="inlineStr">
        <is>
          <t>Bouquets</t>
        </is>
      </c>
      <c r="F871" s="30" t="inlineStr">
        <is>
          <t>Out of scope</t>
        </is>
      </c>
      <c r="G871" s="30" t="inlineStr">
        <is>
          <t>Scope rules</t>
        </is>
      </c>
      <c r="H871" s="30" t="inlineStr">
        <is>
          <t>Excluded: Mel's (no mason jar)</t>
        </is>
      </c>
      <c r="I871" s="30" t="inlineStr">
        <is>
          <t>Mel's only takes products with mason jar in the title or bucket</t>
        </is>
      </c>
      <c r="J871" s="30" t="inlineStr">
        <is>
          <t>Scope rules</t>
        </is>
      </c>
      <c r="K871" s="30" t="n"/>
    </row>
    <row r="872" ht="15" customHeight="1" s="24">
      <c r="A872" s="28" t="n"/>
      <c r="B872" s="30" t="n"/>
      <c r="C872" s="30" t="inlineStr">
        <is>
          <t>GF10-01</t>
        </is>
      </c>
      <c r="D872" s="30" t="inlineStr">
        <is>
          <t>Half Dozen Long Stem Red Roses</t>
        </is>
      </c>
      <c r="E872" s="30" t="inlineStr">
        <is>
          <t>Roses</t>
        </is>
      </c>
      <c r="F872" s="30" t="inlineStr">
        <is>
          <t>Out of scope</t>
        </is>
      </c>
      <c r="G872" s="30" t="inlineStr">
        <is>
          <t>Scope rules</t>
        </is>
      </c>
      <c r="H872" s="30" t="inlineStr">
        <is>
          <t>Excluded: Mel's (no mason jar)</t>
        </is>
      </c>
      <c r="I872" s="30" t="inlineStr">
        <is>
          <t>Mel's only takes products with mason jar in the title or bucket</t>
        </is>
      </c>
      <c r="J872" s="30" t="inlineStr">
        <is>
          <t>Scope rules</t>
        </is>
      </c>
      <c r="K872" s="30" t="n"/>
    </row>
    <row r="873" ht="15" customHeight="1" s="24">
      <c r="A873" s="28" t="n"/>
      <c r="B873" s="30" t="n"/>
      <c r="C873" s="30" t="inlineStr">
        <is>
          <t>GF10-30</t>
        </is>
      </c>
      <c r="D873" s="30" t="inlineStr">
        <is>
          <t>Harmony Blooms</t>
        </is>
      </c>
      <c r="E873" s="30" t="inlineStr">
        <is>
          <t>Bouquets</t>
        </is>
      </c>
      <c r="F873" s="30" t="inlineStr">
        <is>
          <t>Out of scope</t>
        </is>
      </c>
      <c r="G873" s="30" t="inlineStr">
        <is>
          <t>Scope rules</t>
        </is>
      </c>
      <c r="H873" s="30" t="inlineStr">
        <is>
          <t>Excluded: Mel's (no mason jar)</t>
        </is>
      </c>
      <c r="I873" s="30" t="inlineStr">
        <is>
          <t>Mel's only takes products with mason jar in the title or bucket</t>
        </is>
      </c>
      <c r="J873" s="30" t="inlineStr">
        <is>
          <t>Scope rules</t>
        </is>
      </c>
      <c r="K873" s="30" t="n"/>
    </row>
    <row r="874" ht="15" customHeight="1" s="24">
      <c r="A874" s="28" t="n"/>
      <c r="B874" s="30" t="n"/>
      <c r="C874" s="30" t="inlineStr">
        <is>
          <t>GF16-100</t>
        </is>
      </c>
      <c r="D874" s="30" t="inlineStr">
        <is>
          <t>Blushing Elegance</t>
        </is>
      </c>
      <c r="E874" s="30" t="inlineStr">
        <is>
          <t>Bouquets</t>
        </is>
      </c>
      <c r="F874" s="30" t="inlineStr">
        <is>
          <t>Out of scope</t>
        </is>
      </c>
      <c r="G874" s="30" t="inlineStr">
        <is>
          <t>Scope rules</t>
        </is>
      </c>
      <c r="H874" s="30" t="inlineStr">
        <is>
          <t>Excluded: Mel's (no mason jar)</t>
        </is>
      </c>
      <c r="I874" s="30" t="inlineStr">
        <is>
          <t>Mel's only takes products with mason jar in the title or bucket</t>
        </is>
      </c>
      <c r="J874" s="30" t="inlineStr">
        <is>
          <t>Scope rules</t>
        </is>
      </c>
      <c r="K874" s="30" t="n"/>
    </row>
    <row r="875" ht="15" customHeight="1" s="24">
      <c r="A875" s="28" t="n"/>
      <c r="B875" s="30" t="n"/>
      <c r="C875" s="30" t="inlineStr">
        <is>
          <t>GF16-105</t>
        </is>
      </c>
      <c r="D875" s="30" t="inlineStr">
        <is>
          <t>Sunset Serenade</t>
        </is>
      </c>
      <c r="E875" s="30" t="inlineStr">
        <is>
          <t>Bouquets</t>
        </is>
      </c>
      <c r="F875" s="30" t="inlineStr">
        <is>
          <t>Out of scope</t>
        </is>
      </c>
      <c r="G875" s="30" t="inlineStr">
        <is>
          <t>Scope rules</t>
        </is>
      </c>
      <c r="H875" s="30" t="inlineStr">
        <is>
          <t>Excluded: Mel's (no mason jar)</t>
        </is>
      </c>
      <c r="I875" s="30" t="inlineStr">
        <is>
          <t>Mel's only takes products with mason jar in the title or bucket</t>
        </is>
      </c>
      <c r="J875" s="30" t="inlineStr">
        <is>
          <t>Scope rules</t>
        </is>
      </c>
      <c r="K875" s="30" t="n"/>
    </row>
    <row r="876" ht="15" customHeight="1" s="24">
      <c r="A876" s="28" t="n"/>
      <c r="B876" s="30" t="n"/>
      <c r="C876" s="30" t="inlineStr">
        <is>
          <t>HF-01</t>
        </is>
      </c>
      <c r="D876" s="30" t="inlineStr">
        <is>
          <t>Hearts Delight</t>
        </is>
      </c>
      <c r="E876" s="30" t="inlineStr">
        <is>
          <t>Bouquets</t>
        </is>
      </c>
      <c r="F876" s="30" t="inlineStr">
        <is>
          <t>Out of scope</t>
        </is>
      </c>
      <c r="G876" s="30" t="inlineStr">
        <is>
          <t>Scope rules</t>
        </is>
      </c>
      <c r="H876" s="30" t="inlineStr">
        <is>
          <t>Excluded: Mel's (no mason jar)</t>
        </is>
      </c>
      <c r="I876" s="30" t="inlineStr">
        <is>
          <t>Mel's only takes products with mason jar in the title or bucket</t>
        </is>
      </c>
      <c r="J876" s="30" t="inlineStr">
        <is>
          <t>Scope rules</t>
        </is>
      </c>
      <c r="K876" s="30" t="n"/>
    </row>
    <row r="877" ht="22.35" customHeight="1" s="24">
      <c r="A877" s="28" t="n"/>
      <c r="B877" s="30" t="n"/>
      <c r="C877" s="30" t="inlineStr">
        <is>
          <t>LF100-395</t>
        </is>
      </c>
      <c r="D877" s="30" t="inlineStr">
        <is>
          <t>Pure Devotion Funeral Flower Package</t>
        </is>
      </c>
      <c r="E877" s="30" t="inlineStr">
        <is>
          <t>Sympathy</t>
        </is>
      </c>
      <c r="F877" s="30" t="inlineStr">
        <is>
          <t>Out of scope</t>
        </is>
      </c>
      <c r="G877" s="30" t="inlineStr">
        <is>
          <t>Scope rules</t>
        </is>
      </c>
      <c r="H877" s="30" t="inlineStr">
        <is>
          <t>Excluded: Mel's (no mason jar)</t>
        </is>
      </c>
      <c r="I877" s="30" t="inlineStr">
        <is>
          <t>Mel's only takes products with mason jar in the title or bucket</t>
        </is>
      </c>
      <c r="J877" s="30" t="inlineStr">
        <is>
          <t>Scope rules</t>
        </is>
      </c>
      <c r="K877" s="30" t="n"/>
    </row>
    <row r="878" ht="15" customHeight="1" s="24">
      <c r="A878" s="28" t="n"/>
      <c r="B878" s="30" t="n"/>
      <c r="C878" s="30" t="inlineStr">
        <is>
          <t>LF100-578</t>
        </is>
      </c>
      <c r="D878" s="30" t="inlineStr">
        <is>
          <t>Golden Garden Casket Spray</t>
        </is>
      </c>
      <c r="E878" s="30" t="inlineStr">
        <is>
          <t>Sympathy</t>
        </is>
      </c>
      <c r="F878" s="30" t="inlineStr">
        <is>
          <t>Out of scope</t>
        </is>
      </c>
      <c r="G878" s="30" t="inlineStr">
        <is>
          <t>Scope rules</t>
        </is>
      </c>
      <c r="H878" s="30" t="inlineStr">
        <is>
          <t>Excluded: Mel's (no mason jar)</t>
        </is>
      </c>
      <c r="I878" s="30" t="inlineStr">
        <is>
          <t>Mel's only takes products with mason jar in the title or bucket</t>
        </is>
      </c>
      <c r="J878" s="30" t="inlineStr">
        <is>
          <t>Scope rules</t>
        </is>
      </c>
      <c r="K878" s="30" t="n"/>
    </row>
    <row r="879" ht="15" customHeight="1" s="24">
      <c r="A879" s="28" t="n"/>
      <c r="B879" s="30" t="n"/>
      <c r="C879" s="30" t="inlineStr">
        <is>
          <t>LF100-586</t>
        </is>
      </c>
      <c r="D879" s="30" t="inlineStr">
        <is>
          <t>Touch Of Red Roses</t>
        </is>
      </c>
      <c r="E879" s="30" t="inlineStr">
        <is>
          <t>Roses</t>
        </is>
      </c>
      <c r="F879" s="30" t="inlineStr">
        <is>
          <t>Out of scope</t>
        </is>
      </c>
      <c r="G879" s="30" t="inlineStr">
        <is>
          <t>Scope rules</t>
        </is>
      </c>
      <c r="H879" s="30" t="inlineStr">
        <is>
          <t>Excluded: Mel's (no mason jar)</t>
        </is>
      </c>
      <c r="I879" s="30" t="inlineStr">
        <is>
          <t>Mel's only takes products with mason jar in the title or bucket</t>
        </is>
      </c>
      <c r="J879" s="30" t="inlineStr">
        <is>
          <t>Scope rules</t>
        </is>
      </c>
      <c r="K879" s="30" t="n"/>
    </row>
    <row r="880" ht="15" customHeight="1" s="24">
      <c r="A880" s="28" t="n"/>
      <c r="B880" s="30" t="n"/>
      <c r="C880" s="30" t="inlineStr">
        <is>
          <t>LF100-587</t>
        </is>
      </c>
      <c r="D880" s="30" t="inlineStr">
        <is>
          <t>Warm Regards Wreath</t>
        </is>
      </c>
      <c r="E880" s="30" t="inlineStr">
        <is>
          <t>Sympathy</t>
        </is>
      </c>
      <c r="F880" s="30" t="inlineStr">
        <is>
          <t>Out of scope</t>
        </is>
      </c>
      <c r="G880" s="30" t="inlineStr">
        <is>
          <t>Scope rules</t>
        </is>
      </c>
      <c r="H880" s="30" t="inlineStr">
        <is>
          <t>Excluded: Mel's (no mason jar)</t>
        </is>
      </c>
      <c r="I880" s="30" t="inlineStr">
        <is>
          <t>Mel's only takes products with mason jar in the title or bucket</t>
        </is>
      </c>
      <c r="J880" s="30" t="inlineStr">
        <is>
          <t>Scope rules</t>
        </is>
      </c>
      <c r="K880" s="30" t="n"/>
    </row>
    <row r="881" ht="15" customHeight="1" s="24">
      <c r="A881" s="28" t="n"/>
      <c r="B881" s="30" t="n"/>
      <c r="C881" s="30" t="inlineStr">
        <is>
          <t>LF100-590</t>
        </is>
      </c>
      <c r="D881" s="30" t="inlineStr">
        <is>
          <t>Purest Heart</t>
        </is>
      </c>
      <c r="E881" s="30" t="inlineStr">
        <is>
          <t>Sympathy</t>
        </is>
      </c>
      <c r="F881" s="30" t="inlineStr">
        <is>
          <t>Out of scope</t>
        </is>
      </c>
      <c r="G881" s="30" t="inlineStr">
        <is>
          <t>Scope rules</t>
        </is>
      </c>
      <c r="H881" s="30" t="inlineStr">
        <is>
          <t>Excluded: Mel's (no mason jar)</t>
        </is>
      </c>
      <c r="I881" s="30" t="inlineStr">
        <is>
          <t>Mel's only takes products with mason jar in the title or bucket</t>
        </is>
      </c>
      <c r="J881" s="30" t="inlineStr">
        <is>
          <t>Scope rules</t>
        </is>
      </c>
      <c r="K881" s="30" t="n"/>
    </row>
    <row r="882" ht="22.35" customHeight="1" s="24">
      <c r="A882" s="28" t="n"/>
      <c r="B882" s="30" t="n"/>
      <c r="C882" s="30" t="inlineStr">
        <is>
          <t>LF100-595</t>
        </is>
      </c>
      <c r="D882" s="30" t="inlineStr">
        <is>
          <t>Warm Regards Funeral Flower Package</t>
        </is>
      </c>
      <c r="E882" s="30" t="inlineStr">
        <is>
          <t>Sympathy</t>
        </is>
      </c>
      <c r="F882" s="30" t="inlineStr">
        <is>
          <t>Out of scope</t>
        </is>
      </c>
      <c r="G882" s="30" t="inlineStr">
        <is>
          <t>Scope rules</t>
        </is>
      </c>
      <c r="H882" s="30" t="inlineStr">
        <is>
          <t>Excluded: Mel's (no mason jar)</t>
        </is>
      </c>
      <c r="I882" s="30" t="inlineStr">
        <is>
          <t>Mel's only takes products with mason jar in the title or bucket</t>
        </is>
      </c>
      <c r="J882" s="30" t="inlineStr">
        <is>
          <t>Scope rules</t>
        </is>
      </c>
      <c r="K882" s="30" t="n"/>
    </row>
    <row r="883" ht="15" customHeight="1" s="24">
      <c r="A883" s="28" t="n"/>
      <c r="B883" s="30" t="n"/>
      <c r="C883" s="30" t="inlineStr">
        <is>
          <t>LF11-93</t>
        </is>
      </c>
      <c r="D883" s="30" t="inlineStr">
        <is>
          <t>Three Dozen Long Stem Red Roses</t>
        </is>
      </c>
      <c r="E883" s="30" t="inlineStr">
        <is>
          <t>Bouquets</t>
        </is>
      </c>
      <c r="F883" s="30" t="inlineStr">
        <is>
          <t>Out of scope</t>
        </is>
      </c>
      <c r="G883" s="30" t="inlineStr">
        <is>
          <t>Scope rules</t>
        </is>
      </c>
      <c r="H883" s="30" t="inlineStr">
        <is>
          <t>Excluded: Mel's (no mason jar)</t>
        </is>
      </c>
      <c r="I883" s="30" t="inlineStr">
        <is>
          <t>Mel's only takes products with mason jar in the title or bucket</t>
        </is>
      </c>
      <c r="J883" s="30" t="inlineStr">
        <is>
          <t>Scope rules</t>
        </is>
      </c>
      <c r="K883" s="30" t="n"/>
    </row>
    <row r="884" ht="15" customHeight="1" s="24">
      <c r="A884" s="28" t="n"/>
      <c r="B884" s="30" t="n"/>
      <c r="C884" s="30" t="inlineStr">
        <is>
          <t>LF15-10A</t>
        </is>
      </c>
      <c r="D884" s="30" t="inlineStr">
        <is>
          <t>Hugs and Kisses I</t>
        </is>
      </c>
      <c r="E884" s="30" t="inlineStr">
        <is>
          <t>Bouquets</t>
        </is>
      </c>
      <c r="F884" s="30" t="inlineStr">
        <is>
          <t>Out of scope</t>
        </is>
      </c>
      <c r="G884" s="30" t="inlineStr">
        <is>
          <t>Scope rules</t>
        </is>
      </c>
      <c r="H884" s="30" t="inlineStr">
        <is>
          <t>Excluded: Mel's (no mason jar)</t>
        </is>
      </c>
      <c r="I884" s="30" t="inlineStr">
        <is>
          <t>Mel's only takes products with mason jar in the title or bucket</t>
        </is>
      </c>
      <c r="J884" s="30" t="inlineStr">
        <is>
          <t>Scope rules</t>
        </is>
      </c>
      <c r="K884" s="30" t="n"/>
    </row>
    <row r="885" ht="15" customHeight="1" s="24">
      <c r="A885" s="28" t="n"/>
      <c r="B885" s="30" t="n"/>
      <c r="C885" s="30" t="inlineStr">
        <is>
          <t>LF15-10B</t>
        </is>
      </c>
      <c r="D885" s="30" t="inlineStr">
        <is>
          <t>Hugs and Kisses II</t>
        </is>
      </c>
      <c r="E885" s="30" t="inlineStr">
        <is>
          <t>Bouquets</t>
        </is>
      </c>
      <c r="F885" s="30" t="inlineStr">
        <is>
          <t>Out of scope</t>
        </is>
      </c>
      <c r="G885" s="30" t="inlineStr">
        <is>
          <t>Scope rules</t>
        </is>
      </c>
      <c r="H885" s="30" t="inlineStr">
        <is>
          <t>Excluded: Mel's (no mason jar)</t>
        </is>
      </c>
      <c r="I885" s="30" t="inlineStr">
        <is>
          <t>Mel's only takes products with mason jar in the title or bucket</t>
        </is>
      </c>
      <c r="J885" s="30" t="inlineStr">
        <is>
          <t>Scope rules</t>
        </is>
      </c>
      <c r="K885" s="30" t="n"/>
    </row>
    <row r="886" ht="15" customHeight="1" s="24">
      <c r="A886" s="28" t="n"/>
      <c r="B886" s="30" t="n"/>
      <c r="C886" s="30" t="inlineStr">
        <is>
          <t>LF15-10C</t>
        </is>
      </c>
      <c r="D886" s="30" t="inlineStr">
        <is>
          <t>Hugs and Kisses III</t>
        </is>
      </c>
      <c r="E886" s="30" t="inlineStr">
        <is>
          <t>Bouquets</t>
        </is>
      </c>
      <c r="F886" s="30" t="inlineStr">
        <is>
          <t>Out of scope</t>
        </is>
      </c>
      <c r="G886" s="30" t="inlineStr">
        <is>
          <t>Scope rules</t>
        </is>
      </c>
      <c r="H886" s="30" t="inlineStr">
        <is>
          <t>Excluded: Mel's (no mason jar)</t>
        </is>
      </c>
      <c r="I886" s="30" t="inlineStr">
        <is>
          <t>Mel's only takes products with mason jar in the title or bucket</t>
        </is>
      </c>
      <c r="J886" s="30" t="inlineStr">
        <is>
          <t>Scope rules</t>
        </is>
      </c>
      <c r="K886" s="30" t="n"/>
    </row>
    <row r="887" ht="15" customHeight="1" s="24">
      <c r="A887" s="28" t="n"/>
      <c r="B887" s="30" t="n"/>
      <c r="C887" s="30" t="inlineStr">
        <is>
          <t>LF15-10D</t>
        </is>
      </c>
      <c r="D887" s="30" t="inlineStr">
        <is>
          <t>Hugs and Kisses IV</t>
        </is>
      </c>
      <c r="E887" s="30" t="inlineStr">
        <is>
          <t>Bouquets</t>
        </is>
      </c>
      <c r="F887" s="30" t="inlineStr">
        <is>
          <t>Out of scope</t>
        </is>
      </c>
      <c r="G887" s="30" t="inlineStr">
        <is>
          <t>Scope rules</t>
        </is>
      </c>
      <c r="H887" s="30" t="inlineStr">
        <is>
          <t>Excluded: Mel's (no mason jar)</t>
        </is>
      </c>
      <c r="I887" s="30" t="inlineStr">
        <is>
          <t>Mel's only takes products with mason jar in the title or bucket</t>
        </is>
      </c>
      <c r="J887" s="30" t="inlineStr">
        <is>
          <t>Scope rules</t>
        </is>
      </c>
      <c r="K887" s="30" t="n"/>
    </row>
    <row r="888" ht="15" customHeight="1" s="24">
      <c r="A888" s="28" t="n"/>
      <c r="B888" s="30" t="n"/>
      <c r="C888" s="30" t="inlineStr">
        <is>
          <t>LF22-10</t>
        </is>
      </c>
      <c r="D888" s="30" t="inlineStr">
        <is>
          <t>Shades of Pink</t>
        </is>
      </c>
      <c r="E888" s="30" t="inlineStr">
        <is>
          <t>Bouquets</t>
        </is>
      </c>
      <c r="F888" s="30" t="inlineStr">
        <is>
          <t>Out of scope</t>
        </is>
      </c>
      <c r="G888" s="30" t="inlineStr">
        <is>
          <t>Scope rules</t>
        </is>
      </c>
      <c r="H888" s="30" t="inlineStr">
        <is>
          <t>Excluded: Mel's (no mason jar)</t>
        </is>
      </c>
      <c r="I888" s="30" t="inlineStr">
        <is>
          <t>Mel's only takes products with mason jar in the title or bucket</t>
        </is>
      </c>
      <c r="J888" s="30" t="inlineStr">
        <is>
          <t>Scope rules</t>
        </is>
      </c>
      <c r="K888" s="30" t="n"/>
    </row>
    <row r="889" ht="15" customHeight="1" s="24">
      <c r="A889" s="28" t="n"/>
      <c r="B889" s="30" t="n"/>
      <c r="C889" s="30" t="inlineStr">
        <is>
          <t>MDA-01</t>
        </is>
      </c>
      <c r="D889" s="30" t="inlineStr">
        <is>
          <t>50 Blooms of Peruvian Lilies Set</t>
        </is>
      </c>
      <c r="E889" s="30" t="inlineStr">
        <is>
          <t>Bouquets</t>
        </is>
      </c>
      <c r="F889" s="30" t="inlineStr">
        <is>
          <t>Out of scope</t>
        </is>
      </c>
      <c r="G889" s="30" t="inlineStr">
        <is>
          <t>Scope rules</t>
        </is>
      </c>
      <c r="H889" s="30" t="inlineStr">
        <is>
          <t>Excluded: Mel's (no mason jar)</t>
        </is>
      </c>
      <c r="I889" s="30" t="inlineStr">
        <is>
          <t>Mel's only takes products with mason jar in the title or bucket</t>
        </is>
      </c>
      <c r="J889" s="30" t="inlineStr">
        <is>
          <t>Scope rules</t>
        </is>
      </c>
      <c r="K889" s="30" t="n"/>
    </row>
    <row r="890" ht="15" customHeight="1" s="24">
      <c r="A890" s="28" t="n"/>
      <c r="B890" s="30" t="n"/>
      <c r="C890" s="30" t="inlineStr">
        <is>
          <t>MDA-03</t>
        </is>
      </c>
      <c r="D890" s="30" t="inlineStr">
        <is>
          <t>100 Peruvian Lilies Set</t>
        </is>
      </c>
      <c r="E890" s="30" t="inlineStr">
        <is>
          <t>Bouquets</t>
        </is>
      </c>
      <c r="F890" s="30" t="inlineStr">
        <is>
          <t>Out of scope</t>
        </is>
      </c>
      <c r="G890" s="30" t="inlineStr">
        <is>
          <t>Scope rules</t>
        </is>
      </c>
      <c r="H890" s="30" t="inlineStr">
        <is>
          <t>Excluded: Mel's (no mason jar)</t>
        </is>
      </c>
      <c r="I890" s="30" t="inlineStr">
        <is>
          <t>Mel's only takes products with mason jar in the title or bucket</t>
        </is>
      </c>
      <c r="J890" s="30" t="inlineStr">
        <is>
          <t>Scope rules</t>
        </is>
      </c>
      <c r="K890" s="30" t="n"/>
    </row>
    <row r="891" ht="15" customHeight="1" s="24">
      <c r="A891" s="28" t="n"/>
      <c r="B891" s="30" t="n"/>
      <c r="C891" s="30" t="inlineStr">
        <is>
          <t>MDM25-13</t>
        </is>
      </c>
      <c r="D891" s="30" t="inlineStr">
        <is>
          <t>Blushing Muse Bouquet</t>
        </is>
      </c>
      <c r="E891" s="30" t="inlineStr">
        <is>
          <t>Bouquets</t>
        </is>
      </c>
      <c r="F891" s="30" t="inlineStr">
        <is>
          <t>Out of scope</t>
        </is>
      </c>
      <c r="G891" s="30" t="inlineStr">
        <is>
          <t>Scope rules</t>
        </is>
      </c>
      <c r="H891" s="30" t="inlineStr">
        <is>
          <t>Excluded: Mel's (no mason jar)</t>
        </is>
      </c>
      <c r="I891" s="30" t="inlineStr">
        <is>
          <t>Mel's only takes products with mason jar in the title or bucket</t>
        </is>
      </c>
      <c r="J891" s="30" t="inlineStr">
        <is>
          <t>Scope rules</t>
        </is>
      </c>
      <c r="K891" s="30" t="n"/>
    </row>
    <row r="892" ht="15" customHeight="1" s="24">
      <c r="A892" s="28" t="n"/>
      <c r="B892" s="30" t="n"/>
      <c r="C892" s="30" t="inlineStr">
        <is>
          <t>RBC-01B</t>
        </is>
      </c>
      <c r="D892" s="30" t="inlineStr">
        <is>
          <t>Bunches White Collection II</t>
        </is>
      </c>
      <c r="E892" s="30" t="inlineStr">
        <is>
          <t>Bouquets</t>
        </is>
      </c>
      <c r="F892" s="30" t="inlineStr">
        <is>
          <t>Out of scope</t>
        </is>
      </c>
      <c r="G892" s="30" t="inlineStr">
        <is>
          <t>Scope rules</t>
        </is>
      </c>
      <c r="H892" s="30" t="inlineStr">
        <is>
          <t>Excluded: Mel's (no mason jar)</t>
        </is>
      </c>
      <c r="I892" s="30" t="inlineStr">
        <is>
          <t>Mel's only takes products with mason jar in the title or bucket</t>
        </is>
      </c>
      <c r="J892" s="30" t="inlineStr">
        <is>
          <t>Scope rules</t>
        </is>
      </c>
      <c r="K892" s="30" t="n"/>
    </row>
    <row r="893" ht="15" customHeight="1" s="24">
      <c r="A893" s="28" t="n"/>
      <c r="B893" s="30" t="n"/>
      <c r="C893" s="30" t="inlineStr">
        <is>
          <t>RBC-01C</t>
        </is>
      </c>
      <c r="D893" s="30" t="inlineStr">
        <is>
          <t>Bunches White Collection III</t>
        </is>
      </c>
      <c r="E893" s="30" t="inlineStr">
        <is>
          <t>Bouquets</t>
        </is>
      </c>
      <c r="F893" s="30" t="inlineStr">
        <is>
          <t>Out of scope</t>
        </is>
      </c>
      <c r="G893" s="30" t="inlineStr">
        <is>
          <t>Scope rules</t>
        </is>
      </c>
      <c r="H893" s="30" t="inlineStr">
        <is>
          <t>Excluded: Mel's (no mason jar)</t>
        </is>
      </c>
      <c r="I893" s="30" t="inlineStr">
        <is>
          <t>Mel's only takes products with mason jar in the title or bucket</t>
        </is>
      </c>
      <c r="J893" s="30" t="inlineStr">
        <is>
          <t>Scope rules</t>
        </is>
      </c>
      <c r="K893" s="30" t="n"/>
    </row>
    <row r="894" ht="15" customHeight="1" s="24">
      <c r="A894" s="28" t="n"/>
      <c r="B894" s="30" t="n"/>
      <c r="C894" s="30" t="inlineStr">
        <is>
          <t>RBC-01D</t>
        </is>
      </c>
      <c r="D894" s="30" t="inlineStr">
        <is>
          <t>Bunches White Collection IV</t>
        </is>
      </c>
      <c r="E894" s="30" t="inlineStr">
        <is>
          <t>Bouquets</t>
        </is>
      </c>
      <c r="F894" s="30" t="inlineStr">
        <is>
          <t>Out of scope</t>
        </is>
      </c>
      <c r="G894" s="30" t="inlineStr">
        <is>
          <t>Scope rules</t>
        </is>
      </c>
      <c r="H894" s="30" t="inlineStr">
        <is>
          <t>Excluded: Mel's (no mason jar)</t>
        </is>
      </c>
      <c r="I894" s="30" t="inlineStr">
        <is>
          <t>Mel's only takes products with mason jar in the title or bucket</t>
        </is>
      </c>
      <c r="J894" s="30" t="inlineStr">
        <is>
          <t>Scope rules</t>
        </is>
      </c>
      <c r="K894" s="30" t="n"/>
    </row>
    <row r="895" ht="15" customHeight="1" s="24">
      <c r="A895" s="28" t="n"/>
      <c r="B895" s="30" t="n"/>
      <c r="C895" s="30" t="inlineStr">
        <is>
          <t>RBC-02A</t>
        </is>
      </c>
      <c r="D895" s="30" t="inlineStr">
        <is>
          <t>Bunches Purply Pink Collection I</t>
        </is>
      </c>
      <c r="E895" s="30" t="inlineStr">
        <is>
          <t>Bouquets</t>
        </is>
      </c>
      <c r="F895" s="30" t="inlineStr">
        <is>
          <t>Out of scope</t>
        </is>
      </c>
      <c r="G895" s="30" t="inlineStr">
        <is>
          <t>Scope rules</t>
        </is>
      </c>
      <c r="H895" s="30" t="inlineStr">
        <is>
          <t>Excluded: Mel's (no mason jar)</t>
        </is>
      </c>
      <c r="I895" s="30" t="inlineStr">
        <is>
          <t>Mel's only takes products with mason jar in the title or bucket</t>
        </is>
      </c>
      <c r="J895" s="30" t="inlineStr">
        <is>
          <t>Scope rules</t>
        </is>
      </c>
      <c r="K895" s="30" t="n"/>
    </row>
    <row r="896" ht="15" customHeight="1" s="24">
      <c r="A896" s="28" t="n"/>
      <c r="B896" s="30" t="n"/>
      <c r="C896" s="30" t="inlineStr">
        <is>
          <t>RBC-02B</t>
        </is>
      </c>
      <c r="D896" s="30" t="inlineStr">
        <is>
          <t>Bunches Purply Pink Collection II</t>
        </is>
      </c>
      <c r="E896" s="30" t="inlineStr">
        <is>
          <t>Bouquets</t>
        </is>
      </c>
      <c r="F896" s="30" t="inlineStr">
        <is>
          <t>Out of scope</t>
        </is>
      </c>
      <c r="G896" s="30" t="inlineStr">
        <is>
          <t>Scope rules</t>
        </is>
      </c>
      <c r="H896" s="30" t="inlineStr">
        <is>
          <t>Excluded: Mel's (no mason jar)</t>
        </is>
      </c>
      <c r="I896" s="30" t="inlineStr">
        <is>
          <t>Mel's only takes products with mason jar in the title or bucket</t>
        </is>
      </c>
      <c r="J896" s="30" t="inlineStr">
        <is>
          <t>Scope rules</t>
        </is>
      </c>
      <c r="K896" s="30" t="n"/>
    </row>
    <row r="897" ht="15" customHeight="1" s="24">
      <c r="A897" s="28" t="n"/>
      <c r="B897" s="30" t="n"/>
      <c r="C897" s="30" t="inlineStr">
        <is>
          <t>RBC-02C</t>
        </is>
      </c>
      <c r="D897" s="30" t="inlineStr">
        <is>
          <t>Bunches Purply Pink Collection III</t>
        </is>
      </c>
      <c r="E897" s="30" t="inlineStr">
        <is>
          <t>Bouquets</t>
        </is>
      </c>
      <c r="F897" s="30" t="inlineStr">
        <is>
          <t>Out of scope</t>
        </is>
      </c>
      <c r="G897" s="30" t="inlineStr">
        <is>
          <t>Scope rules</t>
        </is>
      </c>
      <c r="H897" s="30" t="inlineStr">
        <is>
          <t>Excluded: Mel's (no mason jar)</t>
        </is>
      </c>
      <c r="I897" s="30" t="inlineStr">
        <is>
          <t>Mel's only takes products with mason jar in the title or bucket</t>
        </is>
      </c>
      <c r="J897" s="30" t="inlineStr">
        <is>
          <t>Scope rules</t>
        </is>
      </c>
      <c r="K897" s="30" t="n"/>
    </row>
    <row r="898" ht="15" customHeight="1" s="24">
      <c r="A898" s="28" t="n"/>
      <c r="B898" s="30" t="n"/>
      <c r="C898" s="30" t="inlineStr">
        <is>
          <t>RBC-02D</t>
        </is>
      </c>
      <c r="D898" s="30" t="inlineStr">
        <is>
          <t>Bunches Purply Pink Collection IV</t>
        </is>
      </c>
      <c r="E898" s="30" t="inlineStr">
        <is>
          <t>Bouquets</t>
        </is>
      </c>
      <c r="F898" s="30" t="inlineStr">
        <is>
          <t>Out of scope</t>
        </is>
      </c>
      <c r="G898" s="30" t="inlineStr">
        <is>
          <t>Scope rules</t>
        </is>
      </c>
      <c r="H898" s="30" t="inlineStr">
        <is>
          <t>Excluded: Mel's (no mason jar)</t>
        </is>
      </c>
      <c r="I898" s="30" t="inlineStr">
        <is>
          <t>Mel's only takes products with mason jar in the title or bucket</t>
        </is>
      </c>
      <c r="J898" s="30" t="inlineStr">
        <is>
          <t>Scope rules</t>
        </is>
      </c>
      <c r="K898" s="30" t="n"/>
    </row>
    <row r="899" ht="15" customHeight="1" s="24">
      <c r="A899" s="28" t="n"/>
      <c r="B899" s="30" t="n"/>
      <c r="C899" s="30" t="inlineStr">
        <is>
          <t>RBC-03A</t>
        </is>
      </c>
      <c r="D899" s="30" t="inlineStr">
        <is>
          <t>Bunches Mixed Collection I</t>
        </is>
      </c>
      <c r="E899" s="30" t="inlineStr">
        <is>
          <t>Bouquets</t>
        </is>
      </c>
      <c r="F899" s="30" t="inlineStr">
        <is>
          <t>Out of scope</t>
        </is>
      </c>
      <c r="G899" s="30" t="inlineStr">
        <is>
          <t>Scope rules</t>
        </is>
      </c>
      <c r="H899" s="30" t="inlineStr">
        <is>
          <t>Excluded: Mel's (no mason jar)</t>
        </is>
      </c>
      <c r="I899" s="30" t="inlineStr">
        <is>
          <t>Mel's only takes products with mason jar in the title or bucket</t>
        </is>
      </c>
      <c r="J899" s="30" t="inlineStr">
        <is>
          <t>Scope rules</t>
        </is>
      </c>
      <c r="K899" s="30" t="n"/>
    </row>
    <row r="900" ht="15" customHeight="1" s="24">
      <c r="A900" s="28" t="n"/>
      <c r="B900" s="30" t="n"/>
      <c r="C900" s="30" t="inlineStr">
        <is>
          <t>RBC-03B</t>
        </is>
      </c>
      <c r="D900" s="30" t="inlineStr">
        <is>
          <t>Bunches Mixed Collection II</t>
        </is>
      </c>
      <c r="E900" s="30" t="inlineStr">
        <is>
          <t>Bouquets</t>
        </is>
      </c>
      <c r="F900" s="30" t="inlineStr">
        <is>
          <t>Out of scope</t>
        </is>
      </c>
      <c r="G900" s="30" t="inlineStr">
        <is>
          <t>Scope rules</t>
        </is>
      </c>
      <c r="H900" s="30" t="inlineStr">
        <is>
          <t>Excluded: Mel's (no mason jar)</t>
        </is>
      </c>
      <c r="I900" s="30" t="inlineStr">
        <is>
          <t>Mel's only takes products with mason jar in the title or bucket</t>
        </is>
      </c>
      <c r="J900" s="30" t="inlineStr">
        <is>
          <t>Scope rules</t>
        </is>
      </c>
      <c r="K900" s="30" t="n"/>
    </row>
    <row r="901" ht="15" customHeight="1" s="24">
      <c r="A901" s="28" t="n"/>
      <c r="B901" s="30" t="n"/>
      <c r="C901" s="30" t="inlineStr">
        <is>
          <t>RBC-03C</t>
        </is>
      </c>
      <c r="D901" s="30" t="inlineStr">
        <is>
          <t>Bunches Mixed Collection III</t>
        </is>
      </c>
      <c r="E901" s="30" t="inlineStr">
        <is>
          <t>Bouquets</t>
        </is>
      </c>
      <c r="F901" s="30" t="inlineStr">
        <is>
          <t>Out of scope</t>
        </is>
      </c>
      <c r="G901" s="30" t="inlineStr">
        <is>
          <t>Scope rules</t>
        </is>
      </c>
      <c r="H901" s="30" t="inlineStr">
        <is>
          <t>Excluded: Mel's (no mason jar)</t>
        </is>
      </c>
      <c r="I901" s="30" t="inlineStr">
        <is>
          <t>Mel's only takes products with mason jar in the title or bucket</t>
        </is>
      </c>
      <c r="J901" s="30" t="inlineStr">
        <is>
          <t>Scope rules</t>
        </is>
      </c>
      <c r="K901" s="30" t="n"/>
    </row>
    <row r="902" ht="15" customHeight="1" s="24">
      <c r="A902" s="28" t="n"/>
      <c r="B902" s="30" t="n"/>
      <c r="C902" s="30" t="inlineStr">
        <is>
          <t>RBC-03D</t>
        </is>
      </c>
      <c r="D902" s="30" t="inlineStr">
        <is>
          <t>Bunches Mixed Collection IV</t>
        </is>
      </c>
      <c r="E902" s="30" t="inlineStr">
        <is>
          <t>Bouquets</t>
        </is>
      </c>
      <c r="F902" s="30" t="inlineStr">
        <is>
          <t>Out of scope</t>
        </is>
      </c>
      <c r="G902" s="30" t="inlineStr">
        <is>
          <t>Scope rules</t>
        </is>
      </c>
      <c r="H902" s="30" t="inlineStr">
        <is>
          <t>Excluded: Mel's (no mason jar)</t>
        </is>
      </c>
      <c r="I902" s="30" t="inlineStr">
        <is>
          <t>Mel's only takes products with mason jar in the title or bucket</t>
        </is>
      </c>
      <c r="J902" s="30" t="inlineStr">
        <is>
          <t>Scope rules</t>
        </is>
      </c>
      <c r="K902" s="30" t="n"/>
    </row>
    <row r="903" ht="15" customHeight="1" s="24">
      <c r="A903" s="28" t="n"/>
      <c r="B903" s="30" t="n"/>
      <c r="C903" s="30" t="inlineStr">
        <is>
          <t>RBC-04A</t>
        </is>
      </c>
      <c r="D903" s="30" t="inlineStr">
        <is>
          <t>Bunches Autumn Collection I</t>
        </is>
      </c>
      <c r="E903" s="30" t="inlineStr">
        <is>
          <t>Bouquets</t>
        </is>
      </c>
      <c r="F903" s="30" t="inlineStr">
        <is>
          <t>Out of scope</t>
        </is>
      </c>
      <c r="G903" s="30" t="inlineStr">
        <is>
          <t>Scope rules</t>
        </is>
      </c>
      <c r="H903" s="30" t="inlineStr">
        <is>
          <t>Excluded: Mel's (no mason jar)</t>
        </is>
      </c>
      <c r="I903" s="30" t="inlineStr">
        <is>
          <t>Mel's only takes products with mason jar in the title or bucket</t>
        </is>
      </c>
      <c r="J903" s="30" t="inlineStr">
        <is>
          <t>Scope rules</t>
        </is>
      </c>
      <c r="K903" s="30" t="n"/>
    </row>
    <row r="904" ht="15" customHeight="1" s="24">
      <c r="A904" s="28" t="n"/>
      <c r="B904" s="30" t="n"/>
      <c r="C904" s="30" t="inlineStr">
        <is>
          <t>RBC-04B</t>
        </is>
      </c>
      <c r="D904" s="30" t="inlineStr">
        <is>
          <t>Bunches Autumn Collection II</t>
        </is>
      </c>
      <c r="E904" s="30" t="inlineStr">
        <is>
          <t>Bouquets</t>
        </is>
      </c>
      <c r="F904" s="30" t="inlineStr">
        <is>
          <t>Out of scope</t>
        </is>
      </c>
      <c r="G904" s="30" t="inlineStr">
        <is>
          <t>Scope rules</t>
        </is>
      </c>
      <c r="H904" s="30" t="inlineStr">
        <is>
          <t>Excluded: Mel's (no mason jar)</t>
        </is>
      </c>
      <c r="I904" s="30" t="inlineStr">
        <is>
          <t>Mel's only takes products with mason jar in the title or bucket</t>
        </is>
      </c>
      <c r="J904" s="30" t="inlineStr">
        <is>
          <t>Scope rules</t>
        </is>
      </c>
      <c r="K904" s="30" t="n"/>
    </row>
    <row r="905" ht="15" customHeight="1" s="24">
      <c r="A905" s="28" t="n"/>
      <c r="B905" s="30" t="n"/>
      <c r="C905" s="30" t="inlineStr">
        <is>
          <t>RBC-04C</t>
        </is>
      </c>
      <c r="D905" s="30" t="inlineStr">
        <is>
          <t>Bunches Autumn Collection III</t>
        </is>
      </c>
      <c r="E905" s="30" t="inlineStr">
        <is>
          <t>Bouquets</t>
        </is>
      </c>
      <c r="F905" s="30" t="inlineStr">
        <is>
          <t>Out of scope</t>
        </is>
      </c>
      <c r="G905" s="30" t="inlineStr">
        <is>
          <t>Scope rules</t>
        </is>
      </c>
      <c r="H905" s="30" t="inlineStr">
        <is>
          <t>Excluded: Mel's (no mason jar)</t>
        </is>
      </c>
      <c r="I905" s="30" t="inlineStr">
        <is>
          <t>Mel's only takes products with mason jar in the title or bucket</t>
        </is>
      </c>
      <c r="J905" s="30" t="inlineStr">
        <is>
          <t>Scope rules</t>
        </is>
      </c>
      <c r="K905" s="30" t="n"/>
    </row>
    <row r="906" ht="15" customHeight="1" s="24">
      <c r="A906" s="28" t="n"/>
      <c r="B906" s="30" t="n"/>
      <c r="C906" s="30" t="inlineStr">
        <is>
          <t>RBC-04D</t>
        </is>
      </c>
      <c r="D906" s="30" t="inlineStr">
        <is>
          <t>Bunches Autumn Collection IV</t>
        </is>
      </c>
      <c r="E906" s="30" t="inlineStr">
        <is>
          <t>Bouquets</t>
        </is>
      </c>
      <c r="F906" s="30" t="inlineStr">
        <is>
          <t>Out of scope</t>
        </is>
      </c>
      <c r="G906" s="30" t="inlineStr">
        <is>
          <t>Scope rules</t>
        </is>
      </c>
      <c r="H906" s="30" t="inlineStr">
        <is>
          <t>Excluded: Mel's (no mason jar)</t>
        </is>
      </c>
      <c r="I906" s="30" t="inlineStr">
        <is>
          <t>Mel's only takes products with mason jar in the title or bucket</t>
        </is>
      </c>
      <c r="J906" s="30" t="inlineStr">
        <is>
          <t>Scope rules</t>
        </is>
      </c>
      <c r="K906" s="30" t="n"/>
    </row>
    <row r="907" ht="15" customHeight="1" s="24">
      <c r="A907" s="28" t="n"/>
      <c r="B907" s="30" t="n"/>
      <c r="C907" s="30" t="inlineStr">
        <is>
          <t>RDC-01</t>
        </is>
      </c>
      <c r="D907" s="30" t="inlineStr">
        <is>
          <t>Rainbow Daisy Collection I</t>
        </is>
      </c>
      <c r="E907" s="30" t="inlineStr">
        <is>
          <t>Bouquets</t>
        </is>
      </c>
      <c r="F907" s="30" t="inlineStr">
        <is>
          <t>Out of scope</t>
        </is>
      </c>
      <c r="G907" s="30" t="inlineStr">
        <is>
          <t>Scope rules</t>
        </is>
      </c>
      <c r="H907" s="30" t="inlineStr">
        <is>
          <t>Excluded: Mel's (no mason jar)</t>
        </is>
      </c>
      <c r="I907" s="30" t="inlineStr">
        <is>
          <t>Mel's only takes products with mason jar in the title or bucket</t>
        </is>
      </c>
      <c r="J907" s="30" t="inlineStr">
        <is>
          <t>Scope rules</t>
        </is>
      </c>
      <c r="K907" s="30" t="n"/>
    </row>
    <row r="908" ht="15" customHeight="1" s="24">
      <c r="A908" s="28" t="n"/>
      <c r="B908" s="30" t="n"/>
      <c r="C908" s="30" t="inlineStr">
        <is>
          <t>RDC-02</t>
        </is>
      </c>
      <c r="D908" s="30" t="inlineStr">
        <is>
          <t>Rainbow Daisy Collection II</t>
        </is>
      </c>
      <c r="E908" s="30" t="inlineStr">
        <is>
          <t>Bouquets</t>
        </is>
      </c>
      <c r="F908" s="30" t="inlineStr">
        <is>
          <t>Out of scope</t>
        </is>
      </c>
      <c r="G908" s="30" t="inlineStr">
        <is>
          <t>Scope rules</t>
        </is>
      </c>
      <c r="H908" s="30" t="inlineStr">
        <is>
          <t>Excluded: Mel's (no mason jar)</t>
        </is>
      </c>
      <c r="I908" s="30" t="inlineStr">
        <is>
          <t>Mel's only takes products with mason jar in the title or bucket</t>
        </is>
      </c>
      <c r="J908" s="30" t="inlineStr">
        <is>
          <t>Scope rules</t>
        </is>
      </c>
      <c r="K908" s="30" t="n"/>
    </row>
    <row r="909" ht="15" customHeight="1" s="24">
      <c r="A909" s="28" t="n"/>
      <c r="B909" s="30" t="n"/>
      <c r="C909" s="30" t="inlineStr">
        <is>
          <t>RDC-03</t>
        </is>
      </c>
      <c r="D909" s="30" t="inlineStr">
        <is>
          <t>Rainbow Daisy Collection III</t>
        </is>
      </c>
      <c r="E909" s="30" t="inlineStr">
        <is>
          <t>Bouquets</t>
        </is>
      </c>
      <c r="F909" s="30" t="inlineStr">
        <is>
          <t>Out of scope</t>
        </is>
      </c>
      <c r="G909" s="30" t="inlineStr">
        <is>
          <t>Scope rules</t>
        </is>
      </c>
      <c r="H909" s="30" t="inlineStr">
        <is>
          <t>Excluded: Mel's (no mason jar)</t>
        </is>
      </c>
      <c r="I909" s="30" t="inlineStr">
        <is>
          <t>Mel's only takes products with mason jar in the title or bucket</t>
        </is>
      </c>
      <c r="J909" s="30" t="inlineStr">
        <is>
          <t>Scope rules</t>
        </is>
      </c>
      <c r="K909" s="30" t="n"/>
    </row>
    <row r="910" ht="15" customHeight="1" s="24">
      <c r="A910" s="28" t="n"/>
      <c r="B910" s="30" t="n"/>
      <c r="C910" s="30" t="inlineStr">
        <is>
          <t>RDC-04</t>
        </is>
      </c>
      <c r="D910" s="30" t="inlineStr">
        <is>
          <t>Rainbow Daisy Collection IV</t>
        </is>
      </c>
      <c r="E910" s="30" t="inlineStr">
        <is>
          <t>Bouquets</t>
        </is>
      </c>
      <c r="F910" s="30" t="inlineStr">
        <is>
          <t>Out of scope</t>
        </is>
      </c>
      <c r="G910" s="30" t="inlineStr">
        <is>
          <t>Scope rules</t>
        </is>
      </c>
      <c r="H910" s="30" t="inlineStr">
        <is>
          <t>Excluded: Mel's (no mason jar)</t>
        </is>
      </c>
      <c r="I910" s="30" t="inlineStr">
        <is>
          <t>Mel's only takes products with mason jar in the title or bucket</t>
        </is>
      </c>
      <c r="J910" s="30" t="inlineStr">
        <is>
          <t>Scope rules</t>
        </is>
      </c>
      <c r="K910" s="30" t="n"/>
    </row>
    <row r="911" ht="15" customHeight="1" s="24">
      <c r="A911" s="28" t="n"/>
      <c r="B911" s="30" t="n"/>
      <c r="C911" s="30" t="inlineStr">
        <is>
          <t>SB-01</t>
        </is>
      </c>
      <c r="D911" s="30" t="inlineStr">
        <is>
          <t>Sweet Blossoms Collection I</t>
        </is>
      </c>
      <c r="E911" s="30" t="inlineStr">
        <is>
          <t>Bouquets</t>
        </is>
      </c>
      <c r="F911" s="30" t="inlineStr">
        <is>
          <t>Out of scope</t>
        </is>
      </c>
      <c r="G911" s="30" t="inlineStr">
        <is>
          <t>Scope rules</t>
        </is>
      </c>
      <c r="H911" s="30" t="inlineStr">
        <is>
          <t>Excluded: Mel's (no mason jar)</t>
        </is>
      </c>
      <c r="I911" s="30" t="inlineStr">
        <is>
          <t>Mel's only takes products with mason jar in the title or bucket</t>
        </is>
      </c>
      <c r="J911" s="30" t="inlineStr">
        <is>
          <t>Scope rules</t>
        </is>
      </c>
      <c r="K911" s="30" t="n"/>
    </row>
    <row r="912" ht="15" customHeight="1" s="24">
      <c r="A912" s="28" t="n"/>
      <c r="B912" s="30" t="n"/>
      <c r="C912" s="30" t="inlineStr">
        <is>
          <t>SB-01M</t>
        </is>
      </c>
      <c r="D912" s="30" t="inlineStr">
        <is>
          <t>Sweet Blossom in Mason Flowers</t>
        </is>
      </c>
      <c r="E912" s="30" t="inlineStr">
        <is>
          <t>Bouquets</t>
        </is>
      </c>
      <c r="F912" s="30" t="inlineStr">
        <is>
          <t>Out of scope</t>
        </is>
      </c>
      <c r="G912" s="30" t="inlineStr">
        <is>
          <t>Scope rules</t>
        </is>
      </c>
      <c r="H912" s="30" t="inlineStr">
        <is>
          <t>Excluded: Mel's (no mason jar)</t>
        </is>
      </c>
      <c r="I912" s="30" t="inlineStr">
        <is>
          <t>Mel's only takes products with mason jar in the title or bucket</t>
        </is>
      </c>
      <c r="J912" s="30" t="inlineStr">
        <is>
          <t>Scope rules</t>
        </is>
      </c>
      <c r="K912" s="30" t="n"/>
    </row>
    <row r="913" ht="15" customHeight="1" s="24">
      <c r="A913" s="28" t="n"/>
      <c r="B913" s="30" t="n"/>
      <c r="C913" s="30" t="inlineStr">
        <is>
          <t>SB-02</t>
        </is>
      </c>
      <c r="D913" s="30" t="inlineStr">
        <is>
          <t>Sweet Blossoms Collection II</t>
        </is>
      </c>
      <c r="E913" s="30" t="inlineStr">
        <is>
          <t>Bouquets</t>
        </is>
      </c>
      <c r="F913" s="30" t="inlineStr">
        <is>
          <t>Out of scope</t>
        </is>
      </c>
      <c r="G913" s="30" t="inlineStr">
        <is>
          <t>Scope rules</t>
        </is>
      </c>
      <c r="H913" s="30" t="inlineStr">
        <is>
          <t>Excluded: Mel's (no mason jar)</t>
        </is>
      </c>
      <c r="I913" s="30" t="inlineStr">
        <is>
          <t>Mel's only takes products with mason jar in the title or bucket</t>
        </is>
      </c>
      <c r="J913" s="30" t="inlineStr">
        <is>
          <t>Scope rules</t>
        </is>
      </c>
      <c r="K913" s="30" t="n"/>
    </row>
    <row r="914" ht="15" customHeight="1" s="24">
      <c r="A914" s="28" t="n"/>
      <c r="B914" s="30" t="n"/>
      <c r="C914" s="30" t="inlineStr">
        <is>
          <t>SB-03</t>
        </is>
      </c>
      <c r="D914" s="30" t="inlineStr">
        <is>
          <t>Sweet Blossoms Collection III</t>
        </is>
      </c>
      <c r="E914" s="30" t="inlineStr">
        <is>
          <t>Bouquets</t>
        </is>
      </c>
      <c r="F914" s="30" t="inlineStr">
        <is>
          <t>Out of scope</t>
        </is>
      </c>
      <c r="G914" s="30" t="inlineStr">
        <is>
          <t>Scope rules</t>
        </is>
      </c>
      <c r="H914" s="30" t="inlineStr">
        <is>
          <t>Excluded: Mel's (no mason jar)</t>
        </is>
      </c>
      <c r="I914" s="30" t="inlineStr">
        <is>
          <t>Mel's only takes products with mason jar in the title or bucket</t>
        </is>
      </c>
      <c r="J914" s="30" t="inlineStr">
        <is>
          <t>Scope rules</t>
        </is>
      </c>
      <c r="K914" s="30" t="n"/>
    </row>
    <row r="915" ht="15" customHeight="1" s="24">
      <c r="A915" s="28" t="n"/>
      <c r="B915" s="30" t="n"/>
      <c r="C915" s="30" t="inlineStr">
        <is>
          <t>SB-04</t>
        </is>
      </c>
      <c r="D915" s="30" t="inlineStr">
        <is>
          <t>Sweet Blossoms Collection IV</t>
        </is>
      </c>
      <c r="E915" s="30" t="inlineStr">
        <is>
          <t>Bouquets</t>
        </is>
      </c>
      <c r="F915" s="30" t="inlineStr">
        <is>
          <t>Out of scope</t>
        </is>
      </c>
      <c r="G915" s="30" t="inlineStr">
        <is>
          <t>Scope rules</t>
        </is>
      </c>
      <c r="H915" s="30" t="inlineStr">
        <is>
          <t>Excluded: Mel's (no mason jar)</t>
        </is>
      </c>
      <c r="I915" s="30" t="inlineStr">
        <is>
          <t>Mel's only takes products with mason jar in the title or bucket</t>
        </is>
      </c>
      <c r="J915" s="30" t="inlineStr">
        <is>
          <t>Scope rules</t>
        </is>
      </c>
      <c r="K915" s="30" t="n"/>
    </row>
    <row r="916" ht="15" customHeight="1" s="24">
      <c r="A916" s="28" t="n"/>
      <c r="B916" s="30" t="n"/>
      <c r="C916" s="30" t="inlineStr">
        <is>
          <t>SHR-01</t>
        </is>
      </c>
      <c r="D916" s="30" t="inlineStr">
        <is>
          <t>12 Sweetheart Roses I</t>
        </is>
      </c>
      <c r="E916" s="30" t="inlineStr">
        <is>
          <t>Roses</t>
        </is>
      </c>
      <c r="F916" s="30" t="inlineStr">
        <is>
          <t>Out of scope</t>
        </is>
      </c>
      <c r="G916" s="30" t="inlineStr">
        <is>
          <t>Scope rules</t>
        </is>
      </c>
      <c r="H916" s="30" t="inlineStr">
        <is>
          <t>Excluded: Mel's (no mason jar)</t>
        </is>
      </c>
      <c r="I916" s="30" t="inlineStr">
        <is>
          <t>Mel's only takes products with mason jar in the title or bucket</t>
        </is>
      </c>
      <c r="J916" s="30" t="inlineStr">
        <is>
          <t>Scope rules</t>
        </is>
      </c>
      <c r="K916" s="30" t="n"/>
    </row>
    <row r="917" ht="15" customHeight="1" s="24">
      <c r="A917" s="28" t="n"/>
      <c r="B917" s="30" t="n"/>
      <c r="C917" s="30" t="inlineStr">
        <is>
          <t>SHR-04</t>
        </is>
      </c>
      <c r="D917" s="30" t="inlineStr">
        <is>
          <t>18 Sweetheart Roses I</t>
        </is>
      </c>
      <c r="E917" s="30" t="inlineStr">
        <is>
          <t>Roses</t>
        </is>
      </c>
      <c r="F917" s="30" t="inlineStr">
        <is>
          <t>Out of scope</t>
        </is>
      </c>
      <c r="G917" s="30" t="inlineStr">
        <is>
          <t>Scope rules</t>
        </is>
      </c>
      <c r="H917" s="30" t="inlineStr">
        <is>
          <t>Excluded: Mel's (no mason jar)</t>
        </is>
      </c>
      <c r="I917" s="30" t="inlineStr">
        <is>
          <t>Mel's only takes products with mason jar in the title or bucket</t>
        </is>
      </c>
      <c r="J917" s="30" t="inlineStr">
        <is>
          <t>Scope rules</t>
        </is>
      </c>
      <c r="K917" s="30" t="n"/>
    </row>
    <row r="918" ht="15" customHeight="1" s="24">
      <c r="A918" s="28" t="n"/>
      <c r="B918" s="30" t="n"/>
      <c r="C918" s="30" t="inlineStr">
        <is>
          <t>AU03-20</t>
        </is>
      </c>
      <c r="D918" s="30" t="inlineStr">
        <is>
          <t>Single Rose</t>
        </is>
      </c>
      <c r="E918" s="30" t="inlineStr">
        <is>
          <t>Roses</t>
        </is>
      </c>
      <c r="F918" s="30" t="inlineStr">
        <is>
          <t>Out of scope</t>
        </is>
      </c>
      <c r="G918" s="30" t="inlineStr">
        <is>
          <t>Scope rules</t>
        </is>
      </c>
      <c r="H918" s="30" t="inlineStr">
        <is>
          <t>Excluded: Roses bucket</t>
        </is>
      </c>
      <c r="I918" s="30" t="inlineStr">
        <is>
          <t>Roses bucket: not named in the gate file or the 19-SKU file</t>
        </is>
      </c>
      <c r="J918" s="30" t="inlineStr">
        <is>
          <t>Scope rules</t>
        </is>
      </c>
      <c r="K918" s="30" t="n"/>
    </row>
    <row r="919" ht="15" customHeight="1" s="24">
      <c r="A919" s="28" t="n"/>
      <c r="B919" s="30" t="n"/>
      <c r="C919" s="30" t="inlineStr">
        <is>
          <t>AU0611-15</t>
        </is>
      </c>
      <c r="D919" s="30" t="inlineStr">
        <is>
          <t>100 Royal Summer Roses</t>
        </is>
      </c>
      <c r="E919" s="30" t="inlineStr">
        <is>
          <t>Roses</t>
        </is>
      </c>
      <c r="F919" s="30" t="inlineStr">
        <is>
          <t>Out of scope</t>
        </is>
      </c>
      <c r="G919" s="30" t="inlineStr">
        <is>
          <t>Scope rules</t>
        </is>
      </c>
      <c r="H919" s="30" t="inlineStr">
        <is>
          <t>Excluded: Roses bucket</t>
        </is>
      </c>
      <c r="I919" s="30" t="inlineStr">
        <is>
          <t>Roses bucket: not named in the gate file or the 19-SKU file</t>
        </is>
      </c>
      <c r="J919" s="30" t="inlineStr">
        <is>
          <t>Scope rules</t>
        </is>
      </c>
      <c r="K919" s="30" t="n"/>
    </row>
    <row r="920" ht="15" customHeight="1" s="24">
      <c r="A920" s="28" t="n"/>
      <c r="B920" s="30" t="n"/>
      <c r="C920" s="30" t="inlineStr">
        <is>
          <t>AU0611-22</t>
        </is>
      </c>
      <c r="D920" s="30" t="inlineStr">
        <is>
          <t>24 Assorted Roses</t>
        </is>
      </c>
      <c r="E920" s="30" t="inlineStr">
        <is>
          <t>Roses</t>
        </is>
      </c>
      <c r="F920" s="30" t="inlineStr">
        <is>
          <t>Out of scope</t>
        </is>
      </c>
      <c r="G920" s="30" t="inlineStr">
        <is>
          <t>Scope rules</t>
        </is>
      </c>
      <c r="H920" s="30" t="inlineStr">
        <is>
          <t>Excluded: Roses bucket</t>
        </is>
      </c>
      <c r="I920" s="30" t="inlineStr">
        <is>
          <t>Roses bucket: not named in the gate file or the 19-SKU file</t>
        </is>
      </c>
      <c r="J920" s="30" t="inlineStr">
        <is>
          <t>Scope rules</t>
        </is>
      </c>
      <c r="K920" s="30" t="n"/>
    </row>
    <row r="921" ht="15" customHeight="1" s="24">
      <c r="A921" s="28" t="n"/>
      <c r="B921" s="30" t="n"/>
      <c r="C921" s="30" t="inlineStr">
        <is>
          <t>AU11-03</t>
        </is>
      </c>
      <c r="D921" s="30" t="inlineStr">
        <is>
          <t>Red Rose Trio</t>
        </is>
      </c>
      <c r="E921" s="30" t="inlineStr">
        <is>
          <t>Roses</t>
        </is>
      </c>
      <c r="F921" s="30" t="inlineStr">
        <is>
          <t>Out of scope</t>
        </is>
      </c>
      <c r="G921" s="30" t="inlineStr">
        <is>
          <t>Scope rules</t>
        </is>
      </c>
      <c r="H921" s="30" t="inlineStr">
        <is>
          <t>Excluded: Roses bucket</t>
        </is>
      </c>
      <c r="I921" s="30" t="inlineStr">
        <is>
          <t>Roses bucket: not named in the gate file or the 19-SKU file</t>
        </is>
      </c>
      <c r="J921" s="30" t="inlineStr">
        <is>
          <t>Scope rules</t>
        </is>
      </c>
      <c r="K921" s="30" t="n"/>
    </row>
    <row r="922" ht="22.35" customHeight="1" s="24">
      <c r="A922" s="28" t="n"/>
      <c r="B922" s="30" t="n"/>
      <c r="C922" s="30" t="inlineStr">
        <is>
          <t>AU11-06</t>
        </is>
      </c>
      <c r="D922" s="30" t="inlineStr">
        <is>
          <t>Half Dozen Long Stem Assorted Roses</t>
        </is>
      </c>
      <c r="E922" s="30" t="inlineStr">
        <is>
          <t>Roses</t>
        </is>
      </c>
      <c r="F922" s="30" t="inlineStr">
        <is>
          <t>Out of scope</t>
        </is>
      </c>
      <c r="G922" s="30" t="inlineStr">
        <is>
          <t>Scope rules</t>
        </is>
      </c>
      <c r="H922" s="30" t="inlineStr">
        <is>
          <t>Excluded: Roses bucket</t>
        </is>
      </c>
      <c r="I922" s="30" t="inlineStr">
        <is>
          <t>Roses bucket: not named in the gate file or the 19-SKU file</t>
        </is>
      </c>
      <c r="J922" s="30" t="inlineStr">
        <is>
          <t>Scope rules</t>
        </is>
      </c>
      <c r="K922" s="30" t="n"/>
    </row>
    <row r="923" ht="22.35" customHeight="1" s="24">
      <c r="A923" s="28" t="n"/>
      <c r="B923" s="30" t="n"/>
      <c r="C923" s="30" t="inlineStr">
        <is>
          <t>AU11-09</t>
        </is>
      </c>
      <c r="D923" s="30" t="inlineStr">
        <is>
          <t>Half Dozen Long Stemmed Pink Roses</t>
        </is>
      </c>
      <c r="E923" s="30" t="inlineStr">
        <is>
          <t>Roses</t>
        </is>
      </c>
      <c r="F923" s="30" t="inlineStr">
        <is>
          <t>Out of scope</t>
        </is>
      </c>
      <c r="G923" s="30" t="inlineStr">
        <is>
          <t>Scope rules</t>
        </is>
      </c>
      <c r="H923" s="30" t="inlineStr">
        <is>
          <t>Excluded: Roses bucket</t>
        </is>
      </c>
      <c r="I923" s="30" t="inlineStr">
        <is>
          <t>Roses bucket: not named in the gate file or the 19-SKU file</t>
        </is>
      </c>
      <c r="J923" s="30" t="inlineStr">
        <is>
          <t>Scope rules</t>
        </is>
      </c>
      <c r="K923" s="30" t="n"/>
    </row>
    <row r="924" ht="15" customHeight="1" s="24">
      <c r="A924" s="28" t="n"/>
      <c r="B924" s="30" t="n"/>
      <c r="C924" s="30" t="inlineStr">
        <is>
          <t>AU11-15</t>
        </is>
      </c>
      <c r="D924" s="30" t="inlineStr">
        <is>
          <t>One Dozen Lavender Roses</t>
        </is>
      </c>
      <c r="E924" s="30" t="inlineStr">
        <is>
          <t>Roses</t>
        </is>
      </c>
      <c r="F924" s="30" t="inlineStr">
        <is>
          <t>Out of scope</t>
        </is>
      </c>
      <c r="G924" s="30" t="inlineStr">
        <is>
          <t>Scope rules</t>
        </is>
      </c>
      <c r="H924" s="30" t="inlineStr">
        <is>
          <t>Excluded: Roses bucket</t>
        </is>
      </c>
      <c r="I924" s="30" t="inlineStr">
        <is>
          <t>Roses bucket: not named in the gate file or the 19-SKU file</t>
        </is>
      </c>
      <c r="J924" s="30" t="inlineStr">
        <is>
          <t>Scope rules</t>
        </is>
      </c>
      <c r="K924" s="30" t="n"/>
    </row>
    <row r="925" ht="15" customHeight="1" s="24">
      <c r="A925" s="28" t="n"/>
      <c r="B925" s="30" t="n"/>
      <c r="C925" s="30" t="inlineStr">
        <is>
          <t>AU11-26</t>
        </is>
      </c>
      <c r="D925" s="30" t="inlineStr">
        <is>
          <t>18 Lavender Roses</t>
        </is>
      </c>
      <c r="E925" s="30" t="inlineStr">
        <is>
          <t>Roses</t>
        </is>
      </c>
      <c r="F925" s="30" t="inlineStr">
        <is>
          <t>Out of scope</t>
        </is>
      </c>
      <c r="G925" s="30" t="inlineStr">
        <is>
          <t>Scope rules</t>
        </is>
      </c>
      <c r="H925" s="30" t="inlineStr">
        <is>
          <t>Excluded: Roses bucket</t>
        </is>
      </c>
      <c r="I925" s="30" t="inlineStr">
        <is>
          <t>Roses bucket: not named in the gate file or the 19-SKU file</t>
        </is>
      </c>
      <c r="J925" s="30" t="inlineStr">
        <is>
          <t>Scope rules</t>
        </is>
      </c>
      <c r="K925" s="30" t="n"/>
    </row>
    <row r="926" ht="15" customHeight="1" s="24">
      <c r="A926" s="28" t="n"/>
      <c r="B926" s="30" t="n"/>
      <c r="C926" s="30" t="inlineStr">
        <is>
          <t>AU11-51</t>
        </is>
      </c>
      <c r="D926" s="30" t="inlineStr">
        <is>
          <t>Dozen Assorted Roses</t>
        </is>
      </c>
      <c r="E926" s="30" t="inlineStr">
        <is>
          <t>Roses</t>
        </is>
      </c>
      <c r="F926" s="30" t="inlineStr">
        <is>
          <t>Out of scope</t>
        </is>
      </c>
      <c r="G926" s="30" t="inlineStr">
        <is>
          <t>Scope rules</t>
        </is>
      </c>
      <c r="H926" s="30" t="inlineStr">
        <is>
          <t>Excluded: Roses bucket</t>
        </is>
      </c>
      <c r="I926" s="30" t="inlineStr">
        <is>
          <t>Roses bucket: not named in the gate file or the 19-SKU file</t>
        </is>
      </c>
      <c r="J926" s="30" t="inlineStr">
        <is>
          <t>Scope rules</t>
        </is>
      </c>
      <c r="K926" s="30" t="n"/>
    </row>
    <row r="927" ht="15" customHeight="1" s="24">
      <c r="A927" s="28" t="n"/>
      <c r="B927" s="30" t="n"/>
      <c r="C927" s="30" t="inlineStr">
        <is>
          <t>AU11-512</t>
        </is>
      </c>
      <c r="D927" s="30" t="inlineStr">
        <is>
          <t>Dozen Mixed Roses with Chocolates</t>
        </is>
      </c>
      <c r="E927" s="30" t="inlineStr">
        <is>
          <t>Roses</t>
        </is>
      </c>
      <c r="F927" s="30" t="inlineStr">
        <is>
          <t>Out of scope</t>
        </is>
      </c>
      <c r="G927" s="30" t="inlineStr">
        <is>
          <t>Scope rules</t>
        </is>
      </c>
      <c r="H927" s="30" t="inlineStr">
        <is>
          <t>Excluded: Roses bucket</t>
        </is>
      </c>
      <c r="I927" s="30" t="inlineStr">
        <is>
          <t>Roses bucket: not named in the gate file or the 19-SKU file</t>
        </is>
      </c>
      <c r="J927" s="30" t="inlineStr">
        <is>
          <t>Scope rules</t>
        </is>
      </c>
      <c r="K927" s="30" t="n"/>
    </row>
    <row r="928" ht="15" customHeight="1" s="24">
      <c r="A928" s="28" t="n"/>
      <c r="B928" s="30" t="n"/>
      <c r="C928" s="30" t="inlineStr">
        <is>
          <t>AU11-52</t>
        </is>
      </c>
      <c r="D928" s="30" t="inlineStr">
        <is>
          <t>Dozen Pink Roses</t>
        </is>
      </c>
      <c r="E928" s="30" t="inlineStr">
        <is>
          <t>Roses</t>
        </is>
      </c>
      <c r="F928" s="30" t="inlineStr">
        <is>
          <t>Out of scope</t>
        </is>
      </c>
      <c r="G928" s="30" t="inlineStr">
        <is>
          <t>Scope rules</t>
        </is>
      </c>
      <c r="H928" s="30" t="inlineStr">
        <is>
          <t>Excluded: Roses bucket</t>
        </is>
      </c>
      <c r="I928" s="30" t="inlineStr">
        <is>
          <t>Roses bucket: not named in the gate file or the 19-SKU file</t>
        </is>
      </c>
      <c r="J928" s="30" t="inlineStr">
        <is>
          <t>Scope rules</t>
        </is>
      </c>
      <c r="K928" s="30" t="n"/>
    </row>
    <row r="929" ht="15" customHeight="1" s="24">
      <c r="A929" s="28" t="n"/>
      <c r="B929" s="30" t="n"/>
      <c r="C929" s="30" t="inlineStr">
        <is>
          <t>AU11-53</t>
        </is>
      </c>
      <c r="D929" s="30" t="inlineStr">
        <is>
          <t>Dozen White Roses</t>
        </is>
      </c>
      <c r="E929" s="30" t="inlineStr">
        <is>
          <t>Roses</t>
        </is>
      </c>
      <c r="F929" s="30" t="inlineStr">
        <is>
          <t>Out of scope</t>
        </is>
      </c>
      <c r="G929" s="30" t="inlineStr">
        <is>
          <t>Scope rules</t>
        </is>
      </c>
      <c r="H929" s="30" t="inlineStr">
        <is>
          <t>Excluded: Roses bucket</t>
        </is>
      </c>
      <c r="I929" s="30" t="inlineStr">
        <is>
          <t>Roses bucket: not named in the gate file or the 19-SKU file</t>
        </is>
      </c>
      <c r="J929" s="30" t="inlineStr">
        <is>
          <t>Scope rules</t>
        </is>
      </c>
      <c r="K929" s="30" t="n"/>
    </row>
    <row r="930" ht="15" customHeight="1" s="24">
      <c r="A930" s="28" t="n"/>
      <c r="B930" s="30" t="n"/>
      <c r="C930" s="30" t="inlineStr">
        <is>
          <t>AU11-54</t>
        </is>
      </c>
      <c r="D930" s="30" t="inlineStr">
        <is>
          <t>Dozen Yellow Roses</t>
        </is>
      </c>
      <c r="E930" s="30" t="inlineStr">
        <is>
          <t>Roses</t>
        </is>
      </c>
      <c r="F930" s="30" t="inlineStr">
        <is>
          <t>Out of scope</t>
        </is>
      </c>
      <c r="G930" s="30" t="inlineStr">
        <is>
          <t>Scope rules</t>
        </is>
      </c>
      <c r="H930" s="30" t="inlineStr">
        <is>
          <t>Excluded: Roses bucket</t>
        </is>
      </c>
      <c r="I930" s="30" t="inlineStr">
        <is>
          <t>Roses bucket: not named in the gate file or the 19-SKU file</t>
        </is>
      </c>
      <c r="J930" s="30" t="inlineStr">
        <is>
          <t>Scope rules</t>
        </is>
      </c>
      <c r="K930" s="30" t="n"/>
    </row>
    <row r="931" ht="15" customHeight="1" s="24">
      <c r="A931" s="28" t="n"/>
      <c r="B931" s="30" t="n"/>
      <c r="C931" s="30" t="inlineStr">
        <is>
          <t>AU11-55</t>
        </is>
      </c>
      <c r="D931" s="30" t="inlineStr">
        <is>
          <t>12 Mixed Colour Roses</t>
        </is>
      </c>
      <c r="E931" s="30" t="inlineStr">
        <is>
          <t>Roses</t>
        </is>
      </c>
      <c r="F931" s="30" t="inlineStr">
        <is>
          <t>Out of scope</t>
        </is>
      </c>
      <c r="G931" s="30" t="inlineStr">
        <is>
          <t>Scope rules</t>
        </is>
      </c>
      <c r="H931" s="30" t="inlineStr">
        <is>
          <t>Excluded: Roses bucket</t>
        </is>
      </c>
      <c r="I931" s="30" t="inlineStr">
        <is>
          <t>Roses bucket: not named in the gate file or the 19-SKU file</t>
        </is>
      </c>
      <c r="J931" s="30" t="inlineStr">
        <is>
          <t>Scope rules</t>
        </is>
      </c>
      <c r="K931" s="30" t="n"/>
    </row>
    <row r="932" ht="15" customHeight="1" s="24">
      <c r="A932" s="28" t="n"/>
      <c r="B932" s="30" t="n"/>
      <c r="C932" s="30" t="inlineStr">
        <is>
          <t>AU11-60</t>
        </is>
      </c>
      <c r="D932" s="30" t="inlineStr">
        <is>
          <t>12 Red Roses (Extra Long Stems)</t>
        </is>
      </c>
      <c r="E932" s="30" t="inlineStr">
        <is>
          <t>Roses</t>
        </is>
      </c>
      <c r="F932" s="30" t="inlineStr">
        <is>
          <t>Out of scope</t>
        </is>
      </c>
      <c r="G932" s="30" t="inlineStr">
        <is>
          <t>Scope rules</t>
        </is>
      </c>
      <c r="H932" s="30" t="inlineStr">
        <is>
          <t>Excluded: Roses bucket</t>
        </is>
      </c>
      <c r="I932" s="30" t="inlineStr">
        <is>
          <t>Roses bucket: not named in the gate file or the 19-SKU file</t>
        </is>
      </c>
      <c r="J932" s="30" t="inlineStr">
        <is>
          <t>Scope rules</t>
        </is>
      </c>
      <c r="K932" s="30" t="n"/>
    </row>
    <row r="933" ht="15" customHeight="1" s="24">
      <c r="A933" s="28" t="n"/>
      <c r="B933" s="30" t="n"/>
      <c r="C933" s="30" t="inlineStr">
        <is>
          <t>AU11-61</t>
        </is>
      </c>
      <c r="D933" s="30" t="inlineStr">
        <is>
          <t>Scarlet Mist</t>
        </is>
      </c>
      <c r="E933" s="30" t="inlineStr">
        <is>
          <t>Roses</t>
        </is>
      </c>
      <c r="F933" s="30" t="inlineStr">
        <is>
          <t>Out of scope</t>
        </is>
      </c>
      <c r="G933" s="30" t="inlineStr">
        <is>
          <t>Scope rules</t>
        </is>
      </c>
      <c r="H933" s="30" t="inlineStr">
        <is>
          <t>Excluded: Roses bucket</t>
        </is>
      </c>
      <c r="I933" s="30" t="inlineStr">
        <is>
          <t>Roses bucket: not named in the gate file or the 19-SKU file</t>
        </is>
      </c>
      <c r="J933" s="30" t="inlineStr">
        <is>
          <t>Scope rules</t>
        </is>
      </c>
      <c r="K933" s="30" t="n"/>
    </row>
    <row r="934" ht="15" customHeight="1" s="24">
      <c r="A934" s="28" t="n"/>
      <c r="B934" s="30" t="n"/>
      <c r="C934" s="30" t="inlineStr">
        <is>
          <t>AU11-70</t>
        </is>
      </c>
      <c r="D934" s="30" t="inlineStr">
        <is>
          <t>18 Premium Red Roses</t>
        </is>
      </c>
      <c r="E934" s="30" t="inlineStr">
        <is>
          <t>Roses</t>
        </is>
      </c>
      <c r="F934" s="30" t="inlineStr">
        <is>
          <t>Out of scope</t>
        </is>
      </c>
      <c r="G934" s="30" t="inlineStr">
        <is>
          <t>Scope rules</t>
        </is>
      </c>
      <c r="H934" s="30" t="inlineStr">
        <is>
          <t>Excluded: Roses bucket</t>
        </is>
      </c>
      <c r="I934" s="30" t="inlineStr">
        <is>
          <t>Roses bucket: not named in the gate file or the 19-SKU file</t>
        </is>
      </c>
      <c r="J934" s="30" t="inlineStr">
        <is>
          <t>Scope rules</t>
        </is>
      </c>
      <c r="K934" s="30" t="n"/>
    </row>
    <row r="935" ht="15" customHeight="1" s="24">
      <c r="A935" s="28" t="n"/>
      <c r="B935" s="30" t="n"/>
      <c r="C935" s="30" t="inlineStr">
        <is>
          <t>AU11-71</t>
        </is>
      </c>
      <c r="D935" s="30" t="inlineStr">
        <is>
          <t>24 Romantic Pink Roses</t>
        </is>
      </c>
      <c r="E935" s="30" t="inlineStr">
        <is>
          <t>Roses</t>
        </is>
      </c>
      <c r="F935" s="30" t="inlineStr">
        <is>
          <t>Out of scope</t>
        </is>
      </c>
      <c r="G935" s="30" t="inlineStr">
        <is>
          <t>Scope rules</t>
        </is>
      </c>
      <c r="H935" s="30" t="inlineStr">
        <is>
          <t>Excluded: Roses bucket</t>
        </is>
      </c>
      <c r="I935" s="30" t="inlineStr">
        <is>
          <t>Roses bucket: not named in the gate file or the 19-SKU file</t>
        </is>
      </c>
      <c r="J935" s="30" t="inlineStr">
        <is>
          <t>Scope rules</t>
        </is>
      </c>
      <c r="K935" s="30" t="n"/>
    </row>
    <row r="936" ht="15" customHeight="1" s="24">
      <c r="A936" s="28" t="n"/>
      <c r="B936" s="30" t="n"/>
      <c r="C936" s="30" t="inlineStr">
        <is>
          <t>AU11-80</t>
        </is>
      </c>
      <c r="D936" s="30" t="inlineStr">
        <is>
          <t>Two Dozen Red Roses</t>
        </is>
      </c>
      <c r="E936" s="30" t="inlineStr">
        <is>
          <t>Roses</t>
        </is>
      </c>
      <c r="F936" s="30" t="inlineStr">
        <is>
          <t>Out of scope</t>
        </is>
      </c>
      <c r="G936" s="30" t="inlineStr">
        <is>
          <t>Scope rules</t>
        </is>
      </c>
      <c r="H936" s="30" t="inlineStr">
        <is>
          <t>Excluded: Roses bucket</t>
        </is>
      </c>
      <c r="I936" s="30" t="inlineStr">
        <is>
          <t>Roses bucket: not named in the gate file or the 19-SKU file</t>
        </is>
      </c>
      <c r="J936" s="30" t="inlineStr">
        <is>
          <t>Scope rules</t>
        </is>
      </c>
      <c r="K936" s="30" t="n"/>
    </row>
    <row r="937" ht="15" customHeight="1" s="24">
      <c r="A937" s="28" t="n"/>
      <c r="B937" s="30" t="n"/>
      <c r="C937" s="30" t="inlineStr">
        <is>
          <t>AU11-86</t>
        </is>
      </c>
      <c r="D937" s="30" t="inlineStr">
        <is>
          <t>Rose Sentiments</t>
        </is>
      </c>
      <c r="E937" s="30" t="inlineStr">
        <is>
          <t>Roses</t>
        </is>
      </c>
      <c r="F937" s="30" t="inlineStr">
        <is>
          <t>Out of scope</t>
        </is>
      </c>
      <c r="G937" s="30" t="inlineStr">
        <is>
          <t>Scope rules</t>
        </is>
      </c>
      <c r="H937" s="30" t="inlineStr">
        <is>
          <t>Excluded: Roses bucket</t>
        </is>
      </c>
      <c r="I937" s="30" t="inlineStr">
        <is>
          <t>Roses bucket: not named in the gate file or the 19-SKU file</t>
        </is>
      </c>
      <c r="J937" s="30" t="inlineStr">
        <is>
          <t>Scope rules</t>
        </is>
      </c>
      <c r="K937" s="30" t="n"/>
    </row>
    <row r="938" ht="15" customHeight="1" s="24">
      <c r="A938" s="28" t="n"/>
      <c r="B938" s="30" t="n"/>
      <c r="C938" s="30" t="inlineStr">
        <is>
          <t>AU11-91</t>
        </is>
      </c>
      <c r="D938" s="30" t="inlineStr">
        <is>
          <t>36 Premium Orange Roses</t>
        </is>
      </c>
      <c r="E938" s="30" t="inlineStr">
        <is>
          <t>Roses</t>
        </is>
      </c>
      <c r="F938" s="30" t="inlineStr">
        <is>
          <t>Out of scope</t>
        </is>
      </c>
      <c r="G938" s="30" t="inlineStr">
        <is>
          <t>Scope rules</t>
        </is>
      </c>
      <c r="H938" s="30" t="inlineStr">
        <is>
          <t>Excluded: Roses bucket</t>
        </is>
      </c>
      <c r="I938" s="30" t="inlineStr">
        <is>
          <t>Roses bucket: not named in the gate file or the 19-SKU file</t>
        </is>
      </c>
      <c r="J938" s="30" t="inlineStr">
        <is>
          <t>Scope rules</t>
        </is>
      </c>
      <c r="K938" s="30" t="n"/>
    </row>
    <row r="939" ht="15" customHeight="1" s="24">
      <c r="A939" s="28" t="n"/>
      <c r="B939" s="30" t="n"/>
      <c r="C939" s="30" t="inlineStr">
        <is>
          <t>AU11-92</t>
        </is>
      </c>
      <c r="D939" s="30" t="inlineStr">
        <is>
          <t>Three Dozen Yellow Roses</t>
        </is>
      </c>
      <c r="E939" s="30" t="inlineStr">
        <is>
          <t>Roses</t>
        </is>
      </c>
      <c r="F939" s="30" t="inlineStr">
        <is>
          <t>Out of scope</t>
        </is>
      </c>
      <c r="G939" s="30" t="inlineStr">
        <is>
          <t>Scope rules</t>
        </is>
      </c>
      <c r="H939" s="30" t="inlineStr">
        <is>
          <t>Excluded: Roses bucket</t>
        </is>
      </c>
      <c r="I939" s="30" t="inlineStr">
        <is>
          <t>Roses bucket: not named in the gate file or the 19-SKU file</t>
        </is>
      </c>
      <c r="J939" s="30" t="inlineStr">
        <is>
          <t>Scope rules</t>
        </is>
      </c>
      <c r="K939" s="30" t="n"/>
    </row>
    <row r="940" ht="15" customHeight="1" s="24">
      <c r="A940" s="28" t="n"/>
      <c r="B940" s="30" t="n"/>
      <c r="C940" s="30" t="inlineStr">
        <is>
          <t>AU11-93</t>
        </is>
      </c>
      <c r="D940" s="30" t="inlineStr">
        <is>
          <t>Three Dozen Red Roses</t>
        </is>
      </c>
      <c r="E940" s="30" t="inlineStr">
        <is>
          <t>Roses</t>
        </is>
      </c>
      <c r="F940" s="30" t="inlineStr">
        <is>
          <t>Out of scope</t>
        </is>
      </c>
      <c r="G940" s="30" t="inlineStr">
        <is>
          <t>Scope rules</t>
        </is>
      </c>
      <c r="H940" s="30" t="inlineStr">
        <is>
          <t>Excluded: Roses bucket</t>
        </is>
      </c>
      <c r="I940" s="30" t="inlineStr">
        <is>
          <t>Roses bucket: not named in the gate file or the 19-SKU file</t>
        </is>
      </c>
      <c r="J940" s="30" t="inlineStr">
        <is>
          <t>Scope rules</t>
        </is>
      </c>
      <c r="K940" s="30" t="n"/>
    </row>
    <row r="941" ht="15" customHeight="1" s="24">
      <c r="A941" s="28" t="n"/>
      <c r="B941" s="30" t="n"/>
      <c r="C941" s="30" t="inlineStr">
        <is>
          <t>AU11-93sp</t>
        </is>
      </c>
      <c r="D941" s="30" t="inlineStr">
        <is>
          <t>3 Dozen Red Roses</t>
        </is>
      </c>
      <c r="E941" s="30" t="inlineStr">
        <is>
          <t>Roses</t>
        </is>
      </c>
      <c r="F941" s="30" t="inlineStr">
        <is>
          <t>Out of scope</t>
        </is>
      </c>
      <c r="G941" s="30" t="inlineStr">
        <is>
          <t>Scope rules</t>
        </is>
      </c>
      <c r="H941" s="30" t="inlineStr">
        <is>
          <t>Excluded: Roses bucket</t>
        </is>
      </c>
      <c r="I941" s="30" t="inlineStr">
        <is>
          <t>Roses bucket: not named in the gate file or the 19-SKU file</t>
        </is>
      </c>
      <c r="J941" s="30" t="inlineStr">
        <is>
          <t>Scope rules</t>
        </is>
      </c>
      <c r="K941" s="30" t="n"/>
    </row>
    <row r="942" ht="15" customHeight="1" s="24">
      <c r="A942" s="28" t="n"/>
      <c r="B942" s="30" t="n"/>
      <c r="C942" s="30" t="inlineStr">
        <is>
          <t>AU1111-01</t>
        </is>
      </c>
      <c r="D942" s="30" t="inlineStr">
        <is>
          <t>Two Dozen Assorted Roses</t>
        </is>
      </c>
      <c r="E942" s="30" t="inlineStr">
        <is>
          <t>Roses</t>
        </is>
      </c>
      <c r="F942" s="30" t="inlineStr">
        <is>
          <t>Out of scope</t>
        </is>
      </c>
      <c r="G942" s="30" t="inlineStr">
        <is>
          <t>Scope rules</t>
        </is>
      </c>
      <c r="H942" s="30" t="inlineStr">
        <is>
          <t>Excluded: Roses bucket</t>
        </is>
      </c>
      <c r="I942" s="30" t="inlineStr">
        <is>
          <t>Roses bucket: not named in the gate file or the 19-SKU file</t>
        </is>
      </c>
      <c r="J942" s="30" t="inlineStr">
        <is>
          <t>Scope rules</t>
        </is>
      </c>
      <c r="K942" s="30" t="n"/>
    </row>
    <row r="943" ht="15" customHeight="1" s="24">
      <c r="A943" s="28" t="n"/>
      <c r="B943" s="30" t="n"/>
      <c r="C943" s="30" t="inlineStr">
        <is>
          <t>AU1211-01</t>
        </is>
      </c>
      <c r="D943" s="30" t="inlineStr">
        <is>
          <t>Two Dozen White Roses</t>
        </is>
      </c>
      <c r="E943" s="30" t="inlineStr">
        <is>
          <t>Roses</t>
        </is>
      </c>
      <c r="F943" s="30" t="inlineStr">
        <is>
          <t>Out of scope</t>
        </is>
      </c>
      <c r="G943" s="30" t="inlineStr">
        <is>
          <t>Scope rules</t>
        </is>
      </c>
      <c r="H943" s="30" t="inlineStr">
        <is>
          <t>Excluded: Roses bucket</t>
        </is>
      </c>
      <c r="I943" s="30" t="inlineStr">
        <is>
          <t>Roses bucket: not named in the gate file or the 19-SKU file</t>
        </is>
      </c>
      <c r="J943" s="30" t="inlineStr">
        <is>
          <t>Scope rules</t>
        </is>
      </c>
      <c r="K943" s="30" t="n"/>
    </row>
    <row r="944" ht="15" customHeight="1" s="24">
      <c r="A944" s="28" t="n"/>
      <c r="B944" s="30" t="n"/>
      <c r="C944" s="30" t="inlineStr">
        <is>
          <t>AU1211-02</t>
        </is>
      </c>
      <c r="D944" s="30" t="inlineStr">
        <is>
          <t>Three Dozen White Roses</t>
        </is>
      </c>
      <c r="E944" s="30" t="inlineStr">
        <is>
          <t>Roses</t>
        </is>
      </c>
      <c r="F944" s="30" t="inlineStr">
        <is>
          <t>Out of scope</t>
        </is>
      </c>
      <c r="G944" s="30" t="inlineStr">
        <is>
          <t>Scope rules</t>
        </is>
      </c>
      <c r="H944" s="30" t="inlineStr">
        <is>
          <t>Excluded: Roses bucket</t>
        </is>
      </c>
      <c r="I944" s="30" t="inlineStr">
        <is>
          <t>Roses bucket: not named in the gate file or the 19-SKU file</t>
        </is>
      </c>
      <c r="J944" s="30" t="inlineStr">
        <is>
          <t>Scope rules</t>
        </is>
      </c>
      <c r="K944" s="30" t="n"/>
    </row>
    <row r="945" ht="15" customHeight="1" s="24">
      <c r="A945" s="28" t="n"/>
      <c r="B945" s="30" t="n"/>
      <c r="C945" s="30" t="inlineStr">
        <is>
          <t>AU13-22</t>
        </is>
      </c>
      <c r="D945" s="30" t="inlineStr">
        <is>
          <t>One Dozen Boxed Red Roses</t>
        </is>
      </c>
      <c r="E945" s="30" t="inlineStr">
        <is>
          <t>Roses</t>
        </is>
      </c>
      <c r="F945" s="30" t="inlineStr">
        <is>
          <t>Out of scope</t>
        </is>
      </c>
      <c r="G945" s="30" t="inlineStr">
        <is>
          <t>Scope rules</t>
        </is>
      </c>
      <c r="H945" s="30" t="inlineStr">
        <is>
          <t>Excluded: Roses bucket</t>
        </is>
      </c>
      <c r="I945" s="30" t="inlineStr">
        <is>
          <t>Roses bucket: not named in the gate file or the 19-SKU file</t>
        </is>
      </c>
      <c r="J945" s="30" t="inlineStr">
        <is>
          <t>Scope rules</t>
        </is>
      </c>
      <c r="K945" s="30" t="n"/>
    </row>
    <row r="946" ht="15" customHeight="1" s="24">
      <c r="A946" s="28" t="n"/>
      <c r="B946" s="30" t="n"/>
      <c r="C946" s="30" t="inlineStr">
        <is>
          <t>AU15-89</t>
        </is>
      </c>
      <c r="D946" s="30" t="inlineStr">
        <is>
          <t>18 Mixed Roses</t>
        </is>
      </c>
      <c r="E946" s="30" t="inlineStr">
        <is>
          <t>Roses</t>
        </is>
      </c>
      <c r="F946" s="30" t="inlineStr">
        <is>
          <t>Out of scope</t>
        </is>
      </c>
      <c r="G946" s="30" t="inlineStr">
        <is>
          <t>Scope rules</t>
        </is>
      </c>
      <c r="H946" s="30" t="inlineStr">
        <is>
          <t>Excluded: Roses bucket</t>
        </is>
      </c>
      <c r="I946" s="30" t="inlineStr">
        <is>
          <t>Roses bucket: not named in the gate file or the 19-SKU file</t>
        </is>
      </c>
      <c r="J946" s="30" t="inlineStr">
        <is>
          <t>Scope rules</t>
        </is>
      </c>
      <c r="K946" s="30" t="n"/>
    </row>
    <row r="947" ht="15" customHeight="1" s="24">
      <c r="A947" s="28" t="n"/>
      <c r="B947" s="30" t="n"/>
      <c r="C947" s="30" t="inlineStr">
        <is>
          <t>AU501-01</t>
        </is>
      </c>
      <c r="D947" s="30" t="inlineStr">
        <is>
          <t>3 Red Roses, Card &amp; Chocolates</t>
        </is>
      </c>
      <c r="E947" s="30" t="inlineStr">
        <is>
          <t>Roses</t>
        </is>
      </c>
      <c r="F947" s="30" t="inlineStr">
        <is>
          <t>Out of scope</t>
        </is>
      </c>
      <c r="G947" s="30" t="inlineStr">
        <is>
          <t>Scope rules</t>
        </is>
      </c>
      <c r="H947" s="30" t="inlineStr">
        <is>
          <t>Excluded: Roses bucket</t>
        </is>
      </c>
      <c r="I947" s="30" t="inlineStr">
        <is>
          <t>Roses bucket: not named in the gate file or the 19-SKU file</t>
        </is>
      </c>
      <c r="J947" s="30" t="inlineStr">
        <is>
          <t>Scope rules</t>
        </is>
      </c>
      <c r="K947" s="30" t="n"/>
    </row>
    <row r="948" ht="22.35" customHeight="1" s="24">
      <c r="A948" s="28" t="n"/>
      <c r="B948" s="30" t="n"/>
      <c r="C948" s="30" t="inlineStr">
        <is>
          <t>AU501-04</t>
        </is>
      </c>
      <c r="D948" s="30" t="inlineStr">
        <is>
          <t>Half Dozen Red Roses, Card &amp; Chocolates Gift</t>
        </is>
      </c>
      <c r="E948" s="30" t="inlineStr">
        <is>
          <t>Roses</t>
        </is>
      </c>
      <c r="F948" s="30" t="inlineStr">
        <is>
          <t>Out of scope</t>
        </is>
      </c>
      <c r="G948" s="30" t="inlineStr">
        <is>
          <t>Scope rules</t>
        </is>
      </c>
      <c r="H948" s="30" t="inlineStr">
        <is>
          <t>Excluded: Roses bucket</t>
        </is>
      </c>
      <c r="I948" s="30" t="inlineStr">
        <is>
          <t>Roses bucket: not named in the gate file or the 19-SKU file</t>
        </is>
      </c>
      <c r="J948" s="30" t="inlineStr">
        <is>
          <t>Scope rules</t>
        </is>
      </c>
      <c r="K948" s="30" t="n"/>
    </row>
    <row r="949" ht="22.35" customHeight="1" s="24">
      <c r="A949" s="28" t="n"/>
      <c r="B949" s="30" t="n"/>
      <c r="C949" s="30" t="inlineStr">
        <is>
          <t>AU501-05</t>
        </is>
      </c>
      <c r="D949" s="30" t="inlineStr">
        <is>
          <t>Half Dozen Red Roses, Card &amp; Teddy</t>
        </is>
      </c>
      <c r="E949" s="30" t="inlineStr">
        <is>
          <t>Roses</t>
        </is>
      </c>
      <c r="F949" s="30" t="inlineStr">
        <is>
          <t>Out of scope</t>
        </is>
      </c>
      <c r="G949" s="30" t="inlineStr">
        <is>
          <t>Scope rules</t>
        </is>
      </c>
      <c r="H949" s="30" t="inlineStr">
        <is>
          <t>Excluded: Roses bucket</t>
        </is>
      </c>
      <c r="I949" s="30" t="inlineStr">
        <is>
          <t>Roses bucket: not named in the gate file or the 19-SKU file</t>
        </is>
      </c>
      <c r="J949" s="30" t="inlineStr">
        <is>
          <t>Scope rules</t>
        </is>
      </c>
      <c r="K949" s="30" t="n"/>
    </row>
    <row r="950" ht="15" customHeight="1" s="24">
      <c r="A950" s="28" t="n"/>
      <c r="B950" s="30" t="n"/>
      <c r="C950" s="30" t="inlineStr">
        <is>
          <t>AU501-06</t>
        </is>
      </c>
      <c r="D950" s="30" t="inlineStr">
        <is>
          <t>6 Red Roses, Vase &amp; Teddy</t>
        </is>
      </c>
      <c r="E950" s="30" t="inlineStr">
        <is>
          <t>Roses</t>
        </is>
      </c>
      <c r="F950" s="30" t="inlineStr">
        <is>
          <t>Out of scope</t>
        </is>
      </c>
      <c r="G950" s="30" t="inlineStr">
        <is>
          <t>Scope rules</t>
        </is>
      </c>
      <c r="H950" s="30" t="inlineStr">
        <is>
          <t>Excluded: Roses bucket</t>
        </is>
      </c>
      <c r="I950" s="30" t="inlineStr">
        <is>
          <t>Roses bucket: not named in the gate file or the 19-SKU file</t>
        </is>
      </c>
      <c r="J950" s="30" t="inlineStr">
        <is>
          <t>Scope rules</t>
        </is>
      </c>
      <c r="K950" s="30" t="n"/>
    </row>
    <row r="951" ht="15" customHeight="1" s="24">
      <c r="A951" s="28" t="n"/>
      <c r="B951" s="30" t="n"/>
      <c r="C951" s="30" t="inlineStr">
        <is>
          <t>AU92-31</t>
        </is>
      </c>
      <c r="D951" s="30" t="inlineStr">
        <is>
          <t>Three Dozen Assorted Roses</t>
        </is>
      </c>
      <c r="E951" s="30" t="inlineStr">
        <is>
          <t>Roses</t>
        </is>
      </c>
      <c r="F951" s="30" t="inlineStr">
        <is>
          <t>Out of scope</t>
        </is>
      </c>
      <c r="G951" s="30" t="inlineStr">
        <is>
          <t>Scope rules</t>
        </is>
      </c>
      <c r="H951" s="30" t="inlineStr">
        <is>
          <t>Excluded: Roses bucket</t>
        </is>
      </c>
      <c r="I951" s="30" t="inlineStr">
        <is>
          <t>Roses bucket: not named in the gate file or the 19-SKU file</t>
        </is>
      </c>
      <c r="J951" s="30" t="inlineStr">
        <is>
          <t>Scope rules</t>
        </is>
      </c>
      <c r="K951" s="30" t="n"/>
    </row>
    <row r="952" ht="15" customHeight="1" s="24">
      <c r="A952" s="28" t="n"/>
      <c r="B952" s="30" t="n"/>
      <c r="C952" s="30" t="inlineStr">
        <is>
          <t>AUFS-04</t>
        </is>
      </c>
      <c r="D952" s="30" t="inlineStr">
        <is>
          <t>Deluxe Love Combo</t>
        </is>
      </c>
      <c r="E952" s="30" t="inlineStr">
        <is>
          <t>Roses</t>
        </is>
      </c>
      <c r="F952" s="30" t="inlineStr">
        <is>
          <t>Out of scope</t>
        </is>
      </c>
      <c r="G952" s="30" t="inlineStr">
        <is>
          <t>Scope rules</t>
        </is>
      </c>
      <c r="H952" s="30" t="inlineStr">
        <is>
          <t>Excluded: Roses bucket</t>
        </is>
      </c>
      <c r="I952" s="30" t="inlineStr">
        <is>
          <t>Roses bucket: not named in the gate file or the 19-SKU file</t>
        </is>
      </c>
      <c r="J952" s="30" t="inlineStr">
        <is>
          <t>Scope rules</t>
        </is>
      </c>
      <c r="K952" s="30" t="n"/>
    </row>
    <row r="953" ht="15" customHeight="1" s="24">
      <c r="A953" s="28" t="n"/>
      <c r="B953" s="30" t="n"/>
      <c r="C953" s="30" t="inlineStr">
        <is>
          <t>AUFS-06</t>
        </is>
      </c>
      <c r="D953" s="30" t="inlineStr">
        <is>
          <t>Dozen Red Roses &amp; Chocolates</t>
        </is>
      </c>
      <c r="E953" s="30" t="inlineStr">
        <is>
          <t>Roses</t>
        </is>
      </c>
      <c r="F953" s="30" t="inlineStr">
        <is>
          <t>Out of scope</t>
        </is>
      </c>
      <c r="G953" s="30" t="inlineStr">
        <is>
          <t>Scope rules</t>
        </is>
      </c>
      <c r="H953" s="30" t="inlineStr">
        <is>
          <t>Excluded: Roses bucket</t>
        </is>
      </c>
      <c r="I953" s="30" t="inlineStr">
        <is>
          <t>Roses bucket: not named in the gate file or the 19-SKU file</t>
        </is>
      </c>
      <c r="J953" s="30" t="inlineStr">
        <is>
          <t>Scope rules</t>
        </is>
      </c>
      <c r="K953" s="30" t="n"/>
    </row>
    <row r="954" ht="22.35" customHeight="1" s="24">
      <c r="A954" s="28" t="n"/>
      <c r="B954" s="30" t="n"/>
      <c r="C954" s="30" t="inlineStr">
        <is>
          <t>AUFS-09</t>
        </is>
      </c>
      <c r="D954" s="30" t="inlineStr">
        <is>
          <t>Dozen Mixed Roses &amp; Sauvignon Blanc</t>
        </is>
      </c>
      <c r="E954" s="30" t="inlineStr">
        <is>
          <t>Roses</t>
        </is>
      </c>
      <c r="F954" s="30" t="inlineStr">
        <is>
          <t>Out of scope</t>
        </is>
      </c>
      <c r="G954" s="30" t="inlineStr">
        <is>
          <t>Scope rules</t>
        </is>
      </c>
      <c r="H954" s="30" t="inlineStr">
        <is>
          <t>Excluded: Roses bucket</t>
        </is>
      </c>
      <c r="I954" s="30" t="inlineStr">
        <is>
          <t>Roses bucket: not named in the gate file or the 19-SKU file</t>
        </is>
      </c>
      <c r="J954" s="30" t="inlineStr">
        <is>
          <t>Scope rules</t>
        </is>
      </c>
      <c r="K954" s="30" t="n"/>
    </row>
    <row r="955" ht="15" customHeight="1" s="24">
      <c r="A955" s="28" t="n"/>
      <c r="B955" s="30" t="n"/>
      <c r="C955" s="30" t="inlineStr">
        <is>
          <t>BKRR-120</t>
        </is>
      </c>
      <c r="D955" s="30" t="inlineStr">
        <is>
          <t>120 Bulk Red Roses</t>
        </is>
      </c>
      <c r="E955" s="30" t="inlineStr">
        <is>
          <t>Roses</t>
        </is>
      </c>
      <c r="F955" s="30" t="inlineStr">
        <is>
          <t>Out of scope</t>
        </is>
      </c>
      <c r="G955" s="30" t="inlineStr">
        <is>
          <t>Scope rules</t>
        </is>
      </c>
      <c r="H955" s="30" t="inlineStr">
        <is>
          <t>Excluded: Roses bucket</t>
        </is>
      </c>
      <c r="I955" s="30" t="inlineStr">
        <is>
          <t>Roses bucket: not named in the gate file or the 19-SKU file</t>
        </is>
      </c>
      <c r="J955" s="30" t="inlineStr">
        <is>
          <t>Scope rules</t>
        </is>
      </c>
      <c r="K955" s="30" t="n"/>
    </row>
    <row r="956" ht="15" customHeight="1" s="24">
      <c r="A956" s="28" t="n"/>
      <c r="B956" s="30" t="n"/>
      <c r="C956" s="30" t="inlineStr">
        <is>
          <t>MDLR-01</t>
        </is>
      </c>
      <c r="D956" s="30" t="inlineStr">
        <is>
          <t>Gorgeous Lavender Roses I</t>
        </is>
      </c>
      <c r="E956" s="30" t="inlineStr">
        <is>
          <t>Roses</t>
        </is>
      </c>
      <c r="F956" s="30" t="inlineStr">
        <is>
          <t>Out of scope</t>
        </is>
      </c>
      <c r="G956" s="30" t="inlineStr">
        <is>
          <t>Scope rules</t>
        </is>
      </c>
      <c r="H956" s="30" t="inlineStr">
        <is>
          <t>Excluded: Roses bucket</t>
        </is>
      </c>
      <c r="I956" s="30" t="inlineStr">
        <is>
          <t>Roses bucket: not named in the gate file or the 19-SKU file</t>
        </is>
      </c>
      <c r="J956" s="30" t="inlineStr">
        <is>
          <t>Scope rules</t>
        </is>
      </c>
      <c r="K956" s="30" t="n"/>
    </row>
    <row r="957" ht="15" customHeight="1" s="24">
      <c r="A957" s="28" t="n"/>
      <c r="B957" s="30" t="n"/>
      <c r="C957" s="30" t="inlineStr">
        <is>
          <t>SHR-02</t>
        </is>
      </c>
      <c r="D957" s="30" t="inlineStr">
        <is>
          <t>12 Sweetheart Roses II</t>
        </is>
      </c>
      <c r="E957" s="30" t="inlineStr">
        <is>
          <t>Roses</t>
        </is>
      </c>
      <c r="F957" s="30" t="inlineStr">
        <is>
          <t>Out of scope</t>
        </is>
      </c>
      <c r="G957" s="30" t="inlineStr">
        <is>
          <t>Scope rules</t>
        </is>
      </c>
      <c r="H957" s="30" t="inlineStr">
        <is>
          <t>Excluded: Roses bucket</t>
        </is>
      </c>
      <c r="I957" s="30" t="inlineStr">
        <is>
          <t>Roses bucket: not named in the gate file or the 19-SKU file</t>
        </is>
      </c>
      <c r="J957" s="30" t="inlineStr">
        <is>
          <t>Scope rules</t>
        </is>
      </c>
      <c r="K957" s="30" t="n"/>
    </row>
    <row r="958" ht="15" customHeight="1" s="24">
      <c r="A958" s="28" t="n"/>
      <c r="B958" s="30" t="n"/>
      <c r="C958" s="30" t="inlineStr">
        <is>
          <t>SHR-03</t>
        </is>
      </c>
      <c r="D958" s="30" t="inlineStr">
        <is>
          <t>12 Sweetheart Roses III</t>
        </is>
      </c>
      <c r="E958" s="30" t="inlineStr">
        <is>
          <t>Roses</t>
        </is>
      </c>
      <c r="F958" s="30" t="inlineStr">
        <is>
          <t>Out of scope</t>
        </is>
      </c>
      <c r="G958" s="30" t="inlineStr">
        <is>
          <t>Scope rules</t>
        </is>
      </c>
      <c r="H958" s="30" t="inlineStr">
        <is>
          <t>Excluded: Roses bucket</t>
        </is>
      </c>
      <c r="I958" s="30" t="inlineStr">
        <is>
          <t>Roses bucket: not named in the gate file or the 19-SKU file</t>
        </is>
      </c>
      <c r="J958" s="30" t="inlineStr">
        <is>
          <t>Scope rules</t>
        </is>
      </c>
      <c r="K958" s="30" t="n"/>
    </row>
    <row r="959" ht="15" customHeight="1" s="24">
      <c r="A959" s="28" t="n"/>
      <c r="B959" s="30" t="n"/>
      <c r="C959" s="30" t="inlineStr">
        <is>
          <t>AURP-C02</t>
        </is>
      </c>
      <c r="D959" s="30" t="inlineStr">
        <is>
          <t>Large Box of Premium Chocolates</t>
        </is>
      </c>
      <c r="E959" s="30" t="inlineStr">
        <is>
          <t>Add-Ons</t>
        </is>
      </c>
      <c r="F959" s="30" t="inlineStr">
        <is>
          <t>Out of scope</t>
        </is>
      </c>
      <c r="G959" s="30" t="inlineStr">
        <is>
          <t>Scope rules</t>
        </is>
      </c>
      <c r="H959" s="30" t="inlineStr">
        <is>
          <t>Excluded: add-on item</t>
        </is>
      </c>
      <c r="I959" s="30" t="inlineStr">
        <is>
          <t>Add-on item with no flowers: add-ons import project</t>
        </is>
      </c>
      <c r="J959" s="30" t="inlineStr">
        <is>
          <t>Scope rules</t>
        </is>
      </c>
      <c r="K959" s="30" t="n"/>
    </row>
    <row r="960" ht="15" customHeight="1" s="24">
      <c r="A960" s="28" t="n"/>
      <c r="B960" s="30" t="n"/>
      <c r="C960" s="30" t="inlineStr">
        <is>
          <t>AURP03</t>
        </is>
      </c>
      <c r="D960" s="30" t="inlineStr">
        <is>
          <t>Glass Vase</t>
        </is>
      </c>
      <c r="E960" s="30" t="inlineStr">
        <is>
          <t>Add-Ons</t>
        </is>
      </c>
      <c r="F960" s="30" t="inlineStr">
        <is>
          <t>Out of scope</t>
        </is>
      </c>
      <c r="G960" s="30" t="inlineStr">
        <is>
          <t>Scope rules</t>
        </is>
      </c>
      <c r="H960" s="30" t="inlineStr">
        <is>
          <t>Excluded: add-on item</t>
        </is>
      </c>
      <c r="I960" s="30" t="inlineStr">
        <is>
          <t>Add-on item with no flowers: add-ons import project</t>
        </is>
      </c>
      <c r="J960" s="30" t="inlineStr">
        <is>
          <t>Scope rules</t>
        </is>
      </c>
      <c r="K960" s="30" t="n"/>
    </row>
    <row r="961" ht="15" customHeight="1" s="24">
      <c r="A961" s="28" t="n"/>
      <c r="B961" s="30" t="n"/>
      <c r="C961" s="30" t="inlineStr">
        <is>
          <t>AURP04</t>
        </is>
      </c>
      <c r="D961" s="30" t="inlineStr">
        <is>
          <t>Glass Vase (Hand blown)</t>
        </is>
      </c>
      <c r="E961" s="30" t="inlineStr">
        <is>
          <t>Add-Ons</t>
        </is>
      </c>
      <c r="F961" s="30" t="inlineStr">
        <is>
          <t>Out of scope</t>
        </is>
      </c>
      <c r="G961" s="30" t="inlineStr">
        <is>
          <t>Scope rules</t>
        </is>
      </c>
      <c r="H961" s="30" t="inlineStr">
        <is>
          <t>Excluded: add-on item</t>
        </is>
      </c>
      <c r="I961" s="30" t="inlineStr">
        <is>
          <t>Add-on item with no flowers: add-ons import project</t>
        </is>
      </c>
      <c r="J961" s="30" t="inlineStr">
        <is>
          <t>Scope rules</t>
        </is>
      </c>
      <c r="K961" s="30" t="n"/>
    </row>
    <row r="962" ht="15" customHeight="1" s="24">
      <c r="A962" s="28" t="n"/>
      <c r="B962" s="30" t="n"/>
      <c r="C962" s="30" t="inlineStr">
        <is>
          <t>AURP06</t>
        </is>
      </c>
      <c r="D962" s="30" t="inlineStr">
        <is>
          <t>Teddy Bear</t>
        </is>
      </c>
      <c r="E962" s="30" t="inlineStr">
        <is>
          <t>Add-Ons</t>
        </is>
      </c>
      <c r="F962" s="30" t="inlineStr">
        <is>
          <t>Out of scope</t>
        </is>
      </c>
      <c r="G962" s="30" t="inlineStr">
        <is>
          <t>Scope rules</t>
        </is>
      </c>
      <c r="H962" s="30" t="inlineStr">
        <is>
          <t>Excluded: add-on item</t>
        </is>
      </c>
      <c r="I962" s="30" t="inlineStr">
        <is>
          <t>Add-on item with no flowers: add-ons import project</t>
        </is>
      </c>
      <c r="J962" s="30" t="inlineStr">
        <is>
          <t>Scope rules</t>
        </is>
      </c>
      <c r="K962" s="30" t="n"/>
    </row>
    <row r="963" ht="15" customHeight="1" s="24">
      <c r="A963" s="28" t="n"/>
      <c r="B963" s="30" t="n"/>
      <c r="C963" s="30" t="inlineStr">
        <is>
          <t>DLX-99</t>
        </is>
      </c>
      <c r="D963" s="30" t="inlineStr">
        <is>
          <t>Deluxe Gift Packaging</t>
        </is>
      </c>
      <c r="E963" s="30" t="inlineStr">
        <is>
          <t>Add-Ons</t>
        </is>
      </c>
      <c r="F963" s="30" t="inlineStr">
        <is>
          <t>Out of scope</t>
        </is>
      </c>
      <c r="G963" s="30" t="inlineStr">
        <is>
          <t>Scope rules</t>
        </is>
      </c>
      <c r="H963" s="30" t="inlineStr">
        <is>
          <t>Excluded: add-on item</t>
        </is>
      </c>
      <c r="I963" s="30" t="inlineStr">
        <is>
          <t>Add-on item with no flowers: add-ons import project</t>
        </is>
      </c>
      <c r="J963" s="30" t="inlineStr">
        <is>
          <t>Scope rules</t>
        </is>
      </c>
      <c r="K963" s="30" t="n"/>
    </row>
    <row r="964" ht="15" customHeight="1" s="24">
      <c r="A964" s="28" t="n"/>
      <c r="B964" s="30" t="n"/>
      <c r="C964" s="30" t="inlineStr">
        <is>
          <t>SC01</t>
        </is>
      </c>
      <c r="D964" s="30" t="inlineStr">
        <is>
          <t>Full Size Sympathy Card</t>
        </is>
      </c>
      <c r="E964" s="30" t="inlineStr">
        <is>
          <t>Sympathy</t>
        </is>
      </c>
      <c r="F964" s="30" t="inlineStr">
        <is>
          <t>Out of scope</t>
        </is>
      </c>
      <c r="G964" s="30" t="inlineStr">
        <is>
          <t>Scope rules</t>
        </is>
      </c>
      <c r="H964" s="30" t="inlineStr">
        <is>
          <t>Excluded: add-on item</t>
        </is>
      </c>
      <c r="I964" s="30" t="inlineStr">
        <is>
          <t>Add-on item with no flowers: add-ons import project</t>
        </is>
      </c>
      <c r="J964" s="30" t="inlineStr">
        <is>
          <t>Scope rules</t>
        </is>
      </c>
      <c r="K964" s="30" t="n"/>
    </row>
    <row r="965" ht="32.8" customHeight="1" s="24">
      <c r="A965" s="28" t="n"/>
      <c r="B965" s="30" t="n"/>
      <c r="C965" s="30" t="inlineStr">
        <is>
          <t>AU-ADD-BALLOON-BDAY-695</t>
        </is>
      </c>
      <c r="D965" s="30" t="inlineStr">
        <is>
          <t>Balloon (Happy Birthday)</t>
        </is>
      </c>
      <c r="E965" s="30" t="inlineStr">
        <is>
          <t>Add-Ons</t>
        </is>
      </c>
      <c r="F965" s="30" t="inlineStr">
        <is>
          <t>Out of scope</t>
        </is>
      </c>
      <c r="G965" s="30" t="inlineStr">
        <is>
          <t>Scope rules</t>
        </is>
      </c>
      <c r="H965" s="30" t="inlineStr">
        <is>
          <t>Excluded: status N</t>
        </is>
      </c>
      <c r="I965" s="30" t="inlineStr">
        <is>
          <t>Status N (inactive) in the recipe master</t>
        </is>
      </c>
      <c r="J965" s="30" t="inlineStr">
        <is>
          <t>Scope rules</t>
        </is>
      </c>
      <c r="K965" s="30" t="n"/>
    </row>
    <row r="966" ht="32.8" customHeight="1" s="24">
      <c r="A966" s="28" t="n"/>
      <c r="B966" s="30" t="n"/>
      <c r="C966" s="30" t="inlineStr">
        <is>
          <t>AU-ADD-BALLOON-LOVE-695</t>
        </is>
      </c>
      <c r="D966" s="30" t="inlineStr">
        <is>
          <t>Balloon (Love/Heart)</t>
        </is>
      </c>
      <c r="E966" s="30" t="inlineStr">
        <is>
          <t>Add-Ons</t>
        </is>
      </c>
      <c r="F966" s="30" t="inlineStr">
        <is>
          <t>Out of scope</t>
        </is>
      </c>
      <c r="G966" s="30" t="inlineStr">
        <is>
          <t>Scope rules</t>
        </is>
      </c>
      <c r="H966" s="30" t="inlineStr">
        <is>
          <t>Excluded: status N</t>
        </is>
      </c>
      <c r="I966" s="30" t="inlineStr">
        <is>
          <t>Status N (inactive) in the recipe master</t>
        </is>
      </c>
      <c r="J966" s="30" t="inlineStr">
        <is>
          <t>Scope rules</t>
        </is>
      </c>
      <c r="K966" s="30" t="n"/>
    </row>
    <row r="967" ht="32.8" customHeight="1" s="24">
      <c r="A967" s="28" t="n"/>
      <c r="B967" s="30" t="n"/>
      <c r="C967" s="30" t="inlineStr">
        <is>
          <t>AU-ADD-CARD-TEDDY-1395-STANDARD</t>
        </is>
      </c>
      <c r="D967" s="30" t="inlineStr">
        <is>
          <t>Card &amp; Teddy (Standard)</t>
        </is>
      </c>
      <c r="E967" s="30" t="inlineStr">
        <is>
          <t>Add-Ons</t>
        </is>
      </c>
      <c r="F967" s="30" t="inlineStr">
        <is>
          <t>Out of scope</t>
        </is>
      </c>
      <c r="G967" s="30" t="inlineStr">
        <is>
          <t>Scope rules</t>
        </is>
      </c>
      <c r="H967" s="30" t="inlineStr">
        <is>
          <t>Excluded: status N</t>
        </is>
      </c>
      <c r="I967" s="30" t="inlineStr">
        <is>
          <t>Status N (inactive) in the recipe master</t>
        </is>
      </c>
      <c r="J967" s="30" t="inlineStr">
        <is>
          <t>Scope rules</t>
        </is>
      </c>
      <c r="K967" s="30" t="n"/>
    </row>
    <row r="968" ht="32.8" customHeight="1" s="24">
      <c r="A968" s="28" t="n"/>
      <c r="B968" s="30" t="n"/>
      <c r="C968" s="30" t="inlineStr">
        <is>
          <t>AU-ADD-CARD-TEDDY-1695-PREMIUM</t>
        </is>
      </c>
      <c r="D968" s="30" t="inlineStr">
        <is>
          <t>Card &amp; Teddy (Premium)</t>
        </is>
      </c>
      <c r="E968" s="30" t="inlineStr">
        <is>
          <t>Add-Ons</t>
        </is>
      </c>
      <c r="F968" s="30" t="inlineStr">
        <is>
          <t>Out of scope</t>
        </is>
      </c>
      <c r="G968" s="30" t="inlineStr">
        <is>
          <t>Scope rules</t>
        </is>
      </c>
      <c r="H968" s="30" t="inlineStr">
        <is>
          <t>Excluded: status N</t>
        </is>
      </c>
      <c r="I968" s="30" t="inlineStr">
        <is>
          <t>Status N (inactive) in the recipe master</t>
        </is>
      </c>
      <c r="J968" s="30" t="inlineStr">
        <is>
          <t>Scope rules</t>
        </is>
      </c>
      <c r="K968" s="30" t="n"/>
    </row>
    <row r="969" ht="32.8" customHeight="1" s="24">
      <c r="A969" s="28" t="n"/>
      <c r="B969" s="30" t="n"/>
      <c r="C969" s="30" t="inlineStr">
        <is>
          <t>AU-ADD-FULL-SIZE-BIRTHDAY-CAR-395</t>
        </is>
      </c>
      <c r="D969" s="30" t="inlineStr">
        <is>
          <t>Full Size Birthday Card</t>
        </is>
      </c>
      <c r="E969" s="30" t="inlineStr">
        <is>
          <t>Add-Ons</t>
        </is>
      </c>
      <c r="F969" s="30" t="inlineStr">
        <is>
          <t>Out of scope</t>
        </is>
      </c>
      <c r="G969" s="30" t="inlineStr">
        <is>
          <t>Scope rules</t>
        </is>
      </c>
      <c r="H969" s="30" t="inlineStr">
        <is>
          <t>Excluded: status N</t>
        </is>
      </c>
      <c r="I969" s="30" t="inlineStr">
        <is>
          <t>Status N (inactive) in the recipe master</t>
        </is>
      </c>
      <c r="J969" s="30" t="inlineStr">
        <is>
          <t>Scope rules</t>
        </is>
      </c>
      <c r="K969" s="30" t="n"/>
    </row>
    <row r="970" ht="43.25" customHeight="1" s="24">
      <c r="A970" s="28" t="n"/>
      <c r="B970" s="30" t="n"/>
      <c r="C970" s="30" t="inlineStr">
        <is>
          <t>AU-ADD-FULL-SIZE-GREETING-CAR-395</t>
        </is>
      </c>
      <c r="D970" s="30" t="inlineStr">
        <is>
          <t>Full Size Greeting Card</t>
        </is>
      </c>
      <c r="E970" s="30" t="inlineStr">
        <is>
          <t>Add-Ons</t>
        </is>
      </c>
      <c r="F970" s="30" t="inlineStr">
        <is>
          <t>Out of scope</t>
        </is>
      </c>
      <c r="G970" s="30" t="inlineStr">
        <is>
          <t>Scope rules</t>
        </is>
      </c>
      <c r="H970" s="30" t="inlineStr">
        <is>
          <t>Excluded: status N</t>
        </is>
      </c>
      <c r="I970" s="30" t="inlineStr">
        <is>
          <t>Status N (inactive) in the recipe master</t>
        </is>
      </c>
      <c r="J970" s="30" t="inlineStr">
        <is>
          <t>Scope rules</t>
        </is>
      </c>
      <c r="K970" s="30" t="n"/>
    </row>
    <row r="971" ht="43.25" customHeight="1" s="24">
      <c r="A971" s="28" t="n"/>
      <c r="B971" s="30" t="n"/>
      <c r="C971" s="30" t="inlineStr">
        <is>
          <t>AU-ADD-FULL-SIZE-SYMPATHY-CAR-395</t>
        </is>
      </c>
      <c r="D971" s="30" t="inlineStr">
        <is>
          <t>Full Size Sympathy Card</t>
        </is>
      </c>
      <c r="E971" s="30" t="inlineStr">
        <is>
          <t>Add-Ons</t>
        </is>
      </c>
      <c r="F971" s="30" t="inlineStr">
        <is>
          <t>Out of scope</t>
        </is>
      </c>
      <c r="G971" s="30" t="inlineStr">
        <is>
          <t>Scope rules</t>
        </is>
      </c>
      <c r="H971" s="30" t="inlineStr">
        <is>
          <t>Excluded: status N</t>
        </is>
      </c>
      <c r="I971" s="30" t="inlineStr">
        <is>
          <t>Status N (inactive) in the recipe master</t>
        </is>
      </c>
      <c r="J971" s="30" t="inlineStr">
        <is>
          <t>Scope rules</t>
        </is>
      </c>
      <c r="K971" s="30" t="n"/>
    </row>
    <row r="972" ht="22.35" customHeight="1" s="24">
      <c r="A972" s="28" t="n"/>
      <c r="B972" s="30" t="n"/>
      <c r="C972" s="30" t="inlineStr">
        <is>
          <t>AU-ADD-GIFT-WRAP-495</t>
        </is>
      </c>
      <c r="D972" s="30" t="inlineStr">
        <is>
          <t>Premium Gift Wrap Upgrade</t>
        </is>
      </c>
      <c r="E972" s="30" t="inlineStr">
        <is>
          <t>Add-Ons</t>
        </is>
      </c>
      <c r="F972" s="30" t="inlineStr">
        <is>
          <t>Out of scope</t>
        </is>
      </c>
      <c r="G972" s="30" t="inlineStr">
        <is>
          <t>Scope rules</t>
        </is>
      </c>
      <c r="H972" s="30" t="inlineStr">
        <is>
          <t>Excluded: status N</t>
        </is>
      </c>
      <c r="I972" s="30" t="inlineStr">
        <is>
          <t>Status N (inactive) in the recipe master</t>
        </is>
      </c>
      <c r="J972" s="30" t="inlineStr">
        <is>
          <t>Scope rules</t>
        </is>
      </c>
      <c r="K972" s="30" t="n"/>
    </row>
    <row r="973" ht="32.8" customHeight="1" s="24">
      <c r="A973" s="28" t="n"/>
      <c r="B973" s="30" t="n"/>
      <c r="C973" s="30" t="inlineStr">
        <is>
          <t>AU-ADD-GLASS-VASE-1195-BLUE</t>
        </is>
      </c>
      <c r="D973" s="30" t="inlineStr">
        <is>
          <t>Glass Vase (Blue)</t>
        </is>
      </c>
      <c r="E973" s="30" t="inlineStr">
        <is>
          <t>Add-Ons</t>
        </is>
      </c>
      <c r="F973" s="30" t="inlineStr">
        <is>
          <t>Out of scope</t>
        </is>
      </c>
      <c r="G973" s="30" t="inlineStr">
        <is>
          <t>Scope rules</t>
        </is>
      </c>
      <c r="H973" s="30" t="inlineStr">
        <is>
          <t>Excluded: status N</t>
        </is>
      </c>
      <c r="I973" s="30" t="inlineStr">
        <is>
          <t>Status N (inactive) in the recipe master</t>
        </is>
      </c>
      <c r="J973" s="30" t="inlineStr">
        <is>
          <t>Scope rules</t>
        </is>
      </c>
      <c r="K973" s="30" t="n"/>
    </row>
    <row r="974" ht="22.35" customHeight="1" s="24">
      <c r="A974" s="28" t="n"/>
      <c r="B974" s="30" t="n"/>
      <c r="C974" s="30" t="inlineStr">
        <is>
          <t>AU-ADD-GLASS-VASE-1195-RED</t>
        </is>
      </c>
      <c r="D974" s="30" t="inlineStr">
        <is>
          <t>Glass Vase (Red)</t>
        </is>
      </c>
      <c r="E974" s="30" t="inlineStr">
        <is>
          <t>Add-Ons</t>
        </is>
      </c>
      <c r="F974" s="30" t="inlineStr">
        <is>
          <t>Out of scope</t>
        </is>
      </c>
      <c r="G974" s="30" t="inlineStr">
        <is>
          <t>Scope rules</t>
        </is>
      </c>
      <c r="H974" s="30" t="inlineStr">
        <is>
          <t>Excluded: status N</t>
        </is>
      </c>
      <c r="I974" s="30" t="inlineStr">
        <is>
          <t>Status N (inactive) in the recipe master</t>
        </is>
      </c>
      <c r="J974" s="30" t="inlineStr">
        <is>
          <t>Scope rules</t>
        </is>
      </c>
      <c r="K974" s="30" t="n"/>
    </row>
    <row r="975" ht="32.8" customHeight="1" s="24">
      <c r="A975" s="28" t="n"/>
      <c r="B975" s="30" t="n"/>
      <c r="C975" s="30" t="inlineStr">
        <is>
          <t>AU-ADD-GLASS-VASE-HAND-BLOWN-895</t>
        </is>
      </c>
      <c r="D975" s="30" t="inlineStr">
        <is>
          <t>Glass Vase (Hand Blown)</t>
        </is>
      </c>
      <c r="E975" s="30" t="inlineStr">
        <is>
          <t>Add-Ons</t>
        </is>
      </c>
      <c r="F975" s="30" t="inlineStr">
        <is>
          <t>Out of scope</t>
        </is>
      </c>
      <c r="G975" s="30" t="inlineStr">
        <is>
          <t>Scope rules</t>
        </is>
      </c>
      <c r="H975" s="30" t="inlineStr">
        <is>
          <t>Excluded: status N</t>
        </is>
      </c>
      <c r="I975" s="30" t="inlineStr">
        <is>
          <t>Status N (inactive) in the recipe master</t>
        </is>
      </c>
      <c r="J975" s="30" t="inlineStr">
        <is>
          <t>Scope rules</t>
        </is>
      </c>
      <c r="K975" s="30" t="n"/>
    </row>
    <row r="976" ht="32.8" customHeight="1" s="24">
      <c r="A976" s="28" t="n"/>
      <c r="B976" s="30" t="n"/>
      <c r="C976" s="30" t="inlineStr">
        <is>
          <t>AU-ADD-GLASS-VASE-SPECIAL-995</t>
        </is>
      </c>
      <c r="D976" s="30" t="inlineStr">
        <is>
          <t>Glass Vase Special</t>
        </is>
      </c>
      <c r="E976" s="30" t="inlineStr">
        <is>
          <t>Add-Ons</t>
        </is>
      </c>
      <c r="F976" s="30" t="inlineStr">
        <is>
          <t>Out of scope</t>
        </is>
      </c>
      <c r="G976" s="30" t="inlineStr">
        <is>
          <t>Scope rules</t>
        </is>
      </c>
      <c r="H976" s="30" t="inlineStr">
        <is>
          <t>Excluded: status N</t>
        </is>
      </c>
      <c r="I976" s="30" t="inlineStr">
        <is>
          <t>Status N (inactive) in the recipe master</t>
        </is>
      </c>
      <c r="J976" s="30" t="inlineStr">
        <is>
          <t>Scope rules</t>
        </is>
      </c>
      <c r="K976" s="30" t="n"/>
    </row>
    <row r="977" ht="22.35" customHeight="1" s="24">
      <c r="A977" s="28" t="n"/>
      <c r="B977" s="30" t="n"/>
      <c r="C977" s="30" t="inlineStr">
        <is>
          <t>AU-ADD-LG-TEDDY-1495</t>
        </is>
      </c>
      <c r="D977" s="30" t="inlineStr">
        <is>
          <t>Large Teddy Bear</t>
        </is>
      </c>
      <c r="E977" s="30" t="inlineStr">
        <is>
          <t>Add-Ons</t>
        </is>
      </c>
      <c r="F977" s="30" t="inlineStr">
        <is>
          <t>Out of scope</t>
        </is>
      </c>
      <c r="G977" s="30" t="inlineStr">
        <is>
          <t>Scope rules</t>
        </is>
      </c>
      <c r="H977" s="30" t="inlineStr">
        <is>
          <t>Excluded: status N</t>
        </is>
      </c>
      <c r="I977" s="30" t="inlineStr">
        <is>
          <t>Status N (inactive) in the recipe master</t>
        </is>
      </c>
      <c r="J977" s="30" t="inlineStr">
        <is>
          <t>Scope rules</t>
        </is>
      </c>
      <c r="K977" s="30" t="n"/>
    </row>
    <row r="978" ht="22.35" customHeight="1" s="24">
      <c r="A978" s="28" t="n"/>
      <c r="B978" s="30" t="n"/>
      <c r="C978" s="30" t="inlineStr">
        <is>
          <t>AU-ADD-MASON-JAR-995</t>
        </is>
      </c>
      <c r="D978" s="30" t="inlineStr">
        <is>
          <t>Mason Jar</t>
        </is>
      </c>
      <c r="E978" s="30" t="inlineStr">
        <is>
          <t>Add-Ons</t>
        </is>
      </c>
      <c r="F978" s="30" t="inlineStr">
        <is>
          <t>Out of scope</t>
        </is>
      </c>
      <c r="G978" s="30" t="inlineStr">
        <is>
          <t>Scope rules</t>
        </is>
      </c>
      <c r="H978" s="30" t="inlineStr">
        <is>
          <t>Excluded: status N</t>
        </is>
      </c>
      <c r="I978" s="30" t="inlineStr">
        <is>
          <t>Status N (inactive) in the recipe master</t>
        </is>
      </c>
      <c r="J978" s="30" t="inlineStr">
        <is>
          <t>Scope rules</t>
        </is>
      </c>
      <c r="K978" s="30" t="n"/>
    </row>
    <row r="979" ht="22.35" customHeight="1" s="24">
      <c r="A979" s="28" t="n"/>
      <c r="B979" s="30" t="n"/>
      <c r="C979" s="30" t="inlineStr">
        <is>
          <t>AU-ADD-PERS-CARD-595</t>
        </is>
      </c>
      <c r="D979" s="30" t="inlineStr">
        <is>
          <t>Personalised Message Card</t>
        </is>
      </c>
      <c r="E979" s="30" t="inlineStr">
        <is>
          <t>Add-Ons</t>
        </is>
      </c>
      <c r="F979" s="30" t="inlineStr">
        <is>
          <t>Out of scope</t>
        </is>
      </c>
      <c r="G979" s="30" t="inlineStr">
        <is>
          <t>Scope rules</t>
        </is>
      </c>
      <c r="H979" s="30" t="inlineStr">
        <is>
          <t>Excluded: status N</t>
        </is>
      </c>
      <c r="I979" s="30" t="inlineStr">
        <is>
          <t>Status N (inactive) in the recipe master</t>
        </is>
      </c>
      <c r="J979" s="30" t="inlineStr">
        <is>
          <t>Scope rules</t>
        </is>
      </c>
      <c r="K979" s="30" t="n"/>
    </row>
    <row r="980" ht="22.35" customHeight="1" s="24">
      <c r="A980" s="28" t="n"/>
      <c r="B980" s="30" t="n"/>
      <c r="C980" s="30" t="inlineStr">
        <is>
          <t>AU-ADD-PREM-RED-WINE-4495</t>
        </is>
      </c>
      <c r="D980" s="30" t="inlineStr">
        <is>
          <t>Premium Red Wine</t>
        </is>
      </c>
      <c r="E980" s="30" t="inlineStr">
        <is>
          <t>Add-Ons</t>
        </is>
      </c>
      <c r="F980" s="30" t="inlineStr">
        <is>
          <t>Out of scope</t>
        </is>
      </c>
      <c r="G980" s="30" t="inlineStr">
        <is>
          <t>Scope rules</t>
        </is>
      </c>
      <c r="H980" s="30" t="inlineStr">
        <is>
          <t>Excluded: status N</t>
        </is>
      </c>
      <c r="I980" s="30" t="inlineStr">
        <is>
          <t>Status N (inactive) in the recipe master</t>
        </is>
      </c>
      <c r="J980" s="30" t="inlineStr">
        <is>
          <t>Scope rules</t>
        </is>
      </c>
      <c r="K980" s="30" t="n"/>
    </row>
    <row r="981" ht="32.8" customHeight="1" s="24">
      <c r="A981" s="28" t="n"/>
      <c r="B981" s="30" t="n"/>
      <c r="C981" s="30" t="inlineStr">
        <is>
          <t>AU-ADD-PREM-WHITE-WINE-4495</t>
        </is>
      </c>
      <c r="D981" s="30" t="inlineStr">
        <is>
          <t>Premium White Wine</t>
        </is>
      </c>
      <c r="E981" s="30" t="inlineStr">
        <is>
          <t>Add-Ons</t>
        </is>
      </c>
      <c r="F981" s="30" t="inlineStr">
        <is>
          <t>Out of scope</t>
        </is>
      </c>
      <c r="G981" s="30" t="inlineStr">
        <is>
          <t>Scope rules</t>
        </is>
      </c>
      <c r="H981" s="30" t="inlineStr">
        <is>
          <t>Excluded: status N</t>
        </is>
      </c>
      <c r="I981" s="30" t="inlineStr">
        <is>
          <t>Status N (inactive) in the recipe master</t>
        </is>
      </c>
      <c r="J981" s="30" t="inlineStr">
        <is>
          <t>Scope rules</t>
        </is>
      </c>
      <c r="K981" s="30" t="n"/>
    </row>
    <row r="982" ht="22.35" customHeight="1" s="24">
      <c r="A982" s="28" t="n"/>
      <c r="B982" s="30" t="n"/>
      <c r="C982" s="30" t="inlineStr">
        <is>
          <t>AU-ADD-RED-WINE-6995</t>
        </is>
      </c>
      <c r="D982" s="30" t="inlineStr">
        <is>
          <t>Red Wine</t>
        </is>
      </c>
      <c r="E982" s="30" t="inlineStr">
        <is>
          <t>Add-Ons</t>
        </is>
      </c>
      <c r="F982" s="30" t="inlineStr">
        <is>
          <t>Out of scope</t>
        </is>
      </c>
      <c r="G982" s="30" t="inlineStr">
        <is>
          <t>Scope rules</t>
        </is>
      </c>
      <c r="H982" s="30" t="inlineStr">
        <is>
          <t>Excluded: status N</t>
        </is>
      </c>
      <c r="I982" s="30" t="inlineStr">
        <is>
          <t>Status N (inactive) in the recipe master</t>
        </is>
      </c>
      <c r="J982" s="30" t="inlineStr">
        <is>
          <t>Scope rules</t>
        </is>
      </c>
      <c r="K982" s="30" t="n"/>
    </row>
    <row r="983" ht="32.8" customHeight="1" s="24">
      <c r="A983" s="28" t="n"/>
      <c r="B983" s="30" t="n"/>
      <c r="C983" s="30" t="inlineStr">
        <is>
          <t>AU-ADD-SPARKLING-WINE-5495</t>
        </is>
      </c>
      <c r="D983" s="30" t="inlineStr">
        <is>
          <t>Sparkling White Wine</t>
        </is>
      </c>
      <c r="E983" s="30" t="inlineStr">
        <is>
          <t>Add-Ons</t>
        </is>
      </c>
      <c r="F983" s="30" t="inlineStr">
        <is>
          <t>Out of scope</t>
        </is>
      </c>
      <c r="G983" s="30" t="inlineStr">
        <is>
          <t>Scope rules</t>
        </is>
      </c>
      <c r="H983" s="30" t="inlineStr">
        <is>
          <t>Excluded: status N</t>
        </is>
      </c>
      <c r="I983" s="30" t="inlineStr">
        <is>
          <t>Status N (inactive) in the recipe master</t>
        </is>
      </c>
      <c r="J983" s="30" t="inlineStr">
        <is>
          <t>Scope rules</t>
        </is>
      </c>
      <c r="K983" s="30" t="n"/>
    </row>
    <row r="984" ht="22.35" customHeight="1" s="24">
      <c r="A984" s="28" t="n"/>
      <c r="B984" s="30" t="n"/>
      <c r="C984" s="30" t="inlineStr">
        <is>
          <t>AU-ADD-TEDDY-BEAR-995</t>
        </is>
      </c>
      <c r="D984" s="30" t="inlineStr">
        <is>
          <t>Teddy Bear</t>
        </is>
      </c>
      <c r="E984" s="30" t="inlineStr">
        <is>
          <t>Add-Ons</t>
        </is>
      </c>
      <c r="F984" s="30" t="inlineStr">
        <is>
          <t>Out of scope</t>
        </is>
      </c>
      <c r="G984" s="30" t="inlineStr">
        <is>
          <t>Scope rules</t>
        </is>
      </c>
      <c r="H984" s="30" t="inlineStr">
        <is>
          <t>Excluded: status N</t>
        </is>
      </c>
      <c r="I984" s="30" t="inlineStr">
        <is>
          <t>Status N (inactive) in the recipe master</t>
        </is>
      </c>
      <c r="J984" s="30" t="inlineStr">
        <is>
          <t>Scope rules</t>
        </is>
      </c>
      <c r="K984" s="30" t="n"/>
    </row>
    <row r="985" ht="22.35" customHeight="1" s="24">
      <c r="A985" s="28" t="n"/>
      <c r="B985" s="30" t="n"/>
      <c r="C985" s="30" t="inlineStr">
        <is>
          <t>AU-ADD-WB-RED-WINE-4495</t>
        </is>
      </c>
      <c r="D985" s="30" t="inlineStr">
        <is>
          <t>Wolf Blass Red Wine</t>
        </is>
      </c>
      <c r="E985" s="30" t="inlineStr">
        <is>
          <t>Add-Ons</t>
        </is>
      </c>
      <c r="F985" s="30" t="inlineStr">
        <is>
          <t>Out of scope</t>
        </is>
      </c>
      <c r="G985" s="30" t="inlineStr">
        <is>
          <t>Scope rules</t>
        </is>
      </c>
      <c r="H985" s="30" t="inlineStr">
        <is>
          <t>Excluded: status N</t>
        </is>
      </c>
      <c r="I985" s="30" t="inlineStr">
        <is>
          <t>Status N (inactive) in the recipe master</t>
        </is>
      </c>
      <c r="J985" s="30" t="inlineStr">
        <is>
          <t>Scope rules</t>
        </is>
      </c>
      <c r="K985" s="30" t="n"/>
    </row>
    <row r="986" ht="32.8" customHeight="1" s="24">
      <c r="A986" s="28" t="n"/>
      <c r="B986" s="30" t="n"/>
      <c r="C986" s="30" t="inlineStr">
        <is>
          <t>AU-ADD-WB-WHITE-WINE-4495</t>
        </is>
      </c>
      <c r="D986" s="30" t="inlineStr">
        <is>
          <t>Wolf Blass White Wine</t>
        </is>
      </c>
      <c r="E986" s="30" t="inlineStr">
        <is>
          <t>Add-Ons</t>
        </is>
      </c>
      <c r="F986" s="30" t="inlineStr">
        <is>
          <t>Out of scope</t>
        </is>
      </c>
      <c r="G986" s="30" t="inlineStr">
        <is>
          <t>Scope rules</t>
        </is>
      </c>
      <c r="H986" s="30" t="inlineStr">
        <is>
          <t>Excluded: status N</t>
        </is>
      </c>
      <c r="I986" s="30" t="inlineStr">
        <is>
          <t>Status N (inactive) in the recipe master</t>
        </is>
      </c>
      <c r="J986" s="30" t="inlineStr">
        <is>
          <t>Scope rules</t>
        </is>
      </c>
      <c r="K986" s="30" t="n"/>
    </row>
    <row r="987" ht="22.35" customHeight="1" s="24">
      <c r="A987" s="28" t="n"/>
      <c r="B987" s="30" t="n"/>
      <c r="C987" s="30" t="inlineStr">
        <is>
          <t>AU-ADD-WHITE-WINE-4495</t>
        </is>
      </c>
      <c r="D987" s="30" t="inlineStr">
        <is>
          <t>White Wine</t>
        </is>
      </c>
      <c r="E987" s="30" t="inlineStr">
        <is>
          <t>Add-Ons</t>
        </is>
      </c>
      <c r="F987" s="30" t="inlineStr">
        <is>
          <t>Out of scope</t>
        </is>
      </c>
      <c r="G987" s="30" t="inlineStr">
        <is>
          <t>Scope rules</t>
        </is>
      </c>
      <c r="H987" s="30" t="inlineStr">
        <is>
          <t>Excluded: status N</t>
        </is>
      </c>
      <c r="I987" s="30" t="inlineStr">
        <is>
          <t>Status N (inactive) in the recipe master</t>
        </is>
      </c>
      <c r="J987" s="30" t="inlineStr">
        <is>
          <t>Scope rules</t>
        </is>
      </c>
      <c r="K987" s="30" t="n"/>
    </row>
    <row r="988" ht="15" customHeight="1" s="24">
      <c r="A988" s="28" t="n"/>
      <c r="B988" s="30" t="n"/>
      <c r="C988" s="30" t="inlineStr">
        <is>
          <t>AURP-COMBO</t>
        </is>
      </c>
      <c r="D988" s="30" t="inlineStr">
        <is>
          <t>Vase &amp; Card Combo</t>
        </is>
      </c>
      <c r="E988" s="30" t="inlineStr">
        <is>
          <t>Add-Ons</t>
        </is>
      </c>
      <c r="F988" s="30" t="inlineStr">
        <is>
          <t>Out of scope</t>
        </is>
      </c>
      <c r="G988" s="30" t="inlineStr">
        <is>
          <t>Scope rules</t>
        </is>
      </c>
      <c r="H988" s="30" t="inlineStr">
        <is>
          <t>Excluded: status N</t>
        </is>
      </c>
      <c r="I988" s="30" t="inlineStr">
        <is>
          <t>Status N (inactive) in the recipe master</t>
        </is>
      </c>
      <c r="J988" s="30" t="inlineStr">
        <is>
          <t>Scope rules</t>
        </is>
      </c>
      <c r="K988" s="30" t="n"/>
    </row>
    <row r="989" ht="15" customHeight="1" s="24">
      <c r="A989" s="28" t="n"/>
      <c r="B989" s="30" t="n"/>
      <c r="C989" s="30" t="inlineStr">
        <is>
          <t>AURP02-40</t>
        </is>
      </c>
      <c r="D989" s="30" t="inlineStr">
        <is>
          <t>Red Vase</t>
        </is>
      </c>
      <c r="E989" s="30" t="inlineStr">
        <is>
          <t>Add-Ons</t>
        </is>
      </c>
      <c r="F989" s="30" t="inlineStr">
        <is>
          <t>Out of scope</t>
        </is>
      </c>
      <c r="G989" s="30" t="inlineStr">
        <is>
          <t>Scope rules</t>
        </is>
      </c>
      <c r="H989" s="30" t="inlineStr">
        <is>
          <t>Excluded: status N</t>
        </is>
      </c>
      <c r="I989" s="30" t="inlineStr">
        <is>
          <t>Status N (inactive) in the recipe master</t>
        </is>
      </c>
      <c r="J989" s="30" t="inlineStr">
        <is>
          <t>Scope rules</t>
        </is>
      </c>
      <c r="K989" s="30" t="n"/>
    </row>
  </sheetData>
  <autoFilter ref="A4:K989"/>
  <mergeCells count="1">
    <mergeCell ref="A2:K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H6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8" customWidth="1" style="23" min="1" max="1"/>
    <col width="10" customWidth="1" style="23" min="2" max="2"/>
    <col width="70" customWidth="1" style="23" min="3" max="3"/>
    <col width="26" customWidth="1" style="23" min="4" max="4"/>
    <col width="48" customWidth="1" style="23" min="5" max="6"/>
    <col width="60" customWidth="1" style="23" min="7" max="8"/>
  </cols>
  <sheetData>
    <row r="1" ht="15" customHeight="1" s="24">
      <c r="A1" s="35" t="inlineStr">
        <is>
          <t>AU product descriptions v10: summary (counts are live formulas)</t>
        </is>
      </c>
    </row>
    <row r="3" ht="15" customHeight="1" s="24">
      <c r="A3" s="36" t="inlineStr">
        <is>
          <t>A. Ashraf concerns and how each was handled</t>
        </is>
      </c>
      <c r="B3" s="36" t="inlineStr">
        <is>
          <t>SKUs</t>
        </is>
      </c>
      <c r="C3" s="36" t="inlineStr">
        <is>
          <t>How it was handled</t>
        </is>
      </c>
      <c r="D3" s="36" t="inlineStr">
        <is>
          <t>Where to check</t>
        </is>
      </c>
      <c r="E3" s="37" t="inlineStr">
        <is>
          <t>Questions alejandro</t>
        </is>
      </c>
      <c r="F3" s="37" t="inlineStr">
        <is>
          <t>Question 2</t>
        </is>
      </c>
      <c r="G3" s="38" t="inlineStr">
        <is>
          <t>My response to column E</t>
        </is>
      </c>
      <c r="H3" s="38" t="inlineStr">
        <is>
          <t>My response to column F</t>
        </is>
      </c>
    </row>
    <row r="4" ht="109.5" customHeight="1" s="24">
      <c r="A4" s="26" t="inlineStr">
        <is>
          <t>1 Recipe accuracy (12 rows on the old hold list)</t>
        </is>
      </c>
      <c r="B4" s="39">
        <f>COUNTIF(log!$H$5:$H$989,"Gate: was on the hold list, now handled by rule")</f>
        <v/>
      </c>
      <c r="C4" s="26" t="inlineStr">
        <is>
          <t>Nothing is held. Every old gate-hold row is now either fixed in a Joomla import file, listed under a Flag Jarrod class, or resolved by the live export (AU112-90, AUFS-11, AU111-41).</t>
        </is>
      </c>
      <c r="D4" s="26" t="inlineStr">
        <is>
          <t>log</t>
        </is>
      </c>
      <c r="E4" s="40" t="inlineStr">
        <is>
          <t xml:space="preserve">Yes fix the greenery following the caps, notify. Notify Jarrod, create a list of these products. </t>
        </is>
      </c>
      <c r="F4" s="40" t="inlineStr">
        <is>
          <t xml:space="preserve">From this document I should find, differences beetween the master sheet and the recipes loaded in Joomla. 2) I should see differences bettween the titles and the recipes (linguistic) Label and use colors for those problems (Use an additional label if the issue comes from Jarrod file or  if it was there before). </t>
        </is>
      </c>
      <c r="G4" s="41" t="inlineStr">
        <is>
          <t>Yes, fixed in the Joomla files. The cap values have never been given (the Doc says so), so the additions are proposals by sibling pattern: Ruscus Israeli 1/1/2/2 on MJ100-17 and MJ100-07 (as MJ100-48), 2/3/3/4 on DC-02A and 2/2/3/3 on DC112-01A (as AUDC-01 and DC-03A). Joomla_import_1 (MJ100-17) and Joomla_import_2. Jarrod list: class Flag Jarrod: greenery.</t>
        </is>
      </c>
      <c r="H4" s="41" t="inlineStr">
        <is>
          <t>1) Master vs Joomla: class 'Live differs from master' (9 SKUs). 2) Titles vs recipes: classes 'Flag Jarrod: ...' and 'Title vs recipe (linguistic)' (a flower named in the title that the recipe lacks). The 'Origin of the problem' column and its colour tell you whether it comes from Jarrod's file (orange), the master or live (blue), Ashraf's file (purple) or the Joomla export (green).</t>
        </is>
      </c>
    </row>
    <row r="5" ht="109.5" customHeight="1" s="24">
      <c r="A5" s="26" t="inlineStr">
        <is>
          <t>1b Mason jar missing (MJ100-17, MJ11-57, MJ102-53, AUMJ100-05)</t>
        </is>
      </c>
      <c r="B5" s="39">
        <f>COUNTIF(log!$F$5:$F$989,"Flag Jarrod: mason jar")</f>
        <v/>
      </c>
      <c r="C5" s="26" t="inlineStr">
        <is>
          <t>Mason Jar x1 added to every size that has a recipe: Joomla_import_1. List = class Flag Jarrod: mason jar.</t>
        </is>
      </c>
      <c r="D5" s="26" t="inlineStr">
        <is>
          <t>log; Joomla_import_1</t>
        </is>
      </c>
      <c r="E5" s="40" t="inlineStr">
        <is>
          <t>If the product says mason jar (verify that has it in the recipe) or at least a substitution. If not add it to the master, (and create a second joomla export with only the products with the fixies (meaning adding the 4 prodcuts that don't have a reciient in the list of ingredients (a document identically to export)</t>
        </is>
      </c>
      <c r="F5" s="40" t="inlineStr">
        <is>
          <t>Create a separated list with these 4 products</t>
        </is>
      </c>
      <c r="G5" s="41" t="inlineStr">
        <is>
          <t>Done: jar added in Joomla_import_1_mason_jar_v1 (MJ11-57, MJ102-53, AUMJ100-05, MJ100-17) in the identical export format. The Mason Jar (ING-1212, $0.50) is carried, so no substitution was needed. Jarrod's Standard has no jar on any of the four.</t>
        </is>
      </c>
      <c r="H5" s="41" t="inlineStr">
        <is>
          <t>List created: class 'Flag Jarrod: mason jar' (4 rows) in the log and in AU-Recipe-Fixes-v1-control.xlsx.</t>
        </is>
      </c>
    </row>
    <row r="6" ht="109.5" customHeight="1" s="24">
      <c r="A6" s="26" t="inlineStr">
        <is>
          <t>1c Title colours (AU1211-04, AU1111-04, AU219-40, AU199-07)</t>
        </is>
      </c>
      <c r="B6" s="39">
        <f>COUNTIF(log!$F$5:$F$989,"Flag Jarrod: colour (title says two, recipe has one)")</f>
        <v/>
      </c>
      <c r="C6" s="26" t="inlineStr">
        <is>
          <t>Same-price swaps in Joomla_import_3 (AU199-07 is not a recipe problem: its green is the ruscus).</t>
        </is>
      </c>
      <c r="D6" s="26" t="inlineStr">
        <is>
          <t>log; Joomla_import_3</t>
        </is>
      </c>
      <c r="E6" s="40" t="inlineStr">
        <is>
          <t xml:space="preserve">IF it's color,(first confirm if this wasn't fixed in the recipe by Jarrod) If not, fix it in the master, and create a list, usually we have the colors. Verify wit the list of ingerdients, if it has a substitution or the item is listed, then replace and if it has the same price)  then create a separated product export for Joomla with only these products, and add them to other list  as the past concernt. </t>
        </is>
      </c>
      <c r="F6" s="40" t="inlineStr">
        <is>
          <t>Verify prices, fix the master, create a product export with only those product for joomla, and create a list with this 4 products</t>
        </is>
      </c>
      <c r="G6" s="41" t="inlineStr">
        <is>
          <t>Checked first: Jarrod did not fix them (his Standard: AU1211-04 24 yellow, AU1111-04 24 white, AU219-40 no pink). Replacements are carried and same price: Roses Red = Roses Yellow ($1.30), Roses light pink = Roses White = Roses Yellow ($1.30), Mini Carnations Pink = Red ($0.95). AU1211-04 and AU1111-04 are split half and half in every size; AU219-40 swaps Roses Yellow for Roses light pink and Mini Carnations Red for Pink. Joomla_import_3_colours_v1 holds only these 3. AU199-07 is not a recipe problem (its green is 10 stems of ruscus, live N).</t>
        </is>
      </c>
      <c r="H6" s="41" t="inlineStr">
        <is>
          <t>Prices verified: the swaps are price-neutral, so the ING price does not move. Jar and greenery additions add cost: the Before-After tab of the control file shows the estimate per size (AU-Cost prices; Joomla recomputes on import). Retail prices are not changed. List of the colour products: class 'Flag Jarrod: colour'.</t>
        </is>
      </c>
    </row>
    <row r="7" ht="109.5" customHeight="1" s="24">
      <c r="A7" s="26" t="inlineStr">
        <is>
          <t>1d Title count (AU11-30 says 6, recipe 12)</t>
        </is>
      </c>
      <c r="B7" s="39">
        <f>COUNTIF(log!$F$5:$F$989,"Flag Jarrod: title count")</f>
        <v/>
      </c>
      <c r="C7" s="26" t="inlineStr">
        <is>
          <t>Standard set to 6 in Joomla_import_4; Jarrod to be told (Petite is also 6).</t>
        </is>
      </c>
      <c r="D7" s="26" t="inlineStr">
        <is>
          <t>log; Joomla_import_4</t>
        </is>
      </c>
      <c r="E7" s="40" t="inlineStr">
        <is>
          <t>Standar Must have 6 roses. Flagg, fix the recipe, notify jarrod, remind this and add it alon e in other list.</t>
        </is>
      </c>
      <c r="G7" s="41" t="inlineStr">
        <is>
          <t>Done: AU11-30 Standard set from 12 to 6 roses in Joomla_import_4_title_count_v1 (alone in its own file). Reminder for Jarrod: Petite is also 6, so Petite and Standard are now equal; Deluxe 18 and Supersize 24 are unchanged. It is in the Flag Jarrod: title count list.</t>
        </is>
      </c>
    </row>
    <row r="8" ht="109.5" customHeight="1" s="24">
      <c r="A8" s="26" t="inlineStr">
        <is>
          <t>1e Wine and truffles in AUFS-11</t>
        </is>
      </c>
      <c r="B8" s="39">
        <f>COUNTIF(log!$H$5:$H$989,"Flag for Jarrod (confirm wine and truffles in the Classic build)")</f>
        <v/>
      </c>
      <c r="C8" s="26" t="inlineStr">
        <is>
          <t>Live already has both: confirm label removed. 18+ notice kept.</t>
        </is>
      </c>
      <c r="D8" s="26" t="inlineStr">
        <is>
          <t>log, class Label removed</t>
        </is>
      </c>
      <c r="E8" s="40" t="inlineStr">
        <is>
          <t>Keep the 18+ notice on the four wine products (AU115-12, AUFS-10, AUFS-11 and AUFS-12).</t>
        </is>
      </c>
      <c r="F8" s="40" t="inlineStr">
        <is>
          <t>For all product descriptions with wine, (sabve this to the product description skill and update the artifact with instructions). Confirm if if we're having this artifact updated with all skills. Thisshould be updated in the artifact(https://claude.ai/artifact/14z2sKE33yXsoV5Z9EmYjH?sk=YMx0fnVdrPONIKfGPgpEJw#793324ab-7e56) and in the AUS master skill (that could use this artifact to function to read the ruless</t>
        </is>
      </c>
      <c r="G8" s="41" t="inlineStr">
        <is>
          <t>Kept: 18+ notice on AU115-12, AUFS-10, AUFS-11 and AUFS-12 in every brand text.</t>
        </is>
      </c>
      <c r="H8" s="41" t="inlineStr">
        <is>
          <t>Saved: the rule now covers every product whose recipe has wine (64 live products, list in the log, class Wine products: 18+ notice). Written into the MD (rule D3 and D3b), both skills and the Doc. To your question: I updated the rules artifact (4X1LU...) every round, but I had never edited the Claude Doc 'AU Pricing Rules' (14z2...) before this round; both are now updated from the same MD. AUFS-12's current text has no notice: it is in the wine list.</t>
        </is>
      </c>
    </row>
    <row r="9" ht="109.5" customHeight="1" s="24">
      <c r="A9" s="26" t="inlineStr">
        <is>
          <t>1f Blooms in the title vs stems in the recipe</t>
        </is>
      </c>
      <c r="B9" s="39">
        <f>COUNTIF(log!$H$5:$H$989,"C7 Title blooms vs stems")</f>
        <v/>
      </c>
      <c r="C9" s="26" t="inlineStr">
        <is>
          <t>Intentional strategy (titles count blooms, recipes count stems): labels removed, rule C7 deleted.</t>
        </is>
      </c>
      <c r="D9" s="26" t="inlineStr">
        <is>
          <t>log</t>
        </is>
      </c>
      <c r="E9" s="40" t="inlineStr">
        <is>
          <t xml:space="preserve">Ignore this, we use blooms because it looks like more, and we deliver stems because is how we calculate. It's not a contradiction it's a strategy. </t>
        </is>
      </c>
      <c r="G9" s="41" t="inlineStr">
        <is>
          <t>Understood and applied: blooms-vs-stems labels removed and the C7 rule deleted. Rule C7 now reads: titles count blooms and recipes count stems on purpose, never flag it.</t>
        </is>
      </c>
    </row>
    <row r="10" ht="109.5" customHeight="1" s="24">
      <c r="A10" s="26" t="inlineStr">
        <is>
          <t>2 Missing vase or jar (AUSC-02/03/04, LF15-10C, AUSTRT-02/03)</t>
        </is>
      </c>
      <c r="B10" s="39">
        <f>COUNTIF(log!$H$5:$H$989,"Gate: Vase mention")+COUNTIF(log!$H$5:$H$989,"Gate: Jar mention")</f>
        <v/>
      </c>
      <c r="C10" s="26" t="inlineStr">
        <is>
          <t>Master and live already have the line; every brand text names it.</t>
        </is>
      </c>
      <c r="D10" s="26" t="inlineStr">
        <is>
          <t>Products</t>
        </is>
      </c>
      <c r="E10" s="40" t="inlineStr">
        <is>
          <t>If master has the line (do I have to notify Jarrod) was this in jarrod's list? What's the difference with 1b mason jar missing. If they're the same add the mason jar (which is more polular and cheaper instead of a vase) The vase is best sold by separated</t>
        </is>
      </c>
      <c r="G10" s="41" t="inlineStr">
        <is>
          <t>Not the same as 1b. 1b = the recipe has no jar. Item 2 = the recipe already has the vase or the jar (red vase on AUSC-02/03/04 and LF15-10C, mason jar on AUSTRT-02/03) and only the text had to name it, so there is nothing to notify. They are in the live recipes. New rule C9: when a container is missing add the Mason Jar (cheaper and more popular); vases are sold separately as add-ons. I did not replace any existing vase.</t>
        </is>
      </c>
    </row>
    <row r="11" ht="61.5" customHeight="1" s="24">
      <c r="A11" s="26" t="inlineStr">
        <is>
          <t>3 Sending Solace moved to sympathy</t>
        </is>
      </c>
      <c r="B11" s="39">
        <f>COUNTIF(log!$H$5:$H$989,"Gate: moved to sympathy line")</f>
        <v/>
      </c>
      <c r="C11" s="26" t="inlineStr">
        <is>
          <t>Sympathy tribute line / calm wording.</t>
        </is>
      </c>
      <c r="D11" s="26" t="inlineStr">
        <is>
          <t>Products</t>
        </is>
      </c>
      <c r="E11" s="40" t="inlineStr">
        <is>
          <t>OK</t>
        </is>
      </c>
    </row>
    <row r="12" ht="109.5" customHeight="1" s="24">
      <c r="A12" s="26" t="inlineStr">
        <is>
          <t>4 Brand voice (Bloomex AU texts inside 30-45 words)</t>
        </is>
      </c>
      <c r="B12" s="39">
        <f>COUNTIFS(Products!$N$2:$N$345,"&gt;=30",Products!$N$2:$N$345,"&lt;=45")</f>
        <v/>
      </c>
      <c r="C12" s="26" t="inlineStr">
        <is>
          <t>Voice codes V1-V19 now live in the MD (Part 4). Bunches and Stems lines rewritten.</t>
        </is>
      </c>
      <c r="D12" s="26" t="inlineStr">
        <is>
          <t>Products col N</t>
        </is>
      </c>
      <c r="E12" s="40" t="inlineStr">
        <is>
          <t xml:space="preserve">As the rest of the conditions caps and isntructions create a code for the instructions of brands voice, based iin Ashraf independent request, and the brand voice document creaetd before. </t>
        </is>
      </c>
      <c r="G12" s="41" t="inlineStr">
        <is>
          <t>Done: voice codes V1 to V19 in the MD (Part 4), built from the brand voice report and Ashraf's request (no delivery or price claims, numerals, 18+ wording rule). The skills load them from the MD.</t>
        </is>
      </c>
    </row>
    <row r="13" ht="61.5" customHeight="1" s="24">
      <c r="A13" s="26" t="inlineStr">
        <is>
          <t>5 All-white chrysanthemum designs</t>
        </is>
      </c>
      <c r="B13" s="39">
        <f>COUNTIF(log!$H$5:$H$989,"Gate: voice (all-white chrysanthemum)")+COUNTIF(log!$H$5:$H$989,"Voice: all-white chrysanthemum design")</f>
        <v/>
      </c>
      <c r="C13" s="26" t="inlineStr">
        <is>
          <t>Neutral occasions used; Ashraf decides the two named rows.</t>
        </is>
      </c>
      <c r="D13" s="26" t="inlineStr">
        <is>
          <t>log</t>
        </is>
      </c>
    </row>
    <row r="14" ht="109.5" customHeight="1" s="24">
      <c r="A14" s="26" t="inlineStr">
        <is>
          <t>6 Designer wording / 'stemss' / native</t>
        </is>
      </c>
      <c r="B14" s="39">
        <f>COUNTIF(log!$H$5:$H$989,"Gate: designer wording applied")</f>
        <v/>
      </c>
      <c r="C14" s="26" t="inlineStr">
        <is>
          <t>Stem count + florist's choice + illustrative picture. Greenery added to the 2 DC products that had none (Joomla_import_2); final DC recipes in the control file.</t>
        </is>
      </c>
      <c r="D14" s="26" t="inlineStr">
        <is>
          <t>Products; control file</t>
        </is>
      </c>
      <c r="E14" s="40" t="inlineStr">
        <is>
          <t xml:space="preserve">Remember me flag Jarod Include the greenery if possible using the cap and greenery instructions, (create a separated file to update joomla) and other Master for designer collections how the final recipe would look like (this view should have the SKU the product title and the recipe for each variant in different columns.  Other tab with the recipe look like before and after the fixing for each variant same labeled (1 row per SKU) different columns (use different colors) </t>
        </is>
      </c>
      <c r="G14" s="41" t="inlineStr">
        <is>
          <t>Done: Greenery added to DC-02A and DC112-01A, the only two DC products without any (Joomla_import_2_greenery_v1). Control file AU-Recipe-Fixes-v1-control.xlsx: tab Final recipes = SKU, title and the final recipe per variant for all 36 DC products; tab Before-After = one row per SKU with BEFORE (red) and AFTER (green) columns per variant plus what was added, removed and changed. Flag Jarrod: greenery list is in both files.</t>
        </is>
      </c>
    </row>
    <row r="15" ht="109.5" customHeight="1" s="24">
      <c r="A15" s="26" t="inlineStr">
        <is>
          <t>7 18+ notice</t>
        </is>
      </c>
      <c r="B15" s="39">
        <f>COUNTIF(log!$F$5:$F$989,"Wine products: 18+ notice")</f>
        <v/>
      </c>
      <c r="C15" s="26" t="inlineStr">
        <is>
          <t>Applies to every product with wine in the recipe (list = class Wine products: 18+ notice). Legal wording first.</t>
        </is>
      </c>
      <c r="D15" s="26" t="inlineStr">
        <is>
          <t>log</t>
        </is>
      </c>
      <c r="E15" s="40" t="inlineStr">
        <is>
          <t xml:space="preserve">The warning should either first follow legal instructions or 2) be adapted by each brand voice, create a separated list of these products. All lists that I requested should be in the master file with the instructions (What the artifact has) as updated as possible and its log. </t>
        </is>
      </c>
      <c r="G15" s="41" t="inlineStr">
        <is>
          <t>Legal wording first, verbatim as live: 'Disclaimer – Purchaser must be 18 years old or over to purchase this product. The recipient, by law, must be at least 18 years of age, with proof of age.' A brand-voice adaptation is only a proposal until legal agrees; proposals are in the MD (rule D3b). List of wine products: class 'Wine products: 18+ notice'.</t>
        </is>
      </c>
    </row>
    <row r="16" ht="109.5" customHeight="1" s="24">
      <c r="A16" s="26" t="inlineStr">
        <is>
          <t>8 Not on the live storefront</t>
        </is>
      </c>
      <c r="B16" s="39">
        <f>COUNTIF(Products!$D$2:$D$345,"CONFIRM STATUS")</f>
        <v/>
      </c>
      <c r="C16" s="26" t="inlineStr">
        <is>
          <t>Only AU11-14 is live N on 7 Oct.</t>
        </is>
      </c>
      <c r="D16" s="26" t="inlineStr">
        <is>
          <t>log</t>
        </is>
      </c>
      <c r="E16" s="40" t="inlineStr">
        <is>
          <t>What happened with these products? Keep my questions in this file, repond in additional columns.</t>
        </is>
      </c>
      <c r="G16" s="41" t="inlineStr">
        <is>
          <t>AU11-14 is still live N in the 7 Oct export. AU100-71, AU112-56 and AU216-63 are live Y on 7 Oct, so I removed their label. I cannot see why they were reported missing on 6 Oct (re-activated in Joomla, or the storefront check differed from the Joomla status).</t>
        </is>
      </c>
    </row>
    <row r="17" ht="109.5" customHeight="1" s="24">
      <c r="A17" s="26" t="inlineStr">
        <is>
          <t>9 Identical copy on two pages</t>
        </is>
      </c>
      <c r="B17" s="39">
        <f>COUNTIF(log!$F$5:$F$989,"Copy: identical text")</f>
        <v/>
      </c>
      <c r="C17" s="26" t="inlineStr">
        <is>
          <t>Phrasing variants; remaining pairs are listed.</t>
        </is>
      </c>
      <c r="D17" s="26" t="inlineStr">
        <is>
          <t>log</t>
        </is>
      </c>
      <c r="E17" s="40" t="inlineStr">
        <is>
          <t>Make a little bit more engagin and spiring the descriptionffor bucnhes and steams</t>
        </is>
      </c>
      <c r="G17" s="41" t="inlineStr">
        <is>
          <t>Done: Bunches and Stems closing lines rewritten to be warmer and more inspiring while staying dry and claim-free, e.g. 'Brings the colour in before anyone has said hello.' and 'Some things need no speech. Put these on the table and the message is delivered.'</t>
        </is>
      </c>
    </row>
    <row r="18" ht="109.5" customHeight="1" s="24">
      <c r="E18" s="40" t="inlineStr">
        <is>
          <t xml:space="preserve">at the end I need independent list of products to flag jarrod (those that don't have mason jar, those that the recipe still include only one colorthogh the name says 2) etc, and thos that don't have greenery. (I will create the file with the fixes for these problems ) with independent files to upload in jooomla (that modifies only the products to update) equaliy formated. </t>
        </is>
      </c>
      <c r="G18" s="41" t="inlineStr">
        <is>
          <t>Delivered: independent Flag Jarrod lists (classes in the log and in the control file) and five Joomla import files, each only the products to update, format identical to the export (checked by round trip). Nothing overlaps, so uploading all five in any order is safe.</t>
        </is>
      </c>
    </row>
    <row r="20" ht="15" customHeight="1" s="24">
      <c r="A20" s="36" t="inlineStr">
        <is>
          <t>B. Rules and conditions (full text in the MD, Part 1 to 5)</t>
        </is>
      </c>
      <c r="B20" s="36" t="inlineStr">
        <is>
          <t>SKUs</t>
        </is>
      </c>
      <c r="C20" s="36" t="inlineStr">
        <is>
          <t>Rule</t>
        </is>
      </c>
    </row>
    <row r="21" ht="33.75" customHeight="1" s="24">
      <c r="A21" s="26" t="inlineStr">
        <is>
          <t>C1 One container per product</t>
        </is>
      </c>
      <c r="B21" s="39">
        <f>COUNTIF(log!$H$5:$H$989,"C1*")+COUNTIF(log!$F$5:$F$989,"Flag Jarrod: container / quantity")</f>
        <v/>
      </c>
      <c r="C21" s="26" t="inlineStr">
        <is>
          <t>One container only; a Mason Jar title always gets the jar (added, Jarrod notified). Container list = Flag Jarrod: container.</t>
        </is>
      </c>
    </row>
    <row r="22" ht="33.75" customHeight="1" s="24">
      <c r="A22" s="26" t="inlineStr">
        <is>
          <t>C2 Title count</t>
        </is>
      </c>
      <c r="B22" s="39">
        <f>COUNTIF(log!$H$5:$H$989,"title count")</f>
        <v/>
      </c>
      <c r="C22" s="26" t="inlineStr">
        <is>
          <t>Standard follows the title count.</t>
        </is>
      </c>
    </row>
    <row r="23" ht="33.75" customHeight="1" s="24">
      <c r="A23" s="26" t="inlineStr">
        <is>
          <t>C3 Title colours</t>
        </is>
      </c>
      <c r="B23" s="39">
        <f>COUNTIF(log!$H$5:$H$989,"colour*")</f>
        <v/>
      </c>
      <c r="C23" s="26" t="inlineStr">
        <is>
          <t>Title colours must exist in the recipe; same-price swaps; half and half for X and Y roses.</t>
        </is>
      </c>
    </row>
    <row r="24" ht="33.75" customHeight="1" s="24">
      <c r="A24" s="26" t="inlineStr">
        <is>
          <t>C5 Not carried ($0)</t>
        </is>
      </c>
      <c r="B24" s="39">
        <f>COUNTIF(log!$H$5:$H$989,"Gate: Item not carried*")</f>
        <v/>
      </c>
      <c r="C24" s="26" t="inlineStr">
        <is>
          <t>Removed, never replaced (I4).</t>
        </is>
      </c>
    </row>
    <row r="25" ht="33.75" customHeight="1" s="24">
      <c r="A25" s="26" t="inlineStr">
        <is>
          <t>C7 Blooms vs stems</t>
        </is>
      </c>
      <c r="B25" s="39">
        <f>COUNTIF(log!$H$5:$H$989,"C7*")</f>
        <v/>
      </c>
      <c r="C25" s="26" t="inlineStr">
        <is>
          <t>Strategy, never flagged (labels removed).</t>
        </is>
      </c>
    </row>
    <row r="26" ht="33.75" customHeight="1" s="24">
      <c r="A26" s="26" t="inlineStr">
        <is>
          <t>C9 Container to add</t>
        </is>
      </c>
      <c r="B26" s="39">
        <f>COUNTIF(log!$H$5:$H$989,"mason jar")</f>
        <v/>
      </c>
      <c r="C26" s="26" t="inlineStr">
        <is>
          <t>Add the Mason Jar, not a vase.</t>
        </is>
      </c>
    </row>
    <row r="27" ht="33.75" customHeight="1" s="24">
      <c r="A27" s="26" t="inlineStr">
        <is>
          <t>D1 Descriptions skip greenery and secondary flowers</t>
        </is>
      </c>
      <c r="B27" s="39">
        <f>COUNTA(Products!$A$2:$A$345)</f>
        <v/>
      </c>
      <c r="C27" s="26" t="inlineStr">
        <is>
          <t>Exercise only.</t>
        </is>
      </c>
    </row>
    <row r="28" ht="33.75" customHeight="1" s="24">
      <c r="A28" s="26" t="inlineStr">
        <is>
          <t>D3 18+ notice (every wine recipe)</t>
        </is>
      </c>
      <c r="B28" s="39">
        <f>COUNTIF(log!$F$5:$F$989,"Wine products: 18+ notice")</f>
        <v/>
      </c>
      <c r="C28" s="26" t="inlineStr">
        <is>
          <t>Legal wording first; brand adaptation only after legal.</t>
        </is>
      </c>
    </row>
    <row r="29" ht="33.75" customHeight="1" s="24">
      <c r="A29" s="26" t="inlineStr">
        <is>
          <t>J1 Joomla import files</t>
        </is>
      </c>
      <c r="B29" s="39">
        <f>5</f>
        <v/>
      </c>
      <c r="C29" s="26" t="inlineStr">
        <is>
          <t>Only changed products, identical format, one product per file, retail price unchanged.</t>
        </is>
      </c>
    </row>
    <row r="30" ht="33.75" customHeight="1" s="24">
      <c r="A30" s="26" t="inlineStr">
        <is>
          <t>L1 Live check</t>
        </is>
      </c>
      <c r="B30" s="39">
        <f>COUNTIF(log!$F$5:$F$989,"Label removed*")</f>
        <v/>
      </c>
      <c r="C30" s="26" t="inlineStr">
        <is>
          <t>Labels contradicted by live are removed, never added.</t>
        </is>
      </c>
    </row>
    <row r="31" ht="33.75" customHeight="1" s="24">
      <c r="A31" s="26" t="inlineStr">
        <is>
          <t>PV1-PV6 Pricing verification</t>
        </is>
      </c>
      <c r="B31" s="39">
        <f>COUNTIF(log!$F$5:$F$989,"Rule added*")</f>
        <v/>
      </c>
      <c r="C31" s="26" t="inlineStr">
        <is>
          <t>From your pasted rules: $0 in AU-Cost master, ingredient mismatch, bigger size fewer items, smaller size higher or same price, not checked, scope.</t>
        </is>
      </c>
    </row>
    <row r="33" ht="15" customHeight="1" s="24">
      <c r="A33" s="36" t="inlineStr">
        <is>
          <t>C. Counts</t>
        </is>
      </c>
    </row>
    <row r="34" ht="15" customHeight="1" s="24">
      <c r="A34" s="35" t="inlineStr">
        <is>
          <t>SKUs reviewed</t>
        </is>
      </c>
      <c r="B34" s="39">
        <f>COUNTA(Products!$A$2:$A$345)</f>
        <v/>
      </c>
    </row>
    <row r="35" ht="15" customHeight="1" s="24">
      <c r="A35" s="26" t="inlineStr">
        <is>
          <t xml:space="preserve">  READY TO REVIEW</t>
        </is>
      </c>
      <c r="B35" s="39">
        <f>COUNTIF(Products!$D$2:$D$345,"READY TO REVIEW")</f>
        <v/>
      </c>
    </row>
    <row r="36" ht="15" customHeight="1" s="24">
      <c r="A36" s="26" t="inlineStr">
        <is>
          <t xml:space="preserve">  READY - NOTIFY JARROD</t>
        </is>
      </c>
      <c r="B36" s="39">
        <f>COUNTIF(Products!$D$2:$D$345,"READY - NOTIFY JARROD")</f>
        <v/>
      </c>
    </row>
    <row r="37" ht="15" customHeight="1" s="24">
      <c r="A37" s="26" t="inlineStr">
        <is>
          <t xml:space="preserve">  ADJUSTED - CONFIRM</t>
        </is>
      </c>
      <c r="B37" s="39">
        <f>COUNTIF(Products!$D$2:$D$345,"ADJUSTED - CONFIRM")</f>
        <v/>
      </c>
    </row>
    <row r="38" ht="15" customHeight="1" s="24">
      <c r="A38" s="26" t="inlineStr">
        <is>
          <t xml:space="preserve">  CONFIRM STATUS</t>
        </is>
      </c>
      <c r="B38" s="39">
        <f>COUNTIF(Products!$D$2:$D$345,"CONFIRM STATUS")</f>
        <v/>
      </c>
    </row>
    <row r="39" ht="15" customHeight="1" s="24">
      <c r="A39" s="26" t="inlineStr">
        <is>
          <t xml:space="preserve">  DECISION NEEDED</t>
        </is>
      </c>
      <c r="B39" s="39">
        <f>COUNTIF(Products!$D$2:$D$345,"DECISION NEEDED")</f>
        <v/>
      </c>
    </row>
    <row r="41" ht="15" customHeight="1" s="24">
      <c r="A41" s="36" t="inlineStr">
        <is>
          <t>Descriptions generated / auto-check ok</t>
        </is>
      </c>
    </row>
    <row r="42" ht="15" customHeight="1" s="24">
      <c r="A42" s="26" t="inlineStr">
        <is>
          <t xml:space="preserve">  Bloomex AU</t>
        </is>
      </c>
      <c r="B42" s="39">
        <f>COUNTIF(Products!$M$2:$M$345,"?*")-COUNTIF(Products!$M$2:$M$345,"n/a*")</f>
        <v/>
      </c>
      <c r="C42" s="26">
        <f>COUNTIF(Products!$P$2:$P$345,"ok")&amp;" ok"</f>
        <v/>
      </c>
    </row>
    <row r="43" ht="15" customHeight="1" s="24">
      <c r="A43" s="26" t="inlineStr">
        <is>
          <t xml:space="preserve">  Aussie Blooms</t>
        </is>
      </c>
      <c r="B43" s="39">
        <f>COUNTIF(Products!$Q$2:$Q$345,"?*")-COUNTIF(Products!$Q$2:$Q$345,"n/a*")</f>
        <v/>
      </c>
      <c r="C43" s="26">
        <f>COUNTIF(Products!$S$2:$S$345,"ok")&amp;" ok"</f>
        <v/>
      </c>
    </row>
    <row r="44" ht="15" customHeight="1" s="24">
      <c r="A44" s="26" t="inlineStr">
        <is>
          <t xml:space="preserve">  Bunches and Stems</t>
        </is>
      </c>
      <c r="B44" s="39">
        <f>COUNTIF(Products!$T$2:$T$345,"?*")-COUNTIF(Products!$T$2:$T$345,"n/a*")</f>
        <v/>
      </c>
      <c r="C44" s="26">
        <f>COUNTIF(Products!$V$2:$V$345,"ok")&amp;" ok"</f>
        <v/>
      </c>
    </row>
    <row r="45" ht="15" customHeight="1" s="24">
      <c r="A45" s="26" t="inlineStr">
        <is>
          <t xml:space="preserve">  Mel's Flowers</t>
        </is>
      </c>
      <c r="B45" s="39">
        <f>COUNTIF(Products!$X$2:$X$345,"?*")-COUNTIF(Products!$X$2:$X$345,"n/a*")</f>
        <v/>
      </c>
      <c r="C45" s="26">
        <f>COUNTIF(Products!$Z$2:$Z$345,"ok")&amp;" ok"</f>
        <v/>
      </c>
    </row>
    <row r="47" ht="15" customHeight="1" s="24">
      <c r="A47" s="36" t="inlineStr">
        <is>
          <t>Rows in the log list by class</t>
        </is>
      </c>
    </row>
    <row r="48" ht="15" customHeight="1" s="24">
      <c r="A48" s="26" t="inlineStr">
        <is>
          <t xml:space="preserve">  Flag Jarrod: mason jar</t>
        </is>
      </c>
      <c r="B48" s="39">
        <f>COUNTIF(log!$F$5:$F$989,"Flag Jarrod: mason jar")</f>
        <v/>
      </c>
    </row>
    <row r="49" ht="15" customHeight="1" s="24">
      <c r="A49" s="26" t="inlineStr">
        <is>
          <t xml:space="preserve">  Flag Jarrod: greenery</t>
        </is>
      </c>
      <c r="B49" s="39">
        <f>COUNTIF(log!$F$5:$F$989,"Flag Jarrod: greenery")</f>
        <v/>
      </c>
    </row>
    <row r="50" ht="15" customHeight="1" s="24">
      <c r="A50" s="26" t="inlineStr">
        <is>
          <t xml:space="preserve">  Flag Jarrod: colour (title says two, recipe has one)</t>
        </is>
      </c>
      <c r="B50" s="39">
        <f>COUNTIF(log!$F$5:$F$989,"Flag Jarrod: colour (title says two, recipe has one)")</f>
        <v/>
      </c>
    </row>
    <row r="51" ht="15" customHeight="1" s="24">
      <c r="A51" s="26" t="inlineStr">
        <is>
          <t xml:space="preserve">  Flag Jarrod: title count</t>
        </is>
      </c>
      <c r="B51" s="39">
        <f>COUNTIF(log!$F$5:$F$989,"Flag Jarrod: title count")</f>
        <v/>
      </c>
    </row>
    <row r="52" ht="15" customHeight="1" s="24">
      <c r="A52" s="26" t="inlineStr">
        <is>
          <t xml:space="preserve">  Flag Jarrod: container / quantity</t>
        </is>
      </c>
      <c r="B52" s="39">
        <f>COUNTIF(log!$F$5:$F$989,"Flag Jarrod: container / quantity")</f>
        <v/>
      </c>
    </row>
    <row r="53" ht="15" customHeight="1" s="24">
      <c r="A53" s="26" t="inlineStr">
        <is>
          <t xml:space="preserve">  Flag Jarrod: empty recipe on a priced size</t>
        </is>
      </c>
      <c r="B53" s="39">
        <f>COUNTIF(log!$F$5:$F$989,"Flag Jarrod: empty recipe on a priced size")</f>
        <v/>
      </c>
    </row>
    <row r="54" ht="15" customHeight="1" s="24">
      <c r="A54" s="26" t="inlineStr">
        <is>
          <t xml:space="preserve">  Recipe fix: notify Jarrod</t>
        </is>
      </c>
      <c r="B54" s="39">
        <f>COUNTIF(log!$F$5:$F$989,"Recipe fix: notify Jarrod")</f>
        <v/>
      </c>
    </row>
    <row r="55" ht="15" customHeight="1" s="24">
      <c r="A55" s="26" t="inlineStr">
        <is>
          <t xml:space="preserve">  Wine products: 18+ notice</t>
        </is>
      </c>
      <c r="B55" s="39">
        <f>COUNTIF(log!$F$5:$F$989,"Wine products: 18+ notice")</f>
        <v/>
      </c>
    </row>
    <row r="56" ht="15" customHeight="1" s="24">
      <c r="A56" s="26" t="inlineStr">
        <is>
          <t xml:space="preserve">  Title vs recipe (linguistic)</t>
        </is>
      </c>
      <c r="B56" s="39">
        <f>COUNTIF(log!$F$5:$F$989,"Title vs recipe (linguistic)")</f>
        <v/>
      </c>
    </row>
    <row r="57" ht="15" customHeight="1" s="24">
      <c r="A57" s="26" t="inlineStr">
        <is>
          <t xml:space="preserve">  Ashraf gate item</t>
        </is>
      </c>
      <c r="B57" s="39">
        <f>COUNTIF(log!$F$5:$F$989,"Ashraf gate item")</f>
        <v/>
      </c>
    </row>
    <row r="58" ht="15" customHeight="1" s="24">
      <c r="A58" s="26" t="inlineStr">
        <is>
          <t xml:space="preserve">  Current text vs recipe</t>
        </is>
      </c>
      <c r="B58" s="39">
        <f>COUNTIF(log!$F$5:$F$989,"Current text vs recipe")</f>
        <v/>
      </c>
    </row>
    <row r="59" ht="15" customHeight="1" s="24">
      <c r="A59" s="26" t="inlineStr">
        <is>
          <t xml:space="preserve">  Copy: identical text</t>
        </is>
      </c>
      <c r="B59" s="39">
        <f>COUNTIF(log!$F$5:$F$989,"Copy: identical text")</f>
        <v/>
      </c>
    </row>
    <row r="60" ht="15" customHeight="1" s="24">
      <c r="A60" s="26" t="inlineStr">
        <is>
          <t xml:space="preserve">  Label removed (your comment)</t>
        </is>
      </c>
      <c r="B60" s="39">
        <f>COUNTIF(log!$F$5:$F$989,"Label removed (your comment)")</f>
        <v/>
      </c>
    </row>
    <row r="61" ht="15" customHeight="1" s="24">
      <c r="A61" s="26" t="inlineStr">
        <is>
          <t xml:space="preserve">  Label removed (live Joomla)</t>
        </is>
      </c>
      <c r="B61" s="39">
        <f>COUNTIF(log!$F$5:$F$989,"Label removed (live Joomla)")</f>
        <v/>
      </c>
    </row>
    <row r="62" ht="15" customHeight="1" s="24">
      <c r="A62" s="26" t="inlineStr">
        <is>
          <t xml:space="preserve">  Live differs from master</t>
        </is>
      </c>
      <c r="B62" s="39">
        <f>COUNTIF(log!$F$5:$F$989,"Live differs from master")</f>
        <v/>
      </c>
    </row>
    <row r="63" ht="15" customHeight="1" s="24">
      <c r="A63" s="26" t="inlineStr">
        <is>
          <t xml:space="preserve">  Rule added (pricing verification)</t>
        </is>
      </c>
      <c r="B63" s="39">
        <f>COUNTIF(log!$F$5:$F$989,"Rule added (pricing verification)")</f>
        <v/>
      </c>
    </row>
    <row r="64" ht="15" customHeight="1" s="24">
      <c r="A64" s="26" t="inlineStr">
        <is>
          <t xml:space="preserve">  Rule applied (no action)</t>
        </is>
      </c>
      <c r="B64" s="39">
        <f>COUNTIF(log!$F$5:$F$989,"Rule applied (no action)")</f>
        <v/>
      </c>
    </row>
    <row r="65" ht="15" customHeight="1" s="24">
      <c r="A65" s="26" t="inlineStr">
        <is>
          <t xml:space="preserve">  Master note (info)</t>
        </is>
      </c>
      <c r="B65" s="39">
        <f>COUNTIF(log!$F$5:$F$989,"Master note (info)")</f>
        <v/>
      </c>
    </row>
    <row r="66" ht="15" customHeight="1" s="24">
      <c r="A66" s="26" t="inlineStr">
        <is>
          <t xml:space="preserve">  Note</t>
        </is>
      </c>
      <c r="B66" s="39">
        <f>COUNTIF(log!$F$5:$F$989,"Note")</f>
        <v/>
      </c>
    </row>
    <row r="67" ht="15" customHeight="1" s="24">
      <c r="A67" s="26" t="inlineStr">
        <is>
          <t xml:space="preserve">  Out of scope</t>
        </is>
      </c>
      <c r="B67" s="39">
        <f>COUNTIF(log!$F$5:$F$989,"Out of scope")</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AF345"/>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Right"/>
      <selection pane="bottomLeft"/>
      <selection pane="bottomRigh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14" customWidth="1" style="23" min="1" max="1"/>
    <col width="28" customWidth="1" style="23" min="2" max="2"/>
    <col width="13" customWidth="1" style="23" min="3" max="3"/>
    <col width="18" customWidth="1" style="23" min="4" max="4"/>
    <col width="45" customWidth="1" style="23" min="5" max="5"/>
    <col width="14" customWidth="1" style="23" min="6" max="6"/>
    <col width="32" customWidth="1" style="23" min="7" max="10"/>
    <col width="9" customWidth="1" style="23" min="11" max="11"/>
    <col width="50" customWidth="1" style="23" min="12" max="12"/>
    <col width="60" customWidth="1" style="23" min="13" max="13"/>
    <col width="8" customWidth="1" style="23" min="14" max="14"/>
    <col width="45" customWidth="1" style="23" min="15" max="15"/>
    <col width="14" customWidth="1" style="23" min="16" max="16"/>
    <col width="60" customWidth="1" style="23" min="17" max="17"/>
    <col width="45" customWidth="1" style="23" min="18" max="18"/>
    <col width="14" customWidth="1" style="23" min="19" max="19"/>
    <col width="50" customWidth="1" style="23" min="20" max="20"/>
    <col width="45" customWidth="1" style="23" min="21" max="21"/>
    <col width="14" customWidth="1" style="23" min="22" max="22"/>
    <col width="22" customWidth="1" style="23" min="23" max="23"/>
    <col width="55" customWidth="1" style="23" min="24" max="24"/>
    <col width="45" customWidth="1" style="23" min="25" max="25"/>
    <col width="14" customWidth="1" style="23" min="26" max="26"/>
    <col width="16" customWidth="1" style="24" min="27" max="27"/>
    <col width="16" customWidth="1" style="24" min="28" max="28"/>
    <col width="16" customWidth="1" style="24" min="29" max="29"/>
    <col width="16" customWidth="1" style="24" min="30" max="30"/>
    <col width="16" customWidth="1" style="24" min="31" max="31"/>
    <col width="16" customWidth="1" style="24" min="32" max="32"/>
  </cols>
  <sheetData>
    <row r="1" ht="57.45" customHeight="1" s="24">
      <c r="A1" s="27" t="inlineStr">
        <is>
          <t>SKU</t>
        </is>
      </c>
      <c r="B1" s="27" t="inlineStr">
        <is>
          <t>Product title</t>
        </is>
      </c>
      <c r="C1" s="27" t="inlineStr">
        <is>
          <t>Bucket</t>
        </is>
      </c>
      <c r="D1" s="27" t="inlineStr">
        <is>
          <t>Upload status</t>
        </is>
      </c>
      <c r="E1" s="27" t="inlineStr">
        <is>
          <t>Current BLX description (Joomla 7 Oct if present, else Shopify 28 Sep)</t>
        </is>
      </c>
      <c r="F1" s="27" t="inlineStr">
        <is>
          <t>Current text source</t>
        </is>
      </c>
      <c r="G1" s="27" t="inlineStr">
        <is>
          <t>Jarrod recipe (Standard)</t>
        </is>
      </c>
      <c r="H1" s="27" t="inlineStr">
        <is>
          <t>Reviewed recipe (master + rules)</t>
        </is>
      </c>
      <c r="I1" s="27" t="inlineStr">
        <is>
          <t>Suggested final recipe (after the fixes)</t>
        </is>
      </c>
      <c r="J1" s="27" t="inlineStr">
        <is>
          <t>Live recipe (Joomla 7 Oct, Standard)</t>
        </is>
      </c>
      <c r="K1" s="27" t="inlineStr">
        <is>
          <t>Live status</t>
        </is>
      </c>
      <c r="L1" s="27" t="inlineStr">
        <is>
          <t>Needs before upload</t>
        </is>
      </c>
      <c r="M1" s="27" t="inlineStr">
        <is>
          <t>Bloomex AU: suggested text</t>
        </is>
      </c>
      <c r="N1" s="27" t="inlineStr">
        <is>
          <t>Bloomex AU: words</t>
        </is>
      </c>
      <c r="O1" s="27" t="inlineStr">
        <is>
          <t>Bloomex AU: HTML</t>
        </is>
      </c>
      <c r="P1" s="27" t="inlineStr">
        <is>
          <t>Bloomex AU: QA</t>
        </is>
      </c>
      <c r="Q1" s="27" t="inlineStr">
        <is>
          <t>Aussie Blooms: suggested text</t>
        </is>
      </c>
      <c r="R1" s="27" t="inlineStr">
        <is>
          <t>Aussie Blooms: HTML</t>
        </is>
      </c>
      <c r="S1" s="27" t="inlineStr">
        <is>
          <t>Aussie Blooms: QA</t>
        </is>
      </c>
      <c r="T1" s="27" t="inlineStr">
        <is>
          <t>Bunches and Stems: suggested text</t>
        </is>
      </c>
      <c r="U1" s="27" t="inlineStr">
        <is>
          <t>Bunches and Stems: HTML</t>
        </is>
      </c>
      <c r="V1" s="27" t="inlineStr">
        <is>
          <t>Bunches and Stems: QA</t>
        </is>
      </c>
      <c r="W1" s="27" t="inlineStr">
        <is>
          <t>Mel's: title (Product Master)</t>
        </is>
      </c>
      <c r="X1" s="27" t="inlineStr">
        <is>
          <t>Mel's: suggested text</t>
        </is>
      </c>
      <c r="Y1" s="27" t="inlineStr">
        <is>
          <t>Mel's: HTML</t>
        </is>
      </c>
      <c r="Z1" s="27" t="inlineStr">
        <is>
          <t>Mel's: QA</t>
        </is>
      </c>
      <c r="AA1" s="42" t="inlineStr">
        <is>
          <t>Global sales rank (flowers)</t>
        </is>
      </c>
      <c r="AB1" s="42" t="inlineStr">
        <is>
          <t>Net sales YTD 2026 (AUD)</t>
        </is>
      </c>
      <c r="AC1" s="42" t="inlineStr">
        <is>
          <t>Net items sold YTD</t>
        </is>
      </c>
      <c r="AD1" s="42" t="inlineStr">
        <is>
          <t>% of total flower revenue</t>
        </is>
      </c>
      <c r="AE1" s="42" t="inlineStr">
        <is>
          <t>% of category revenue</t>
        </is>
      </c>
      <c r="AF1" s="42" t="inlineStr">
        <is>
          <t>Rank within category</t>
        </is>
      </c>
    </row>
    <row r="2" ht="109.5" customHeight="1" s="24">
      <c r="A2" s="30" t="inlineStr">
        <is>
          <t>MJ100-37</t>
        </is>
      </c>
      <c r="B2" s="30" t="inlineStr">
        <is>
          <t>Pink Wink in Mason Jar</t>
        </is>
      </c>
      <c r="C2" s="30" t="inlineStr">
        <is>
          <t>Mason Jar</t>
        </is>
      </c>
      <c r="D2" s="43" t="inlineStr">
        <is>
          <t>READY TO REVIEW</t>
        </is>
      </c>
      <c r="E2" s="30" t="n"/>
      <c r="F2" s="30" t="inlineStr">
        <is>
          <t>none</t>
        </is>
      </c>
      <c r="G2" s="30" t="inlineStr">
        <is>
          <t>2 × Roses Pink; 2 × Carnation Pink; 3 × Alstroemeria Pink; 2 × Ruscus Israeli; 1 × Mason Jar; 2 × Statice Pink Pink; 2 × Mini Carnations Pink</t>
        </is>
      </c>
      <c r="H2" s="30" t="inlineStr">
        <is>
          <t>2 × Roses Pink; 2 × Carnation Pink; 3 × Alstroemeria Pink; 2 × Ruscus Israeli; 1 × Mason Jar; 2 × Statice Pink; 2 × Mini Carnations Pink</t>
        </is>
      </c>
      <c r="I2" s="31" t="inlineStr">
        <is>
          <t>2 × Roses Pink; 2 × Carnation Pink; 3 × Alstroemeria Pink; 2 × Ruscus Israeli; 1 × Mason Jar; 2 × Statice Pink; 2 × Mini Carnations Pink</t>
        </is>
      </c>
      <c r="J2" s="30" t="inlineStr">
        <is>
          <t>2 × Ruscus Israeli; 2 × Mini Carnations Pink; 2 × Statice Pink; 1 × Mason Jar; 3 × Alstroemeria Pink; 2 × Carnation Pink; 2 × Roses Pink</t>
        </is>
      </c>
      <c r="K2" s="30" t="inlineStr">
        <is>
          <t>N</t>
        </is>
      </c>
      <c r="L2" s="30" t="n"/>
      <c r="M2" s="30" t="inlineStr">
        <is>
          <t>A hand-arranged mason jar bouquet of 3 pink alstroemeria, 2 pink carnations and 2 pink roses. A warm gift for a birthday, a thank-you or a just-because moment, with a mason jar to keep once the flowers are gone.</t>
        </is>
      </c>
      <c r="N2" s="30">
        <f>LEN(TRIM(SUBSTITUTE(M2,CHAR(10)," ")))-LEN(SUBSTITUTE(TRIM(SUBSTITUTE(M2,CHAR(10)," "))," ",""))+1</f>
        <v/>
      </c>
      <c r="O2" s="30" t="inlineStr">
        <is>
          <t>&lt;p&gt;A hand-arranged mason jar bouquet of 3 pink alstroemeria, 2 pink carnations and 2 pink roses. A warm gift for a birthday, a thank-you or a just-because moment, with a mason jar to keep once the flowers are gone.&lt;/p&gt;</t>
        </is>
      </c>
      <c r="P2" s="29" t="inlineStr">
        <is>
          <t>ok</t>
        </is>
      </c>
      <c r="Q2" s="30" t="inlineStr">
        <is>
          <t>Pink Wink in Mason Jar brings together 3 pink alstroemeria, 2 pink carnations and 2 pink roses, presented in a mason jar you can keep. It suits a birthday, a thank-you or a just-because moment.
Pink tones say affection. We hand-arrange each one at Aussie Blooms so it looks the way you pictured it, ready for a Sunday lunch. Stems can vary with the season, while the pink palette stays.</t>
        </is>
      </c>
      <c r="R2" s="30" t="inlineStr">
        <is>
          <t>&lt;p&gt;Pink Wink in Mason Jar brings together 3 pink alstroemeria, 2 pink carnations and 2 pink roses, presented in a mason jar you can keep. It suits a birthday, a thank-you or a just-because moment.&lt;/p&gt;&lt;p&gt;Pink tones say affection. We hand-arrange each one at Aussie Blooms so it looks the way you pictured it, ready for a Sunday lunch. Stems can vary with the season, while the pink palette stays.&lt;/p&gt;</t>
        </is>
      </c>
      <c r="S2" s="29" t="inlineStr">
        <is>
          <t>ok</t>
        </is>
      </c>
      <c r="T2" s="30" t="inlineStr">
        <is>
          <t>Inside the jar: 3 pink alstroemeria, 2 pink carnations and 2 pink roses. Calm colour for the kind of day that deserves a pause.</t>
        </is>
      </c>
      <c r="U2" s="30" t="inlineStr">
        <is>
          <t>&lt;p&gt;Inside the jar: 3 pink alstroemeria, 2 pink carnations and 2 pink roses. Calm colour for the kind of day that deserves a pause.&lt;/p&gt;</t>
        </is>
      </c>
      <c r="V2" s="29" t="inlineStr">
        <is>
          <t>ok</t>
        </is>
      </c>
      <c r="W2" s="30" t="inlineStr">
        <is>
          <t>Rosy Rumour</t>
        </is>
      </c>
      <c r="X2" s="30" t="inlineStr">
        <is>
          <t>Rosy Rumour settles 3 pink alstroemeria, 2 pink carnations and 2 pink roses into a relaxed mason jar. Just right sitting on a bench where everyone can enjoy it. A good fit for a birthday, a thank-you or a just-because moment.</t>
        </is>
      </c>
      <c r="Y2" s="30" t="inlineStr">
        <is>
          <t>&lt;p&gt;Rosy Rumour settles 3 pink alstroemeria, 2 pink carnations and 2 pink roses into a relaxed mason jar. Just right sitting on a bench where everyone can enjoy it. A good fit for a birthday, a thank-you or a just-because moment.&lt;/p&gt;</t>
        </is>
      </c>
      <c r="Z2" s="29" t="inlineStr">
        <is>
          <t>ok</t>
        </is>
      </c>
      <c r="AA2" t="inlineStr">
        <is>
          <t>no sales</t>
        </is>
      </c>
      <c r="AB2" s="44" t="n">
        <v>0</v>
      </c>
      <c r="AC2" t="n">
        <v>0</v>
      </c>
      <c r="AD2" s="45" t="n">
        <v>0</v>
      </c>
      <c r="AE2" s="45" t="n">
        <v>0</v>
      </c>
      <c r="AF2" t="inlineStr">
        <is>
          <t>no sales</t>
        </is>
      </c>
    </row>
    <row r="3" ht="109.5" customHeight="1" s="24">
      <c r="A3" s="30" t="inlineStr">
        <is>
          <t>MJ22-10</t>
        </is>
      </c>
      <c r="B3" s="30" t="inlineStr">
        <is>
          <t>Shades of Pink in Mason Jar</t>
        </is>
      </c>
      <c r="C3" s="30" t="inlineStr">
        <is>
          <t>Mason Jar</t>
        </is>
      </c>
      <c r="D3" s="43" t="inlineStr">
        <is>
          <t>READY TO REVIEW</t>
        </is>
      </c>
      <c r="E3" s="30" t="inlineStr">
        <is>
          <t>Eleven gerberas, ten alstroemeria and nine chrysanthemums in pretty shades of pink, nestled in a country-style mason jar. Fresh, feminine and full of charm, it's a lovely way to mark a birthday, celebrate good news or welcome someone to a new home.</t>
        </is>
      </c>
      <c r="F3" s="30" t="inlineStr">
        <is>
          <t>Shopify (28 Sep)</t>
        </is>
      </c>
      <c r="G3" s="30" t="inlineStr">
        <is>
          <t>3 × Chrysanthemum Daisies Lavender; 3 × Gerbera Daisies Pink; 2 × Ruscus Israeli; 1 × Mason Jar; 3 × Alstroemeria Pink</t>
        </is>
      </c>
      <c r="H3" s="30" t="inlineStr">
        <is>
          <t>3 × Chrysanthemum Daisies Lavender; 3 × Gerbera Daisies Pink; 2 × Ruscus Israeli; 1 × Mason Jar; 3 × Alstroemeria Pink</t>
        </is>
      </c>
      <c r="I3" s="30" t="inlineStr">
        <is>
          <t>3 × Chrysanthemum Daisies Lavender; 3 × Gerbera Daisies Pink; 2 × Ruscus Israeli; 1 × Mason Jar; 3 × Alstroemeria Pink</t>
        </is>
      </c>
      <c r="J3" s="30" t="inlineStr">
        <is>
          <t>2 × Ruscus Israeli; 3 × Alstroemeria Pink; 1 × Mason Jar; 3 × Gerbera Daisies Pink; 3 × Chrysanthemum Daisies Lavender</t>
        </is>
      </c>
      <c r="K3" s="30" t="inlineStr">
        <is>
          <t>Y</t>
        </is>
      </c>
      <c r="L3" s="30" t="n"/>
      <c r="M3" s="30" t="inlineStr">
        <is>
          <t>A hand-arranged mason jar bouquet of 3 lavender chrysanthemum daisies, 3 pink alstroemeria and 3 pink gerberas. A lovely way to mark a birthday, a thank-you or a just-because moment, with a mason jar to keep once the flowers are gone.</t>
        </is>
      </c>
      <c r="N3" s="30">
        <f>LEN(TRIM(SUBSTITUTE(M3,CHAR(10)," ")))-LEN(SUBSTITUTE(TRIM(SUBSTITUTE(M3,CHAR(10)," "))," ",""))+1</f>
        <v/>
      </c>
      <c r="O3" s="30" t="inlineStr">
        <is>
          <t>&lt;p&gt;A hand-arranged mason jar bouquet of 3 lavender chrysanthemum daisies, 3 pink alstroemeria and 3 pink gerberas. A lovely way to mark a birthday, a thank-you or a just-because moment, with a mason jar to keep once the flowers are gone.&lt;/p&gt;</t>
        </is>
      </c>
      <c r="P3" s="29" t="inlineStr">
        <is>
          <t>ok</t>
        </is>
      </c>
      <c r="Q3" s="30" t="inlineStr">
        <is>
          <t>Shades of Pink in Mason Jar brings together 3 lavender chrysanthemum daisies, 3 pink alstroemeria and 3 pink gerberas, presented in a mason jar you can keep. It suits a birthday, a thank-you or a just-because moment.
Pink tones say affection. We hand-arrange each one at Aussie Blooms so it looks the way you pictured it, ready for a Sunday lunch. Stems can vary with the season, while the pink and lavender palette stays.</t>
        </is>
      </c>
      <c r="R3" s="30" t="inlineStr">
        <is>
          <t>&lt;p&gt;Shades of Pink in Mason Jar brings together 3 lavender chrysanthemum daisies, 3 pink alstroemeria and 3 pink gerberas, presented in a mason jar you can keep. It suits a birthday, a thank-you or a just-because moment.&lt;/p&gt;&lt;p&gt;Pink tones say affection. We hand-arrange each one at Aussie Blooms so it looks the way you pictured it, ready for a Sunday lunch. Stems can vary with the season, while the pink and lavender palette stays.&lt;/p&gt;</t>
        </is>
      </c>
      <c r="S3" s="29" t="inlineStr">
        <is>
          <t>ok</t>
        </is>
      </c>
      <c r="T3" s="30" t="inlineStr">
        <is>
          <t>In the jar: 3 lavender chrysanthemum daisies, 3 pink alstroemeria and 3 pink gerberas. Soft colours that make a quiet room feel looked after.</t>
        </is>
      </c>
      <c r="U3" s="30" t="inlineStr">
        <is>
          <t>&lt;p&gt;In the jar: 3 lavender chrysanthemum daisies, 3 pink alstroemeria and 3 pink gerberas. Soft colours that make a quiet room feel looked after.&lt;/p&gt;</t>
        </is>
      </c>
      <c r="V3" s="29" t="inlineStr">
        <is>
          <t>ok</t>
        </is>
      </c>
      <c r="W3" s="30" t="inlineStr">
        <is>
          <t>All the Pinks</t>
        </is>
      </c>
      <c r="X3" s="30" t="inlineStr">
        <is>
          <t>All the Pinks settles 3 lavender chrysanthemum daisies, 3 pink alstroemeria and 3 pink gerberas into a relaxed mason jar. Just right sitting on a bench where everyone can enjoy it. A good fit for a birthday, a thank-you or a just-because moment. A little wild, a little imperfect, the way a jar should be.</t>
        </is>
      </c>
      <c r="Y3" s="30" t="inlineStr">
        <is>
          <t>&lt;p&gt;All the Pinks settles 3 lavender chrysanthemum daisies, 3 pink alstroemeria and 3 pink gerberas into a relaxed mason jar. Just right sitting on a bench where everyone can enjoy it. A good fit for a birthday, a thank-you or a just-because moment. A little wild, a little imperfect, the way a jar should be.&lt;/p&gt;</t>
        </is>
      </c>
      <c r="Z3" s="29" t="inlineStr">
        <is>
          <t>ok</t>
        </is>
      </c>
      <c r="AA3" t="n">
        <v>105</v>
      </c>
      <c r="AB3" s="44" t="n">
        <v>13672.72</v>
      </c>
      <c r="AC3" t="n">
        <v>192</v>
      </c>
      <c r="AD3" s="45" t="n">
        <v>0.001566578507721477</v>
      </c>
      <c r="AE3" s="45" t="n">
        <v>0.00394741060875585</v>
      </c>
      <c r="AF3" t="n">
        <v>34</v>
      </c>
    </row>
    <row r="4" ht="109.5" customHeight="1" s="24">
      <c r="A4" s="30" t="inlineStr">
        <is>
          <t>MJ79-16</t>
        </is>
      </c>
      <c r="B4" s="30" t="inlineStr">
        <is>
          <t>Shades of Spring in Mason Jar</t>
        </is>
      </c>
      <c r="C4" s="30" t="inlineStr">
        <is>
          <t>Mason Jar</t>
        </is>
      </c>
      <c r="D4" s="43" t="inlineStr">
        <is>
          <t>READY TO REVIEW</t>
        </is>
      </c>
      <c r="E4" s="30" t="n"/>
      <c r="F4" s="30" t="inlineStr">
        <is>
          <t>none</t>
        </is>
      </c>
      <c r="G4" s="30" t="inlineStr">
        <is>
          <t>2 × Roses Spray Hot Pink; 2 × Chrysanthemum Daisies Lavender; 1 × Carnation Yellow; 2 × Ruscus Israeli; 1 × Mason Jar; 2 × Alstroemeria Yellow</t>
        </is>
      </c>
      <c r="H4" s="30" t="inlineStr">
        <is>
          <t>2 × Roses Spray Hot Pink; 2 × Chrysanthemum Daisies Lavender; 1 × Carnation Yellow; 2 × Ruscus Israeli; 1 × Mason Jar; 2 × Alstroemeria Yellow</t>
        </is>
      </c>
      <c r="I4" s="30" t="inlineStr">
        <is>
          <t>2 × Roses Spray Hot Pink; 2 × Chrysanthemum Daisies Lavender; 1 × Carnation Yellow; 2 × Ruscus Israeli; 1 × Mason Jar; 2 × Alstroemeria Yellow</t>
        </is>
      </c>
      <c r="J4" s="30" t="inlineStr">
        <is>
          <t>1 × Carnation Yellow; 2 × Alstroemeria Yellow; 1 × Mason Jar; 2 × Ruscus Israeli; 2 × Chrysanthemum Daisies Lavender; 2 × Roses Spray Hot Pink</t>
        </is>
      </c>
      <c r="K4" s="30" t="inlineStr">
        <is>
          <t>N</t>
        </is>
      </c>
      <c r="L4" s="30" t="n"/>
      <c r="M4" s="30" t="inlineStr">
        <is>
          <t>A mason jar arrangement of 2 hot pink spray roses, 2 lavender chrysanthemum daisies, 2 yellow alstroemeria and 1 yellow carnation. A thoughtful choice for a birthday, a thank-you or a just-because moment, and the mason jar stays useful long after.</t>
        </is>
      </c>
      <c r="N4" s="30">
        <f>LEN(TRIM(SUBSTITUTE(M4,CHAR(10)," ")))-LEN(SUBSTITUTE(TRIM(SUBSTITUTE(M4,CHAR(10)," "))," ",""))+1</f>
        <v/>
      </c>
      <c r="O4" s="30" t="inlineStr">
        <is>
          <t>&lt;p&gt;A mason jar arrangement of 2 hot pink spray roses, 2 lavender chrysanthemum daisies, 2 yellow alstroemeria and 1 yellow carnation. A thoughtful choice for a birthday, a thank-you or a just-because moment, and the mason jar stays useful long after.&lt;/p&gt;</t>
        </is>
      </c>
      <c r="P4" s="29" t="inlineStr">
        <is>
          <t>ok</t>
        </is>
      </c>
      <c r="Q4" s="30" t="inlineStr">
        <is>
          <t>Shades of Spring in Mason Jar brings together 2 hot pink spray roses, 2 lavender chrysanthemum daisies, 2 yellow alstroemeria and 1 yellow carnation, presented in a mason jar you can keep. It suits a birthday, a thank-you or a just-because moment.
Yellow tones say friendship and cheer. We hand-arrange each one at Aussie Blooms so it looks the way you pictured it, ready for the kitchen bench. Stems can vary with the season, while the yellow and hot pink palette stays.</t>
        </is>
      </c>
      <c r="R4" s="30" t="inlineStr">
        <is>
          <t>&lt;p&gt;Shades of Spring in Mason Jar brings together 2 hot pink spray roses, 2 lavender chrysanthemum daisies, 2 yellow alstroemeria and 1 yellow carnation, presented in a mason jar you can keep. It suits a birthday, a thank-you or a just-because moment.&lt;/p&gt;&lt;p&gt;Yellow tones say friendship and cheer. We hand-arrange each one at Aussie Blooms so it looks the way you pictured it, ready for the kitchen bench. Stems can vary with the season, while the yellow and hot pink palette stays.&lt;/p&gt;</t>
        </is>
      </c>
      <c r="S4" s="29" t="inlineStr">
        <is>
          <t>ok</t>
        </is>
      </c>
      <c r="T4" s="30" t="inlineStr">
        <is>
          <t>The jar holds: 2 hot pink spray roses, 2 lavender chrysanthemum daisies, 2 yellow alstroemeria and 1 yellow carnation. Enough colour to turn an ordinary bench into the best spot in the house.</t>
        </is>
      </c>
      <c r="U4" s="30" t="inlineStr">
        <is>
          <t>&lt;p&gt;The jar holds: 2 hot pink spray roses, 2 lavender chrysanthemum daisies, 2 yellow alstroemeria and 1 yellow carnation. Enough colour to turn an ordinary bench into the best spot in the house.&lt;/p&gt;</t>
        </is>
      </c>
      <c r="V4" s="29" t="inlineStr">
        <is>
          <t>ok</t>
        </is>
      </c>
      <c r="W4" s="30" t="inlineStr">
        <is>
          <t>September Garden</t>
        </is>
      </c>
      <c r="X4" s="30" t="inlineStr">
        <is>
          <t>September Garden gathers 2 hot pink spray roses, 2 lavender chrysanthemum daisies, 2 yellow alstroemeria and 1 yellow carnation into a relaxed mason jar. Right at home on a kitchen bench next to the morning cuppa. Made for a birthday, a thank-you or a just-because moment. A little wild, a little imperfect, the way a jar should be.</t>
        </is>
      </c>
      <c r="Y4" s="30" t="inlineStr">
        <is>
          <t>&lt;p&gt;September Garden gathers 2 hot pink spray roses, 2 lavender chrysanthemum daisies, 2 yellow alstroemeria and 1 yellow carnation into a relaxed mason jar. Right at home on a kitchen bench next to the morning cuppa. Made for a birthday, a thank-you or a just-because moment. A little wild, a little imperfect, the way a jar should be.&lt;/p&gt;</t>
        </is>
      </c>
      <c r="Z4" s="29" t="inlineStr">
        <is>
          <t>ok</t>
        </is>
      </c>
      <c r="AA4" t="inlineStr">
        <is>
          <t>no sales</t>
        </is>
      </c>
      <c r="AB4" s="44" t="n">
        <v>0</v>
      </c>
      <c r="AC4" t="n">
        <v>0</v>
      </c>
      <c r="AD4" s="45" t="n">
        <v>0</v>
      </c>
      <c r="AE4" s="45" t="n">
        <v>0</v>
      </c>
      <c r="AF4" t="inlineStr">
        <is>
          <t>no sales</t>
        </is>
      </c>
    </row>
    <row r="5" ht="109.5" customHeight="1" s="24">
      <c r="A5" s="30" t="inlineStr">
        <is>
          <t>MJ11-30</t>
        </is>
      </c>
      <c r="B5" s="30" t="inlineStr">
        <is>
          <t>Sweetheart Roses in Mason Jar</t>
        </is>
      </c>
      <c r="C5" s="30" t="inlineStr">
        <is>
          <t>Mason Jar</t>
        </is>
      </c>
      <c r="D5" s="43" t="inlineStr">
        <is>
          <t>READY TO REVIEW</t>
        </is>
      </c>
      <c r="E5" s="30" t="inlineStr">
        <is>
          <t>Twenty-seven romantic roses gathered in a charming mason jar, blending rustic warmth with timeless beauty. A sweetheart gesture for an anniversary, birthday or a heartfelt just-because moment that says you care.</t>
        </is>
      </c>
      <c r="F5" s="30" t="inlineStr">
        <is>
          <t>Shopify (28 Sep)</t>
        </is>
      </c>
      <c r="G5" s="30" t="inlineStr">
        <is>
          <t>6 × Roses Red; 1 × Baby's Breath; 2 × Ruscus Israeli; 1 × Mason Jar</t>
        </is>
      </c>
      <c r="H5" s="30" t="inlineStr">
        <is>
          <t>6 × Roses Red; 1 × Baby's Breath; 2 × Ruscus Israeli; 1 × Mason Jar</t>
        </is>
      </c>
      <c r="I5" s="30" t="inlineStr">
        <is>
          <t>6 × Roses Red; 1 × Baby's Breath; 2 × Ruscus Israeli; 1 × Mason Jar</t>
        </is>
      </c>
      <c r="J5" s="30" t="inlineStr">
        <is>
          <t>2 × Ruscus Israeli; 1 × Mason Jar; 1 × Baby's Breath; 6 × Roses Red</t>
        </is>
      </c>
      <c r="K5" s="30" t="inlineStr">
        <is>
          <t>Y</t>
        </is>
      </c>
      <c r="L5" s="30" t="n"/>
      <c r="M5" s="30" t="inlineStr">
        <is>
          <t>A mason jar arrangement of 6 red roses. A lovely way to mark an anniversary or a thank-you, and a bright moment when the door opens.</t>
        </is>
      </c>
      <c r="N5" s="30">
        <f>LEN(TRIM(SUBSTITUTE(M5,CHAR(10)," ")))-LEN(SUBSTITUTE(TRIM(SUBSTITUTE(M5,CHAR(10)," "))," ",""))+1</f>
        <v/>
      </c>
      <c r="O5" s="30" t="inlineStr">
        <is>
          <t>&lt;p&gt;A mason jar arrangement of 6 red roses. A lovely way to mark an anniversary or a thank-you, and a bright moment when the door opens.&lt;/p&gt;</t>
        </is>
      </c>
      <c r="P5" s="29" t="inlineStr">
        <is>
          <t>ok</t>
        </is>
      </c>
      <c r="Q5" s="30" t="inlineStr">
        <is>
          <t>Sweetheart Roses in Mason Jar brings together 6 red roses, presented in a mason jar you can keep. It suits an anniversary or a thank-you.
Red tones say love and devotion. We hand-arrange each one at Aussie Blooms so it looks the way you pictured it, ready for the kitchen bench. Stems can vary with the season, while the red palette stays.</t>
        </is>
      </c>
      <c r="R5" s="30" t="inlineStr">
        <is>
          <t>&lt;p&gt;Sweetheart Roses in Mason Jar brings together 6 red roses, presented in a mason jar you can keep. It suits an anniversary or a thank-you.&lt;/p&gt;&lt;p&gt;Red tones say love and devotion. We hand-arrange each one at Aussie Blooms so it looks the way you pictured it, ready for the kitchen bench. Stems can vary with the season, while the red palette stays.&lt;/p&gt;</t>
        </is>
      </c>
      <c r="S5" s="29" t="inlineStr">
        <is>
          <t>ok</t>
        </is>
      </c>
      <c r="T5" s="30" t="inlineStr">
        <is>
          <t>The jar holds: 6 red roses. The classic, handed over without a single word of explanation.</t>
        </is>
      </c>
      <c r="U5" s="30" t="inlineStr">
        <is>
          <t>&lt;p&gt;The jar holds: 6 red roses. The classic, handed over without a single word of explanation.&lt;/p&gt;</t>
        </is>
      </c>
      <c r="V5" s="29" t="inlineStr">
        <is>
          <t>ok</t>
        </is>
      </c>
      <c r="W5" s="30" t="inlineStr">
        <is>
          <t>Garden Romance</t>
        </is>
      </c>
      <c r="X5" s="30" t="inlineStr">
        <is>
          <t>Garden Romance gathers 6 red roses into a relaxed mason jar. Right at home on a kitchen bench next to the morning cuppa. Made for an anniversary or a thank-you. A little wild, a little imperfect, the way a jar should be.</t>
        </is>
      </c>
      <c r="Y5" s="30" t="inlineStr">
        <is>
          <t>&lt;p&gt;Garden Romance gathers 6 red roses into a relaxed mason jar. Right at home on a kitchen bench next to the morning cuppa. Made for an anniversary or a thank-you. A little wild, a little imperfect, the way a jar should be.&lt;/p&gt;</t>
        </is>
      </c>
      <c r="Z5" s="29" t="inlineStr">
        <is>
          <t>ok</t>
        </is>
      </c>
      <c r="AA5" t="n">
        <v>165</v>
      </c>
      <c r="AB5" s="44" t="n">
        <v>4658.91</v>
      </c>
      <c r="AC5" t="n">
        <v>69</v>
      </c>
      <c r="AD5" s="45" t="n">
        <v>0.0005338037598236623</v>
      </c>
      <c r="AE5" s="45" t="n">
        <v>0.001345060342737904</v>
      </c>
      <c r="AF5" t="n">
        <v>47</v>
      </c>
    </row>
    <row r="6" ht="109.5" customHeight="1" s="24">
      <c r="A6" s="30" t="inlineStr">
        <is>
          <t>MJ100-04</t>
        </is>
      </c>
      <c r="B6" s="30" t="inlineStr">
        <is>
          <t>What a Treat in Mason Jar</t>
        </is>
      </c>
      <c r="C6" s="30" t="inlineStr">
        <is>
          <t>Mason Jar</t>
        </is>
      </c>
      <c r="D6" s="43" t="inlineStr">
        <is>
          <t>READY TO REVIEW</t>
        </is>
      </c>
      <c r="E6" s="30" t="inlineStr">
        <is>
          <t>A delightful mix of 7 roses, 6 chrysanthemums and 5 alstroemeria arranged in a rustic mason jar. A small but joyful treat to brighten a birthday, celebrate a win or send cheerful get-well wishes.</t>
        </is>
      </c>
      <c r="F6" s="30" t="inlineStr">
        <is>
          <t>Shopify (28 Sep)</t>
        </is>
      </c>
      <c r="G6" s="30" t="inlineStr">
        <is>
          <t>2 × Roses Pink; 3 × Chrysanthemum Daisies White; 1 × Baby's Breath; 1 × Ruscus Israeli; 1 × Mason Jar; 2 × Alstroemeria Pink</t>
        </is>
      </c>
      <c r="H6" s="30" t="inlineStr">
        <is>
          <t>2 × Roses Pink; 3 × Chrysanthemum Daisies White; 1 × Baby's Breath; 1 × Ruscus Israeli; 1 × Mason Jar; 2 × Alstroemeria Pink</t>
        </is>
      </c>
      <c r="I6" s="30" t="inlineStr">
        <is>
          <t>2 × Roses Pink; 3 × Chrysanthemum Daisies White; 1 × Baby's Breath; 1 × Ruscus Israeli; 1 × Mason Jar; 2 × Alstroemeria Pink</t>
        </is>
      </c>
      <c r="J6" s="30" t="inlineStr">
        <is>
          <t>1 × Baby's Breath; 2 × Alstroemeria Pink; 1 × Mason Jar; 1 × Ruscus Israeli; 3 × Chrysanthemum Daisies White; 2 × Roses Pink</t>
        </is>
      </c>
      <c r="K6" s="30" t="inlineStr">
        <is>
          <t>Y</t>
        </is>
      </c>
      <c r="L6" s="30" t="n"/>
      <c r="M6" s="30" t="inlineStr">
        <is>
          <t>A mason jar arrangement of 3 white chrysanthemum daisies, 2 pink alstroemeria and 2 pink roses. A warm gift for a birthday, a thank-you or a just-because moment, and the mason jar stays useful long after.</t>
        </is>
      </c>
      <c r="N6" s="30">
        <f>LEN(TRIM(SUBSTITUTE(M6,CHAR(10)," ")))-LEN(SUBSTITUTE(TRIM(SUBSTITUTE(M6,CHAR(10)," "))," ",""))+1</f>
        <v/>
      </c>
      <c r="O6" s="30" t="inlineStr">
        <is>
          <t>&lt;p&gt;A mason jar arrangement of 3 white chrysanthemum daisies, 2 pink alstroemeria and 2 pink roses. A warm gift for a birthday, a thank-you or a just-because moment, and the mason jar stays useful long after.&lt;/p&gt;</t>
        </is>
      </c>
      <c r="P6" s="29" t="inlineStr">
        <is>
          <t>ok</t>
        </is>
      </c>
      <c r="Q6" s="30" t="inlineStr">
        <is>
          <t>What a Treat in Mason Jar brings together 3 white chrysanthemum daisies, 2 pink alstroemeria and 2 pink roses, presented in a mason jar you can keep. It suits a birthday, a thank-you or a just-because moment.
Pink tones say affection. We hand-arrange each one at Aussie Blooms so it looks the way you pictured it, ready for the bedside table. Stems can vary with the season, while the pink and white palette stays.</t>
        </is>
      </c>
      <c r="R6" s="30" t="inlineStr">
        <is>
          <t>&lt;p&gt;What a Treat in Mason Jar brings together 3 white chrysanthemum daisies, 2 pink alstroemeria and 2 pink roses, presented in a mason jar you can keep. It suits a birthday, a thank-you or a just-because moment.&lt;/p&gt;&lt;p&gt;Pink tones say affection. We hand-arrange each one at Aussie Blooms so it looks the way you pictured it, ready for the bedside table. Stems can vary with the season, while the pink and white palette stays.&lt;/p&gt;</t>
        </is>
      </c>
      <c r="S6" s="29" t="inlineStr">
        <is>
          <t>ok</t>
        </is>
      </c>
      <c r="T6" s="30" t="inlineStr">
        <is>
          <t>Inside the jar: 3 white chrysanthemum daisies, 2 pink alstroemeria and 2 pink roses. Calm colour for the kind of day that deserves a pause.</t>
        </is>
      </c>
      <c r="U6" s="30" t="inlineStr">
        <is>
          <t>&lt;p&gt;Inside the jar: 3 white chrysanthemum daisies, 2 pink alstroemeria and 2 pink roses. Calm colour for the kind of day that deserves a pause.&lt;/p&gt;</t>
        </is>
      </c>
      <c r="V6" s="29" t="inlineStr">
        <is>
          <t>ok</t>
        </is>
      </c>
      <c r="W6" s="30" t="inlineStr">
        <is>
          <t>Mel's Best Pick</t>
        </is>
      </c>
      <c r="X6" s="30" t="inlineStr">
        <is>
          <t>Mel's Best Pick nestles 3 white chrysanthemum daisies, 2 pink alstroemeria and 2 pink roses into a relaxed mason jar. Happy on a sunny windowsill. Made for a birthday, a thank-you or a just-because moment. A little wild, a little imperfect, the way a jar should be.</t>
        </is>
      </c>
      <c r="Y6" s="30" t="inlineStr">
        <is>
          <t>&lt;p&gt;Mel's Best Pick nestles 3 white chrysanthemum daisies, 2 pink alstroemeria and 2 pink roses into a relaxed mason jar. Happy on a sunny windowsill. Made for a birthday, a thank-you or a just-because moment. A little wild, a little imperfect, the way a jar should be.&lt;/p&gt;</t>
        </is>
      </c>
      <c r="Z6" s="29" t="inlineStr">
        <is>
          <t>ok</t>
        </is>
      </c>
      <c r="AA6" t="n">
        <v>5</v>
      </c>
      <c r="AB6" s="44" t="n">
        <v>279924.76</v>
      </c>
      <c r="AC6" t="n">
        <v>5211</v>
      </c>
      <c r="AD6" s="45" t="n">
        <v>0.03207292836451392</v>
      </c>
      <c r="AE6" s="45" t="n">
        <v>0.08081626107847628</v>
      </c>
      <c r="AF6" t="n">
        <v>4</v>
      </c>
    </row>
    <row r="7" ht="109.5" customHeight="1" s="24">
      <c r="A7" s="30" t="inlineStr">
        <is>
          <t>MJ-01</t>
        </is>
      </c>
      <c r="B7" s="30" t="inlineStr">
        <is>
          <t>Summer Breeze in Mason Jar</t>
        </is>
      </c>
      <c r="C7" s="30" t="inlineStr">
        <is>
          <t>Mason Jar</t>
        </is>
      </c>
      <c r="D7" s="43" t="inlineStr">
        <is>
          <t>READY TO REVIEW</t>
        </is>
      </c>
      <c r="E7" s="30" t="n"/>
      <c r="F7" s="30" t="inlineStr">
        <is>
          <t>none</t>
        </is>
      </c>
      <c r="G7" s="30" t="inlineStr">
        <is>
          <t>2 × Chrysanthemum Button Green; 2 × Chrysanthemum Daisies Lavender; 2 × Ruscus Israeli; 1 × Mason Jar; 3 × Carnation Yellow; 3 × Alstroemeria Red</t>
        </is>
      </c>
      <c r="H7" s="30" t="inlineStr">
        <is>
          <t>2 × Chrysanthemum Button Green; 2 × Chrysanthemum Daisies Lavender; 2 × Ruscus Israeli; 1 × Mason Jar; 3 × Carnation Yellow; 3 × Alstroemeria Red</t>
        </is>
      </c>
      <c r="I7" s="30" t="inlineStr">
        <is>
          <t>2 × Chrysanthemum Button Green; 2 × Chrysanthemum Daisies Lavender; 2 × Ruscus Israeli; 1 × Mason Jar; 3 × Carnation Yellow; 3 × Alstroemeria Red</t>
        </is>
      </c>
      <c r="J7" s="30" t="inlineStr">
        <is>
          <t>2 × Ruscus Israeli; 3 × Alstroemeria Red; 3 × Carnation Yellow; 1 × Mason Jar; 2 × Chrysanthemum Daisies Lavender; 2 × Chrysanthemum Button Green</t>
        </is>
      </c>
      <c r="K7" s="30" t="inlineStr">
        <is>
          <t>N</t>
        </is>
      </c>
      <c r="L7" s="30" t="n"/>
      <c r="M7" s="30" t="inlineStr">
        <is>
          <t>A hand-arranged mason jar bouquet of 3 red alstroemeria, 3 yellow carnations and 2 lavender chrysanthemum daisies. A thoughtful choice for a birthday, a thank-you or a just-because moment, with a mason jar to keep once the flowers are gone.</t>
        </is>
      </c>
      <c r="N7" s="30">
        <f>LEN(TRIM(SUBSTITUTE(M7,CHAR(10)," ")))-LEN(SUBSTITUTE(TRIM(SUBSTITUTE(M7,CHAR(10)," "))," ",""))+1</f>
        <v/>
      </c>
      <c r="O7" s="30" t="inlineStr">
        <is>
          <t>&lt;p&gt;A hand-arranged mason jar bouquet of 3 red alstroemeria, 3 yellow carnations and 2 lavender chrysanthemum daisies. A thoughtful choice for a birthday, a thank-you or a just-because moment, with a mason jar to keep once the flowers are gone.&lt;/p&gt;</t>
        </is>
      </c>
      <c r="P7" s="29" t="inlineStr">
        <is>
          <t>ok</t>
        </is>
      </c>
      <c r="Q7" s="30" t="inlineStr">
        <is>
          <t>Summer Breeze in Mason Jar brings together 3 red alstroemeria, 3 yellow carnations and 2 lavender chrysanthemum daisies, presented in a mason jar you can keep. It suits a birthday, a thank-you or a just-because moment.
Red tones say love and devotion. We hand-arrange each one at Aussie Blooms so it looks the way you pictured it, ready for a summer table. Stems can vary with the season, while the red and yellow palette stays.</t>
        </is>
      </c>
      <c r="R7" s="30" t="inlineStr">
        <is>
          <t>&lt;p&gt;Summer Breeze in Mason Jar brings together 3 red alstroemeria, 3 yellow carnations and 2 lavender chrysanthemum daisies, presented in a mason jar you can keep. It suits a birthday, a thank-you or a just-because moment.&lt;/p&gt;&lt;p&gt;Red tones say love and devotion. We hand-arrange each one at Aussie Blooms so it looks the way you pictured it, ready for a summer table. Stems can vary with the season, while the red and yellow palette stays.&lt;/p&gt;</t>
        </is>
      </c>
      <c r="S7" s="29" t="inlineStr">
        <is>
          <t>ok</t>
        </is>
      </c>
      <c r="T7" s="30" t="inlineStr">
        <is>
          <t>The jar holds: 3 red alstroemeria, 3 yellow carnations and 2 lavender chrysanthemum daisies. Enough colour to turn an ordinary bench into the best spot in the house.</t>
        </is>
      </c>
      <c r="U7" s="30" t="inlineStr">
        <is>
          <t>&lt;p&gt;The jar holds: 3 red alstroemeria, 3 yellow carnations and 2 lavender chrysanthemum daisies. Enough colour to turn an ordinary bench into the best spot in the house.&lt;/p&gt;</t>
        </is>
      </c>
      <c r="V7" s="29" t="inlineStr">
        <is>
          <t>ok</t>
        </is>
      </c>
      <c r="W7" s="30" t="inlineStr">
        <is>
          <t>Long Weekend</t>
        </is>
      </c>
      <c r="X7" s="30" t="inlineStr">
        <is>
          <t>Long Weekend tucks 3 red alstroemeria, 3 yellow carnations and 2 lavender chrysanthemum daisies into a relaxed mason jar. Lovely on a bedside table, or anywhere it can be seen. A good fit for a birthday, a thank-you or a just-because moment. A little wild, a little imperfect, the way a jar should be.</t>
        </is>
      </c>
      <c r="Y7" s="30" t="inlineStr">
        <is>
          <t>&lt;p&gt;Long Weekend tucks 3 red alstroemeria, 3 yellow carnations and 2 lavender chrysanthemum daisies into a relaxed mason jar. Lovely on a bedside table, or anywhere it can be seen. A good fit for a birthday, a thank-you or a just-because moment. A little wild, a little imperfect, the way a jar should be.&lt;/p&gt;</t>
        </is>
      </c>
      <c r="Z7" s="29" t="inlineStr">
        <is>
          <t>ok</t>
        </is>
      </c>
      <c r="AA7" t="inlineStr">
        <is>
          <t>no sales</t>
        </is>
      </c>
      <c r="AB7" s="44" t="n">
        <v>0</v>
      </c>
      <c r="AC7" t="n">
        <v>0</v>
      </c>
      <c r="AD7" s="45" t="n">
        <v>0</v>
      </c>
      <c r="AE7" s="45" t="n">
        <v>0</v>
      </c>
      <c r="AF7" t="inlineStr">
        <is>
          <t>no sales</t>
        </is>
      </c>
    </row>
    <row r="8" ht="109.5" customHeight="1" s="24">
      <c r="A8" s="30" t="inlineStr">
        <is>
          <t>MJ100-24</t>
        </is>
      </c>
      <c r="B8" s="30" t="inlineStr">
        <is>
          <t>Assorted Roses in Mason Jar</t>
        </is>
      </c>
      <c r="C8" s="30" t="inlineStr">
        <is>
          <t>Mason Jar</t>
        </is>
      </c>
      <c r="D8" s="43" t="inlineStr">
        <is>
          <t>READY TO REVIEW</t>
        </is>
      </c>
      <c r="E8" s="30" t="inlineStr">
        <is>
          <t>Fourteen assorted roses gathered in a charming mason jar, blending romance with rustic, timeless appeal. A versatile and heartfelt arrangement that brings warmth and beauty to any room, and a lovely way to brighten someone's day just because.</t>
        </is>
      </c>
      <c r="F8" s="30" t="inlineStr">
        <is>
          <t>Shopify (28 Sep)</t>
        </is>
      </c>
      <c r="G8" s="30" t="inlineStr">
        <is>
          <t>5 × Roses Assorted; 1 × Baby's Breath; 1 × Ruscus Israeli; 1 × Mason Jar</t>
        </is>
      </c>
      <c r="H8" s="30" t="inlineStr">
        <is>
          <t>5 × Roses Assorted; 1 × Baby's Breath; 1 × Ruscus Israeli; 1 × Mason Jar</t>
        </is>
      </c>
      <c r="I8" s="30" t="inlineStr">
        <is>
          <t>5 × Roses Assorted; 1 × Baby's Breath; 1 × Ruscus Israeli; 1 × Mason Jar</t>
        </is>
      </c>
      <c r="J8" s="30" t="inlineStr">
        <is>
          <t>1 × Ruscus Israeli; 1 × Mason Jar; 1 × Baby's Breath; 5 × Roses Assorted</t>
        </is>
      </c>
      <c r="K8" s="30" t="inlineStr">
        <is>
          <t>Y</t>
        </is>
      </c>
      <c r="L8" s="30" t="n"/>
      <c r="M8" s="30" t="inlineStr">
        <is>
          <t>A mason jar arrangement of 5 assorted-colour roses. A lovely way to mark a birthday, a thank-you or a just-because moment, and the mason jar stays useful long after.</t>
        </is>
      </c>
      <c r="N8" s="30">
        <f>LEN(TRIM(SUBSTITUTE(M8,CHAR(10)," ")))-LEN(SUBSTITUTE(TRIM(SUBSTITUTE(M8,CHAR(10)," "))," ",""))+1</f>
        <v/>
      </c>
      <c r="O8" s="30" t="inlineStr">
        <is>
          <t>&lt;p&gt;A mason jar arrangement of 5 assorted-colour roses. A lovely way to mark a birthday, a thank-you or a just-because moment, and the mason jar stays useful long after.&lt;/p&gt;</t>
        </is>
      </c>
      <c r="P8" s="29" t="inlineStr">
        <is>
          <t>ok</t>
        </is>
      </c>
      <c r="Q8" s="30" t="inlineStr">
        <is>
          <t>Assorted Roses in Mason Jar brings together 5 assorted-colour roses, presented in a mason jar you can keep. It suits a birthday, a thank-you or a just-because moment.
Mixed colours say thoughtfulness. We hand-arrange each one at Aussie Blooms so it looks the way you pictured it, ready for the kitchen bench. Stems can vary with the season, while the colourful palette stays.</t>
        </is>
      </c>
      <c r="R8" s="30" t="inlineStr">
        <is>
          <t>&lt;p&gt;Assorted Roses in Mason Jar brings together 5 assorted-colour roses, presented in a mason jar you can keep. It suits a birthday, a thank-you or a just-because moment.&lt;/p&gt;&lt;p&gt;Mixed colours say thoughtfulness. We hand-arrange each one at Aussie Blooms so it looks the way you pictured it, ready for the kitchen bench. Stems can vary with the season, while the colourful palette stays.&lt;/p&gt;</t>
        </is>
      </c>
      <c r="S8" s="29" t="inlineStr">
        <is>
          <t>ok</t>
        </is>
      </c>
      <c r="T8" s="30" t="inlineStr">
        <is>
          <t>In the jar: 5 assorted-colour roses. Hand it over and watch the day get a little better.</t>
        </is>
      </c>
      <c r="U8" s="30" t="inlineStr">
        <is>
          <t>&lt;p&gt;In the jar: 5 assorted-colour roses. Hand it over and watch the day get a little better.&lt;/p&gt;</t>
        </is>
      </c>
      <c r="V8" s="29" t="inlineStr">
        <is>
          <t>ok</t>
        </is>
      </c>
      <c r="W8" s="30" t="inlineStr">
        <is>
          <t>Mixed Callas</t>
        </is>
      </c>
      <c r="X8" s="30" t="inlineStr">
        <is>
          <t>Mixed Callas gathers 5 assorted-colour roses into a relaxed mason jar. Right at home on a kitchen bench next to the morning cuppa. Made for a birthday, a thank-you or a just-because moment.</t>
        </is>
      </c>
      <c r="Y8" s="30" t="inlineStr">
        <is>
          <t>&lt;p&gt;Mixed Callas gathers 5 assorted-colour roses into a relaxed mason jar. Right at home on a kitchen bench next to the morning cuppa. Made for a birthday, a thank-you or a just-because moment.&lt;/p&gt;</t>
        </is>
      </c>
      <c r="Z8" s="29" t="inlineStr">
        <is>
          <t>ok</t>
        </is>
      </c>
      <c r="AA8" t="n">
        <v>150</v>
      </c>
      <c r="AB8" s="44" t="n">
        <v>6301.98</v>
      </c>
      <c r="AC8" t="n">
        <v>141</v>
      </c>
      <c r="AD8" s="45" t="n">
        <v>0.0007220620745506574</v>
      </c>
      <c r="AE8" s="45" t="n">
        <v>0.001819427165132713</v>
      </c>
      <c r="AF8" t="n">
        <v>41</v>
      </c>
    </row>
    <row r="9" ht="109.5" customHeight="1" s="24">
      <c r="A9" s="30" t="inlineStr">
        <is>
          <t>MJ100-118</t>
        </is>
      </c>
      <c r="B9" s="30" t="inlineStr">
        <is>
          <t>Blooms of Love in Mason Jar</t>
        </is>
      </c>
      <c r="C9" s="30" t="inlineStr">
        <is>
          <t>Mason Jar</t>
        </is>
      </c>
      <c r="D9" s="43" t="inlineStr">
        <is>
          <t>READY TO REVIEW</t>
        </is>
      </c>
      <c r="E9" s="30" t="inlineStr">
        <is>
          <t>A joyful gathering of alstroemeria, carnations and chrysanthemums arranged in a country-style mason jar, full of texture and colour. Warm and heartfelt, this cheerful bouquet is perfect for marking an anniversary, sending congratulations, or wishing someone a speedy recovery.</t>
        </is>
      </c>
      <c r="F9" s="30" t="inlineStr">
        <is>
          <t>Shopify (28 Sep)</t>
        </is>
      </c>
      <c r="G9" s="30" t="inlineStr">
        <is>
          <t>2 × Chrysanthemum Spray White; 1 × Ruscus Israeli; 1 × Mason Jar; 3 × Carnations Hot Pink; 4 × Alstroemeria Purple</t>
        </is>
      </c>
      <c r="H9" s="30" t="inlineStr">
        <is>
          <t>2 × Chrysanthemum Spray White; 1 × Ruscus Israeli; 1 × Mason Jar; 3 × Carnations Hot Pink; 4 × Alstroemeria Purple</t>
        </is>
      </c>
      <c r="I9" s="30" t="inlineStr">
        <is>
          <t>2 × Chrysanthemum Spray White; 1 × Ruscus Israeli; 1 × Mason Jar; 3 × Carnations Hot Pink; 4 × Alstroemeria Purple</t>
        </is>
      </c>
      <c r="J9" s="30" t="inlineStr">
        <is>
          <t>4 × Alstroemeria Purple; 3 × Carnations Hot Pink; 1 × Mason Jar; 1 × Ruscus Israeli; 2 × Chrysanthemum Spray White</t>
        </is>
      </c>
      <c r="K9" s="30" t="inlineStr">
        <is>
          <t>Y</t>
        </is>
      </c>
      <c r="L9" s="30" t="n"/>
      <c r="M9" s="30" t="inlineStr">
        <is>
          <t>A hand-arranged mason jar bouquet of 4 purple alstroemeria, 3 hot pink carnations and 2 white spray chrysanthemums. A warm gift for an anniversary or a thank-you, with a mason jar to keep once the flowers are gone.</t>
        </is>
      </c>
      <c r="N9" s="30">
        <f>LEN(TRIM(SUBSTITUTE(M9,CHAR(10)," ")))-LEN(SUBSTITUTE(TRIM(SUBSTITUTE(M9,CHAR(10)," "))," ",""))+1</f>
        <v/>
      </c>
      <c r="O9" s="30" t="inlineStr">
        <is>
          <t>&lt;p&gt;A hand-arranged mason jar bouquet of 4 purple alstroemeria, 3 hot pink carnations and 2 white spray chrysanthemums. A warm gift for an anniversary or a thank-you, with a mason jar to keep once the flowers are gone.&lt;/p&gt;</t>
        </is>
      </c>
      <c r="P9" s="29" t="inlineStr">
        <is>
          <t>ok</t>
        </is>
      </c>
      <c r="Q9" s="30" t="inlineStr">
        <is>
          <t>Blooms of Love in Mason Jar brings together 4 purple alstroemeria, 3 hot pink carnations and 2 white spray chrysanthemums, presented in a mason jar you can keep. It suits an anniversary or a thank-you.
Purple tones say admiration. We hand-arrange each one at Aussie Blooms so it looks the way you pictured it, ready for a summer table. Stems can vary with the season, while the purple and hot pink palette stays.</t>
        </is>
      </c>
      <c r="R9" s="30" t="inlineStr">
        <is>
          <t>&lt;p&gt;Blooms of Love in Mason Jar brings together 4 purple alstroemeria, 3 hot pink carnations and 2 white spray chrysanthemums, presented in a mason jar you can keep. It suits an anniversary or a thank-you.&lt;/p&gt;&lt;p&gt;Purple tones say admiration. We hand-arrange each one at Aussie Blooms so it looks the way you pictured it, ready for a summer table. Stems can vary with the season, while the purple and hot pink palette stays.&lt;/p&gt;</t>
        </is>
      </c>
      <c r="S9" s="29" t="inlineStr">
        <is>
          <t>ok</t>
        </is>
      </c>
      <c r="T9" s="30" t="inlineStr">
        <is>
          <t>Inside the jar: 4 purple alstroemeria, 3 hot pink carnations and 2 white spray chrysanthemums. Bright on purpose, and hard to walk past without smiling.</t>
        </is>
      </c>
      <c r="U9" s="30" t="inlineStr">
        <is>
          <t>&lt;p&gt;Inside the jar: 4 purple alstroemeria, 3 hot pink carnations and 2 white spray chrysanthemums. Bright on purpose, and hard to walk past without smiling.&lt;/p&gt;</t>
        </is>
      </c>
      <c r="V9" s="29" t="inlineStr">
        <is>
          <t>ok</t>
        </is>
      </c>
      <c r="W9" s="30" t="inlineStr">
        <is>
          <t>Mixed Rose Garden</t>
        </is>
      </c>
      <c r="X9" s="30" t="inlineStr">
        <is>
          <t>Mixed Rose Garden tucks 4 purple alstroemeria, 3 hot pink carnations and 2 white spray chrysanthemums into a relaxed mason jar. Lovely on a bedside table, or anywhere it can be seen. A good fit for an anniversary or a thank-you. A little wild, a little imperfect, the way a jar should be.</t>
        </is>
      </c>
      <c r="Y9" s="30" t="inlineStr">
        <is>
          <t>&lt;p&gt;Mixed Rose Garden tucks 4 purple alstroemeria, 3 hot pink carnations and 2 white spray chrysanthemums into a relaxed mason jar. Lovely on a bedside table, or anywhere it can be seen. A good fit for an anniversary or a thank-you. A little wild, a little imperfect, the way a jar should be.&lt;/p&gt;</t>
        </is>
      </c>
      <c r="Z9" s="29" t="inlineStr">
        <is>
          <t>ok</t>
        </is>
      </c>
      <c r="AA9" t="n">
        <v>25</v>
      </c>
      <c r="AB9" s="44" t="n">
        <v>92430.8</v>
      </c>
      <c r="AC9" t="n">
        <v>1189</v>
      </c>
      <c r="AD9" s="45" t="n">
        <v>0.01059044025956827</v>
      </c>
      <c r="AE9" s="45" t="n">
        <v>0.02668542688793695</v>
      </c>
      <c r="AF9" t="n">
        <v>12</v>
      </c>
    </row>
    <row r="10" ht="109.5" customHeight="1" s="24">
      <c r="A10" s="30" t="inlineStr">
        <is>
          <t>MJ100-111</t>
        </is>
      </c>
      <c r="B10" s="30" t="inlineStr">
        <is>
          <t>Enchanted Cottage in Mason Jar</t>
        </is>
      </c>
      <c r="C10" s="30" t="inlineStr">
        <is>
          <t>Mason Jar</t>
        </is>
      </c>
      <c r="D10" s="43" t="inlineStr">
        <is>
          <t>READY TO REVIEW</t>
        </is>
      </c>
      <c r="E10" s="30" t="inlineStr">
        <is>
          <t>This delightful and popular bouquet is the perfect choice for a cottage, condo, or even a grand estate and is now available in a Mason Jar!. Its beauty will provide smiles to all who receive it! Choose this bouquet and send some enchantment today! Bouquet contains white roses and spray roses, lavender stock and waxflower, all beautifully arranged. Approximately 9" W x 16" H. Includes Mason Jar!</t>
        </is>
      </c>
      <c r="F10" s="30" t="inlineStr">
        <is>
          <t>Shopify (28 Sep)</t>
        </is>
      </c>
      <c r="G10" s="30" t="inlineStr">
        <is>
          <t>5 × Roses White; 2 × Roses Spray White; 3 × Carnation Lavender; 1 × Baby's Breath; 2 × Ruscus Israeli; 1 × Mason Jar</t>
        </is>
      </c>
      <c r="H10" s="30" t="inlineStr">
        <is>
          <t>5 × Roses White; 2 × Roses Spray White; 3 × Carnation Lavender; 1 × Baby's Breath; 2 × Ruscus Israeli; 1 × Mason Jar</t>
        </is>
      </c>
      <c r="I10" s="30" t="inlineStr">
        <is>
          <t>5 × Roses White; 2 × Roses Spray White; 3 × Carnation Lavender; 1 × Baby's Breath; 2 × Ruscus Israeli; 1 × Mason Jar</t>
        </is>
      </c>
      <c r="J10" s="30" t="inlineStr">
        <is>
          <t>3 × Carnation Lavender; 1 × Mason Jar; 2 × Ruscus Israeli; 1 × Baby's Breath; 2 × Roses Spray White; 5 × Roses White</t>
        </is>
      </c>
      <c r="K10" s="30" t="inlineStr">
        <is>
          <t>N</t>
        </is>
      </c>
      <c r="L10" s="30" t="n"/>
      <c r="M10" s="30" t="inlineStr">
        <is>
          <t>A mason jar arrangement of 5 white roses, 3 lavender carnations and 2 white spray roses. A thoughtful choice for a birthday, a thank-you or a just-because moment, and the mason jar stays useful long after.</t>
        </is>
      </c>
      <c r="N10" s="30">
        <f>LEN(TRIM(SUBSTITUTE(M10,CHAR(10)," ")))-LEN(SUBSTITUTE(TRIM(SUBSTITUTE(M10,CHAR(10)," "))," ",""))+1</f>
        <v/>
      </c>
      <c r="O10" s="30" t="inlineStr">
        <is>
          <t>&lt;p&gt;A mason jar arrangement of 5 white roses, 3 lavender carnations and 2 white spray roses. A thoughtful choice for a birthday, a thank-you or a just-because moment, and the mason jar stays useful long after.&lt;/p&gt;</t>
        </is>
      </c>
      <c r="P10" s="29" t="inlineStr">
        <is>
          <t>ok</t>
        </is>
      </c>
      <c r="Q10" s="30" t="inlineStr">
        <is>
          <t>Enchanted Cottage in Mason Jar brings together 5 white roses, 3 lavender carnations and 2 white spray roses, presented in a mason jar you can keep. It suits a birthday, a thank-you or a just-because moment.
White tones say calm and a fresh start. We hand-arrange each one at Aussie Blooms so it looks the way you pictured it, ready for the kitchen bench. Stems can vary with the season, while the white and lavender palette stays.</t>
        </is>
      </c>
      <c r="R10" s="30" t="inlineStr">
        <is>
          <t>&lt;p&gt;Enchanted Cottage in Mason Jar brings together 5 white roses, 3 lavender carnations and 2 white spray roses, presented in a mason jar you can keep. It suits a birthday, a thank-you or a just-because moment.&lt;/p&gt;&lt;p&gt;White tones say calm and a fresh start. We hand-arrange each one at Aussie Blooms so it looks the way you pictured it, ready for the kitchen bench. Stems can vary with the season, while the white and lavender palette stays.&lt;/p&gt;</t>
        </is>
      </c>
      <c r="S10" s="29" t="inlineStr">
        <is>
          <t>ok</t>
        </is>
      </c>
      <c r="T10" s="30" t="inlineStr">
        <is>
          <t>The jar holds: 5 white roses, 3 lavender carnations and 2 white spray roses. Gentle, easy on the eye, and ready for any table you give it.</t>
        </is>
      </c>
      <c r="U10" s="30" t="inlineStr">
        <is>
          <t>&lt;p&gt;The jar holds: 5 white roses, 3 lavender carnations and 2 white spray roses. Gentle, easy on the eye, and ready for any table you give it.&lt;/p&gt;</t>
        </is>
      </c>
      <c r="V10" s="29" t="inlineStr">
        <is>
          <t>ok</t>
        </is>
      </c>
      <c r="W10" s="30" t="inlineStr">
        <is>
          <t>Love Letter</t>
        </is>
      </c>
      <c r="X10" s="30" t="inlineStr">
        <is>
          <t>Love Letter gathers 5 white roses, 3 lavender carnations and 2 white spray roses into a relaxed mason jar. Right at home on a kitchen bench next to the morning cuppa. Made for a birthday, a thank-you or a just-because moment.</t>
        </is>
      </c>
      <c r="Y10" s="30" t="inlineStr">
        <is>
          <t>&lt;p&gt;Love Letter gathers 5 white roses, 3 lavender carnations and 2 white spray roses into a relaxed mason jar. Right at home on a kitchen bench next to the morning cuppa. Made for a birthday, a thank-you or a just-because moment.&lt;/p&gt;</t>
        </is>
      </c>
      <c r="Z10" s="29" t="inlineStr">
        <is>
          <t>ok</t>
        </is>
      </c>
      <c r="AA10" t="n">
        <v>152</v>
      </c>
      <c r="AB10" s="44" t="n">
        <v>6095.88</v>
      </c>
      <c r="AC10" t="n">
        <v>69</v>
      </c>
      <c r="AD10" s="45" t="n">
        <v>0.0006984474186953316</v>
      </c>
      <c r="AE10" s="45" t="n">
        <v>0.001759923768024954</v>
      </c>
      <c r="AF10" t="n">
        <v>42</v>
      </c>
    </row>
    <row r="11" ht="109.5" customHeight="1" s="24">
      <c r="A11" s="30" t="inlineStr">
        <is>
          <t>MJ100-48</t>
        </is>
      </c>
      <c r="B11" s="30" t="inlineStr">
        <is>
          <t>Gerbera Daisies in a Mason Jar</t>
        </is>
      </c>
      <c r="C11" s="30" t="inlineStr">
        <is>
          <t>Mason Jar</t>
        </is>
      </c>
      <c r="D11" s="43" t="inlineStr">
        <is>
          <t>READY TO REVIEW</t>
        </is>
      </c>
      <c r="E11" s="30" t="n"/>
      <c r="F11" s="30" t="inlineStr">
        <is>
          <t>none</t>
        </is>
      </c>
      <c r="G11" s="30" t="inlineStr">
        <is>
          <t>2 × Gerbera Daisies Yellow; 2 × Gerbera Daisies Red; 1 × Gerbera Daisies Orange; 1 × Ruscus Israeli; 1 × Mason Jar</t>
        </is>
      </c>
      <c r="H11" s="30" t="inlineStr">
        <is>
          <t>2 × Gerbera Daisies Yellow; 2 × Gerbera Daisies Red; 1 × Gerbera Daisies Orange; 1 × Ruscus Israeli; 1 × Mason Jar</t>
        </is>
      </c>
      <c r="I11" s="30" t="inlineStr">
        <is>
          <t>2 × Gerbera Daisies Yellow; 2 × Gerbera Daisies Red; 1 × Gerbera Daisies Orange; 1 × Ruscus Israeli; 1 × Mason Jar</t>
        </is>
      </c>
      <c r="J11" s="30" t="inlineStr">
        <is>
          <t>1 × Gerbera Daisies Orange; 1 × Mason Jar; 1 × Ruscus Israeli; 2 × Gerbera Daisies Red; 2 × Gerbera Daisies Yellow</t>
        </is>
      </c>
      <c r="K11" s="30" t="inlineStr">
        <is>
          <t>N</t>
        </is>
      </c>
      <c r="L11" s="30" t="n"/>
      <c r="M11" s="30" t="inlineStr">
        <is>
          <t>A mason jar arrangement of 2 red gerberas, 2 yellow gerberas and 1 orange gerbera. A thoughtful choice for a birthday, a thank-you or a just-because moment, and the mason jar stays useful long after.</t>
        </is>
      </c>
      <c r="N11" s="30">
        <f>LEN(TRIM(SUBSTITUTE(M11,CHAR(10)," ")))-LEN(SUBSTITUTE(TRIM(SUBSTITUTE(M11,CHAR(10)," "))," ",""))+1</f>
        <v/>
      </c>
      <c r="O11" s="30" t="inlineStr">
        <is>
          <t>&lt;p&gt;A mason jar arrangement of 2 red gerberas, 2 yellow gerberas and 1 orange gerbera. A thoughtful choice for a birthday, a thank-you or a just-because moment, and the mason jar stays useful long after.&lt;/p&gt;</t>
        </is>
      </c>
      <c r="P11" s="29" t="inlineStr">
        <is>
          <t>ok</t>
        </is>
      </c>
      <c r="Q11" s="30" t="inlineStr">
        <is>
          <t>Gerbera Daisies in a Mason Jar brings together 2 red gerberas, 2 yellow gerberas and 1 orange gerbera, presented in a mason jar you can keep. It suits a birthday, a thank-you or a just-because moment.
Red tones say love and devotion. We hand-arrange each one at Aussie Blooms so it looks the way you pictured it, ready for the bedside table. Stems can vary with the season, while the red and yellow palette stays.</t>
        </is>
      </c>
      <c r="R11" s="30" t="inlineStr">
        <is>
          <t>&lt;p&gt;Gerbera Daisies in a Mason Jar brings together 2 red gerberas, 2 yellow gerberas and 1 orange gerbera, presented in a mason jar you can keep. It suits a birthday, a thank-you or a just-because moment.&lt;/p&gt;&lt;p&gt;Red tones say love and devotion. We hand-arrange each one at Aussie Blooms so it looks the way you pictured it, ready for the bedside table. Stems can vary with the season, while the red and yellow palette stays.&lt;/p&gt;</t>
        </is>
      </c>
      <c r="S11" s="29" t="inlineStr">
        <is>
          <t>ok</t>
        </is>
      </c>
      <c r="T11" s="30" t="inlineStr">
        <is>
          <t>The jar holds: 2 red gerberas, 2 yellow gerberas and 1 orange gerbera. Enough colour to turn an ordinary bench into the best spot in the house.</t>
        </is>
      </c>
      <c r="U11" s="30" t="inlineStr">
        <is>
          <t>&lt;p&gt;The jar holds: 2 red gerberas, 2 yellow gerberas and 1 orange gerbera. Enough colour to turn an ordinary bench into the best spot in the house.&lt;/p&gt;</t>
        </is>
      </c>
      <c r="V11" s="29" t="inlineStr">
        <is>
          <t>ok</t>
        </is>
      </c>
      <c r="W11" s="30" t="inlineStr">
        <is>
          <t>Fresh Callas</t>
        </is>
      </c>
      <c r="X11" s="30" t="inlineStr">
        <is>
          <t>Fresh Callas nestles 2 red gerberas, 2 yellow gerberas and 1 orange gerbera into a relaxed mason jar. Happy on a sunny windowsill. Made for a birthday, a thank-you or a just-because moment. A little wild, a little imperfect, the way a jar should be.</t>
        </is>
      </c>
      <c r="Y11" s="30" t="inlineStr">
        <is>
          <t>&lt;p&gt;Fresh Callas nestles 2 red gerberas, 2 yellow gerberas and 1 orange gerbera into a relaxed mason jar. Happy on a sunny windowsill. Made for a birthday, a thank-you or a just-because moment. A little wild, a little imperfect, the way a jar should be.&lt;/p&gt;</t>
        </is>
      </c>
      <c r="Z11" s="29" t="inlineStr">
        <is>
          <t>ok</t>
        </is>
      </c>
      <c r="AA11" t="n">
        <v>230</v>
      </c>
      <c r="AB11" s="44" t="n">
        <v>741.99</v>
      </c>
      <c r="AC11" t="n">
        <v>16</v>
      </c>
      <c r="AD11" s="45" t="n">
        <v>8.501496095686743e-05</v>
      </c>
      <c r="AE11" s="45" t="n">
        <v>0.0002142177727640366</v>
      </c>
      <c r="AF11" t="n">
        <v>52</v>
      </c>
    </row>
    <row r="12" ht="109.5" customHeight="1" s="24">
      <c r="A12" s="30" t="inlineStr">
        <is>
          <t>MJ11-57</t>
        </is>
      </c>
      <c r="B12" s="30" t="inlineStr">
        <is>
          <t>Half Dozen Assorted Roses in Mason Jar</t>
        </is>
      </c>
      <c r="C12" s="30" t="inlineStr">
        <is>
          <t>Mason Jar</t>
        </is>
      </c>
      <c r="D12" s="46" t="inlineStr">
        <is>
          <t>READY - NOTIFY JARROD</t>
        </is>
      </c>
      <c r="E12" s="30" t="inlineStr">
        <is>
          <t>A half dozen assorted roses nestled in a charming mason jar, blending classic romance with relaxed, rustic charm. A graceful gesture to celebrate an anniversary, offer congratulations, or send warm get-well wishes to someone special.</t>
        </is>
      </c>
      <c r="F12" s="30" t="inlineStr">
        <is>
          <t>Shopify (28 Sep)</t>
        </is>
      </c>
      <c r="G12" s="30" t="inlineStr">
        <is>
          <t>6 × Roses Assorted; 1 × Baby's Breath; 2 × Ruscus Israeli</t>
        </is>
      </c>
      <c r="H12" s="30" t="inlineStr">
        <is>
          <t>6 × Roses Assorted; 1 × Baby's Breath; 2 × Ruscus Israeli</t>
        </is>
      </c>
      <c r="I12" s="31" t="inlineStr">
        <is>
          <t>2 × Ruscus Israeli; 1 × Baby's Breath; 6 × Roses Assorted; 1 × Mason Jar</t>
        </is>
      </c>
      <c r="J12" s="30" t="inlineStr">
        <is>
          <t>2 × Ruscus Israeli; 1 × Baby's Breath; 6 × Roses Assorted</t>
        </is>
      </c>
      <c r="K12" s="30" t="inlineStr">
        <is>
          <t>Y</t>
        </is>
      </c>
      <c r="L12" s="30" t="n"/>
      <c r="M12" s="30" t="inlineStr">
        <is>
          <t>A mason jar arrangement of 6 assorted-colour roses. A lovely way to mark a birthday, a thank-you or a just-because moment, and a bright moment when the door opens.</t>
        </is>
      </c>
      <c r="N12" s="30">
        <f>LEN(TRIM(SUBSTITUTE(M12,CHAR(10)," ")))-LEN(SUBSTITUTE(TRIM(SUBSTITUTE(M12,CHAR(10)," "))," ",""))+1</f>
        <v/>
      </c>
      <c r="O12" s="30" t="inlineStr">
        <is>
          <t>&lt;p&gt;A mason jar arrangement of 6 assorted-colour roses. A lovely way to mark a birthday, a thank-you or a just-because moment, and a bright moment when the door opens.&lt;/p&gt;</t>
        </is>
      </c>
      <c r="P12" s="29" t="inlineStr">
        <is>
          <t>ok</t>
        </is>
      </c>
      <c r="Q12" s="30" t="inlineStr">
        <is>
          <t>Half Dozen Assorted Roses in Mason Jar brings together 6 assorted-colour roses, presented in a mason jar you can keep. It suits a birthday, a thank-you or a just-because moment.
Mixed colours say thoughtfulness. We hand-arrange each one at Aussie Blooms so it looks the way you pictured it, ready for the bedside table. Stems can vary with the season, while the colourful palette stays.</t>
        </is>
      </c>
      <c r="R12" s="30" t="inlineStr">
        <is>
          <t>&lt;p&gt;Half Dozen Assorted Roses in Mason Jar brings together 6 assorted-colour roses, presented in a mason jar you can keep. It suits a birthday, a thank-you or a just-because moment.&lt;/p&gt;&lt;p&gt;Mixed colours say thoughtfulness. We hand-arrange each one at Aussie Blooms so it looks the way you pictured it, ready for the bedside table. Stems can vary with the season, while the colourful palette stays.&lt;/p&gt;</t>
        </is>
      </c>
      <c r="S12" s="29" t="inlineStr">
        <is>
          <t>ok</t>
        </is>
      </c>
      <c r="T12" s="30" t="inlineStr">
        <is>
          <t>Inside the jar: 6 assorted-colour roses. Made for the moment someone opens the door and smiles.</t>
        </is>
      </c>
      <c r="U12" s="30" t="inlineStr">
        <is>
          <t>&lt;p&gt;Inside the jar: 6 assorted-colour roses. Made for the moment someone opens the door and smiles.&lt;/p&gt;</t>
        </is>
      </c>
      <c r="V12" s="29" t="inlineStr">
        <is>
          <t>ok</t>
        </is>
      </c>
      <c r="W12" s="30" t="inlineStr">
        <is>
          <t>Christmas Morning</t>
        </is>
      </c>
      <c r="X12" s="30" t="inlineStr">
        <is>
          <t>Christmas Morning nestles 6 assorted-colour roses into a relaxed mason jar. Happy on a sunny windowsill. Made for a birthday, a thank-you or a just-because moment.</t>
        </is>
      </c>
      <c r="Y12" s="30" t="inlineStr">
        <is>
          <t>&lt;p&gt;Christmas Morning nestles 6 assorted-colour roses into a relaxed mason jar. Happy on a sunny windowsill. Made for a birthday, a thank-you or a just-because moment.&lt;/p&gt;</t>
        </is>
      </c>
      <c r="Z12" s="29" t="inlineStr">
        <is>
          <t>ok</t>
        </is>
      </c>
      <c r="AA12" t="n">
        <v>163</v>
      </c>
      <c r="AB12" s="44" t="n">
        <v>4812.45</v>
      </c>
      <c r="AC12" t="n">
        <v>74</v>
      </c>
      <c r="AD12" s="45" t="n">
        <v>0.000551395563029143</v>
      </c>
      <c r="AE12" s="45" t="n">
        <v>0.001389387563019676</v>
      </c>
      <c r="AF12" t="n">
        <v>46</v>
      </c>
    </row>
    <row r="13" ht="109.5" customHeight="1" s="24">
      <c r="A13" s="30" t="inlineStr">
        <is>
          <t>MJ100-31</t>
        </is>
      </c>
      <c r="B13" s="30" t="inlineStr">
        <is>
          <t>Hooray Bouquet in Mason Jar</t>
        </is>
      </c>
      <c r="C13" s="30" t="inlineStr">
        <is>
          <t>Mason Jar</t>
        </is>
      </c>
      <c r="D13" s="43" t="inlineStr">
        <is>
          <t>READY TO REVIEW</t>
        </is>
      </c>
      <c r="E13" s="30" t="inlineStr">
        <is>
          <t>Bright chrysanthemums and ruffled carnations come together in a cheerful mason jar, brimming with feel-good colour. This upbeat arrangement is a wonderful way to say congratulations, lift someone's spirits, or welcome a friend to their new home.</t>
        </is>
      </c>
      <c r="F13" s="30" t="inlineStr">
        <is>
          <t>Shopify (28 Sep)</t>
        </is>
      </c>
      <c r="G13" s="30" t="inlineStr">
        <is>
          <t>2 × Chrysanthemum Daisies Yellow; 1 × Limonium Yellow; 1 × Chrysanthemum Daisies Purple; 1 × Chrysanthemum Button Green; 3 × Carnation Red; 2 × Ruscus Israeli; 1 × Mason Jar</t>
        </is>
      </c>
      <c r="H13" s="30" t="inlineStr">
        <is>
          <t>2 × Chrysanthemum Daisies Yellow; 1 × Limonium Yellow; 1 × Chrysanthemum Daisies Purple; 1 × Chrysanthemum Button Green; 3 × Carnation Red; 2 × Ruscus Israeli; 1 × Mason Jar</t>
        </is>
      </c>
      <c r="I13" s="30" t="inlineStr">
        <is>
          <t>2 × Chrysanthemum Daisies Yellow; 1 × Limonium Yellow; 1 × Chrysanthemum Daisies Purple; 1 × Chrysanthemum Button Green; 3 × Carnation Red; 2 × Ruscus Israeli; 1 × Mason Jar</t>
        </is>
      </c>
      <c r="J13" s="30" t="inlineStr">
        <is>
          <t>1 × Chrysanthemum Button Green; 1 × Mason Jar; 2 × Ruscus Israeli; 3 × Carnation Red; 1 × Chrysanthemum Daisies Purple; 1 × Limonium Yellow; 2 × Chrysanthemum Daisies Yellow</t>
        </is>
      </c>
      <c r="K13" s="30" t="inlineStr">
        <is>
          <t>Y</t>
        </is>
      </c>
      <c r="L13" s="30" t="n"/>
      <c r="M13" s="30" t="inlineStr">
        <is>
          <t>A mason jar arrangement of 3 red carnations, 2 yellow chrysanthemum daisies and 1 purple chrysanthemum daisy. A warm gift for a birthday or a thank-you, and the mason jar stays useful long after.</t>
        </is>
      </c>
      <c r="N13" s="30">
        <f>LEN(TRIM(SUBSTITUTE(M13,CHAR(10)," ")))-LEN(SUBSTITUTE(TRIM(SUBSTITUTE(M13,CHAR(10)," "))," ",""))+1</f>
        <v/>
      </c>
      <c r="O13" s="30" t="inlineStr">
        <is>
          <t>&lt;p&gt;A mason jar arrangement of 3 red carnations, 2 yellow chrysanthemum daisies and 1 purple chrysanthemum daisy. A warm gift for a birthday or a thank-you, and the mason jar stays useful long after.&lt;/p&gt;</t>
        </is>
      </c>
      <c r="P13" s="29" t="inlineStr">
        <is>
          <t>ok</t>
        </is>
      </c>
      <c r="Q13" s="30" t="inlineStr">
        <is>
          <t>Hooray Bouquet in Mason Jar brings together 3 red carnations, 2 yellow chrysanthemum daisies and 1 purple chrysanthemum daisy, presented in a mason jar you can keep. It suits a birthday or a thank-you.
Red tones say love and devotion. We hand-arrange each one at Aussie Blooms so it looks the way you pictured it, ready for the kitchen bench. Stems can vary with the season, while the red and yellow palette stays.</t>
        </is>
      </c>
      <c r="R13" s="30" t="inlineStr">
        <is>
          <t>&lt;p&gt;Hooray Bouquet in Mason Jar brings together 3 red carnations, 2 yellow chrysanthemum daisies and 1 purple chrysanthemum daisy, presented in a mason jar you can keep. It suits a birthday or a thank-you.&lt;/p&gt;&lt;p&gt;Red tones say love and devotion. We hand-arrange each one at Aussie Blooms so it looks the way you pictured it, ready for the kitchen bench. Stems can vary with the season, while the red and yellow palette stays.&lt;/p&gt;</t>
        </is>
      </c>
      <c r="S13" s="29" t="inlineStr">
        <is>
          <t>ok</t>
        </is>
      </c>
      <c r="T13" s="30" t="inlineStr">
        <is>
          <t>Inside the jar: 3 red carnations, 2 yellow chrysanthemum daisies and 1 purple chrysanthemum daisy. Bright on purpose, and hard to walk past without smiling.</t>
        </is>
      </c>
      <c r="U13" s="30" t="inlineStr">
        <is>
          <t>&lt;p&gt;Inside the jar: 3 red carnations, 2 yellow chrysanthemum daisies and 1 purple chrysanthemum daisy. Bright on purpose, and hard to walk past without smiling.&lt;/p&gt;</t>
        </is>
      </c>
      <c r="V13" s="29" t="inlineStr">
        <is>
          <t>ok</t>
        </is>
      </c>
      <c r="W13" s="30" t="inlineStr">
        <is>
          <t>Southern Stars</t>
        </is>
      </c>
      <c r="X13" s="30" t="inlineStr">
        <is>
          <t>Southern Stars gathers 3 red carnations, 2 yellow chrysanthemum daisies and 1 purple chrysanthemum daisy into a relaxed mason jar. Right at home on a kitchen bench next to the morning cuppa. Made for a birthday or a thank-you.</t>
        </is>
      </c>
      <c r="Y13" s="30" t="inlineStr">
        <is>
          <t>&lt;p&gt;Southern Stars gathers 3 red carnations, 2 yellow chrysanthemum daisies and 1 purple chrysanthemum daisy into a relaxed mason jar. Right at home on a kitchen bench next to the morning cuppa. Made for a birthday or a thank-you.&lt;/p&gt;</t>
        </is>
      </c>
      <c r="Z13" s="29" t="inlineStr">
        <is>
          <t>ok</t>
        </is>
      </c>
      <c r="AA13" t="n">
        <v>113</v>
      </c>
      <c r="AB13" s="44" t="n">
        <v>11372.58</v>
      </c>
      <c r="AC13" t="n">
        <v>142</v>
      </c>
      <c r="AD13" s="45" t="n">
        <v>0.001303035451487122</v>
      </c>
      <c r="AE13" s="45" t="n">
        <v>0.003283343885692909</v>
      </c>
      <c r="AF13" t="n">
        <v>36</v>
      </c>
    </row>
    <row r="14" ht="109.5" customHeight="1" s="24">
      <c r="A14" s="30" t="inlineStr">
        <is>
          <t>MJ100-01</t>
        </is>
      </c>
      <c r="B14" s="30" t="inlineStr">
        <is>
          <t>Love &amp; Laughter in Mason Jar</t>
        </is>
      </c>
      <c r="C14" s="30" t="inlineStr">
        <is>
          <t>Mason Jar</t>
        </is>
      </c>
      <c r="D14" s="43" t="inlineStr">
        <is>
          <t>READY TO REVIEW</t>
        </is>
      </c>
      <c r="E14" s="30" t="inlineStr">
        <is>
          <t>A lively mix of chrysanthemums, carnations and roses arranged in a homely mason jar, radiating warmth and good cheer. Perfectly suited to celebrating happy news, sending get-well wishes, or marking a joyful housewarming.</t>
        </is>
      </c>
      <c r="F14" s="30" t="inlineStr">
        <is>
          <t>Shopify (28 Sep)</t>
        </is>
      </c>
      <c r="G14" s="30" t="inlineStr">
        <is>
          <t>2 × Roses Lavender; 2 × Chrysanthemum Spray Lavender; 1 × Chrysanthemum Daisies Purple; 2 × Carnation Purple; 2 × Ruscus Israeli; 1 × Mason Jar; 1 × Mini Carnations Purple; 1 × Greeting Card</t>
        </is>
      </c>
      <c r="H14" s="30" t="inlineStr">
        <is>
          <t>2 × Roses Lavender; 2 × Chrysanthemum Spray Lavender; 1 × Chrysanthemum Daisies Purple; 2 × Carnation Purple; 2 × Ruscus Israeli; 1 × Mason Jar; 1 × Mini Carnations Purple; 1 × Greeting Card</t>
        </is>
      </c>
      <c r="I14" s="30" t="inlineStr">
        <is>
          <t>2 × Roses Lavender; 2 × Chrysanthemum Spray Lavender; 1 × Chrysanthemum Daisies Purple; 2 × Carnation Purple; 2 × Ruscus Israeli; 1 × Mason Jar; 1 × Mini Carnations Purple; 1 × Greeting Card</t>
        </is>
      </c>
      <c r="J14" s="30" t="inlineStr">
        <is>
          <t>2 × Carnation Purple; 1 × Greeting Card; 1 × Mini Carnations Purple; 1 × Mason Jar; 2 × Ruscus Israeli; 1 × Chrysanthemum Daisies Purple; 2 × Chrysanthemum Spray Lavender; 2 × Roses Lavender</t>
        </is>
      </c>
      <c r="K14" s="30" t="inlineStr">
        <is>
          <t>Y</t>
        </is>
      </c>
      <c r="L14" s="30" t="n"/>
      <c r="M14" s="30" t="inlineStr">
        <is>
          <t>A mason jar arrangement of 2 lavender roses, 2 lavender spray chrysanthemums, 2 purple carnations and 1 purple chrysanthemum daisy, plus a greeting card. A warm gift for an anniversary or a thank-you, and the mason jar stays useful long after.</t>
        </is>
      </c>
      <c r="N14" s="30">
        <f>LEN(TRIM(SUBSTITUTE(M14,CHAR(10)," ")))-LEN(SUBSTITUTE(TRIM(SUBSTITUTE(M14,CHAR(10)," "))," ",""))+1</f>
        <v/>
      </c>
      <c r="O14" s="30" t="inlineStr">
        <is>
          <t>&lt;p&gt;A mason jar arrangement of 2 lavender roses, 2 lavender spray chrysanthemums, 2 purple carnations and 1 purple chrysanthemum daisy, plus a greeting card. A warm gift for an anniversary or a thank-you, and the mason jar stays useful long after.&lt;/p&gt;</t>
        </is>
      </c>
      <c r="P14" s="29" t="inlineStr">
        <is>
          <t>ok</t>
        </is>
      </c>
      <c r="Q14" s="30" t="inlineStr">
        <is>
          <t>Love &amp; Laughter in Mason Jar brings together 2 lavender roses, 2 lavender spray chrysanthemums, 2 purple carnations and 1 purple chrysanthemum daisy, presented in a mason jar you can keep, plus a greeting card. It suits an anniversary or a thank-you.
Lavender tones say thoughtfulness. We hand-arrange each one at Aussie Blooms so it looks the way you pictured it, ready for the bedside table. Stems can vary with the season, while the lavender and purple palette stays.</t>
        </is>
      </c>
      <c r="R14" s="30" t="inlineStr">
        <is>
          <t>&lt;p&gt;Love &amp;amp; Laughter in Mason Jar brings together 2 lavender roses, 2 lavender spray chrysanthemums, 2 purple carnations and 1 purple chrysanthemum daisy, presented in a mason jar you can keep, plus a greeting card. It suits an anniversary or a thank-you.&lt;/p&gt;&lt;p&gt;Lavender tones say thoughtfulness. We hand-arrange each one at Aussie Blooms so it looks the way you pictured it, ready for the bedside table. Stems can vary with the season, while the lavender and purple palette stays.&lt;/p&gt;</t>
        </is>
      </c>
      <c r="S14" s="29" t="inlineStr">
        <is>
          <t>ok</t>
        </is>
      </c>
      <c r="T14" s="30" t="inlineStr">
        <is>
          <t>Inside the jar: 2 lavender roses, 2 lavender spray chrysanthemums, 2 purple carnations and 1 purple chrysanthemum daisy, plus a greeting card. Calm colour for the kind of day that deserves a pause.</t>
        </is>
      </c>
      <c r="U14" s="30" t="inlineStr">
        <is>
          <t>&lt;p&gt;Inside the jar: 2 lavender roses, 2 lavender spray chrysanthemums, 2 purple carnations and 1 purple chrysanthemum daisy, plus a greeting card. Calm colour for the kind of day that deserves a pause.&lt;/p&gt;</t>
        </is>
      </c>
      <c r="V14" s="29" t="inlineStr">
        <is>
          <t>ok</t>
        </is>
      </c>
      <c r="W14" s="30" t="inlineStr">
        <is>
          <t>Happy Hour Gerberas</t>
        </is>
      </c>
      <c r="X14" s="30" t="inlineStr">
        <is>
          <t>Happy Hour Gerberas nestles 2 lavender roses, 2 lavender spray chrysanthemums, 2 purple carnations and 1 purple chrysanthemum daisy into a relaxed mason jar, plus a greeting card. Happy on a sunny windowsill. Made for an anniversary or a thank-you.</t>
        </is>
      </c>
      <c r="Y14" s="30" t="inlineStr">
        <is>
          <t>&lt;p&gt;Happy Hour Gerberas nestles 2 lavender roses, 2 lavender spray chrysanthemums, 2 purple carnations and 1 purple chrysanthemum daisy into a relaxed mason jar, plus a greeting card. Happy on a sunny windowsill. Made for an anniversary or a thank-you.&lt;/p&gt;</t>
        </is>
      </c>
      <c r="Z14" s="29" t="inlineStr">
        <is>
          <t>ok</t>
        </is>
      </c>
      <c r="AA14" t="n">
        <v>135</v>
      </c>
      <c r="AB14" s="44" t="n">
        <v>7922.68</v>
      </c>
      <c r="AC14" t="n">
        <v>93</v>
      </c>
      <c r="AD14" s="45" t="n">
        <v>0.0009077570734559742</v>
      </c>
      <c r="AE14" s="45" t="n">
        <v>0.002287335032538536</v>
      </c>
      <c r="AF14" t="n">
        <v>40</v>
      </c>
    </row>
    <row r="15" ht="109.5" customHeight="1" s="24">
      <c r="A15" s="30" t="inlineStr">
        <is>
          <t>MJ102-53</t>
        </is>
      </c>
      <c r="B15" s="30" t="inlineStr">
        <is>
          <t>Make a Wish in Mason Jar Birthday Bundle</t>
        </is>
      </c>
      <c r="C15" s="30" t="inlineStr">
        <is>
          <t>Mason Jar</t>
        </is>
      </c>
      <c r="D15" s="46" t="inlineStr">
        <is>
          <t>READY - NOTIFY JARROD</t>
        </is>
      </c>
      <c r="E15" s="30" t="inlineStr">
        <is>
          <t>Alstroemeria, carnations and chrysanthemums gathered in a charming mason jar for a relaxed, country-fresh feel. A heartfelt birthday bundle that brings rustic warmth and a wish for a wonderful year ahead.</t>
        </is>
      </c>
      <c r="F15" s="30" t="inlineStr">
        <is>
          <t>Shopify (28 Sep)</t>
        </is>
      </c>
      <c r="G15" s="30" t="inlineStr">
        <is>
          <t>1 × Carnation Orange; 3 × Carnation Red; 2 × Chrysanthemum Spray Lavender; 2 × Chrysanthemum Spray yellow; 2 × Ruscus Israeli; 1 × Small Chocolates; 1 × Alstroemeria orange; Birthday Balloon</t>
        </is>
      </c>
      <c r="H15" s="30" t="inlineStr">
        <is>
          <t>1 × Carnation Orange; 3 × Carnation Red; 2 × Chrysanthemum Spray Lavender; 2 × Chrysanthemum Spray yellow; 2 × Ruscus Israeli; 1 × Small Chocolates; 1 × Alstroemeria orange; 1 × Birthday Balloon</t>
        </is>
      </c>
      <c r="I15" s="31" t="inlineStr">
        <is>
          <t>2 × Chrysanthemum Spray yellow; 1 × Birthday Balloon; 1 × Alstroemeria orange; 1 × Small Chocolates; 2 × Ruscus Israeli; 2 × Chrysanthemum Spray Lavender; 3 × Carnation Red; 1 × Carnation Orange; 1 × Mason Jar</t>
        </is>
      </c>
      <c r="J15" s="30" t="inlineStr">
        <is>
          <t>2 × Chrysanthemum Spray yellow; 1 × Birthday Balloon; 1 × Alstroemeria orange; 1 × Small Chocolates; 2 × Ruscus Israeli; 2 × Chrysanthemum Spray Lavender; 3 × Carnation Red; 1 × Carnation Orange</t>
        </is>
      </c>
      <c r="K15" s="30" t="inlineStr">
        <is>
          <t>Y</t>
        </is>
      </c>
      <c r="L15" s="30" t="n"/>
      <c r="M15" s="30" t="inlineStr">
        <is>
          <t>A mason jar arrangement of 3 red carnations, 2 lavender spray chrysanthemums, 2 yellow spray chrysanthemums, 1 orange alstroemeria and 1 orange carnation, plus a birthday balloon and a box of small chocolates. A warm gift for a birthday or a thank-you.</t>
        </is>
      </c>
      <c r="N15" s="30">
        <f>LEN(TRIM(SUBSTITUTE(M15,CHAR(10)," ")))-LEN(SUBSTITUTE(TRIM(SUBSTITUTE(M15,CHAR(10)," "))," ",""))+1</f>
        <v/>
      </c>
      <c r="O15" s="30" t="inlineStr">
        <is>
          <t>&lt;p&gt;A mason jar arrangement of 3 red carnations, 2 lavender spray chrysanthemums, 2 yellow spray chrysanthemums, 1 orange alstroemeria and 1 orange carnation, plus a birthday balloon and a box of small chocolates. A warm gift for a birthday or a thank-you.&lt;/p&gt;</t>
        </is>
      </c>
      <c r="P15" s="29" t="inlineStr">
        <is>
          <t>ok</t>
        </is>
      </c>
      <c r="Q15" s="30" t="inlineStr">
        <is>
          <t>Make a Wish in Mason Jar Birthday Bundle brings together 3 red carnations, 2 lavender spray chrysanthemums, 2 yellow spray chrysanthemums, 1 orange alstroemeria and 1 orange carnation, presented in a mason jar you can keep, plus a birthday balloon and a box of small chocolates. It suits a birthday or a thank-you.
Red tones say love and devotion. We hand-arrange each one at Aussie Blooms so it looks the way you pictured it, ready for the bedside table. Stems can vary with the season, while the red and lavender palette stays.</t>
        </is>
      </c>
      <c r="R15" s="30" t="inlineStr">
        <is>
          <t>&lt;p&gt;Make a Wish in Mason Jar Birthday Bundle brings together 3 red carnations, 2 lavender spray chrysanthemums, 2 yellow spray chrysanthemums, 1 orange alstroemeria and 1 orange carnation, presented in a mason jar you can keep, plus a birthday balloon and a box of small chocolates. It suits a birthday or a thank-you.&lt;/p&gt;&lt;p&gt;Red tones say love and devotion. We hand-arrange each one at Aussie Blooms so it looks the way you pictured it, ready for the bedside table. Stems can vary with the season, while the red and lavender palette stays.&lt;/p&gt;</t>
        </is>
      </c>
      <c r="S15" s="29" t="inlineStr">
        <is>
          <t>ok</t>
        </is>
      </c>
      <c r="T15" s="30" t="inlineStr">
        <is>
          <t>Inside the jar: 3 red carnations, 2 lavender spray chrysanthemums, 2 yellow spray chrysanthemums, 1 orange alstroemeria and 1 orange carnation, plus a birthday balloon and a box of small chocolates. Bright on purpose, and hard to walk past without smiling.</t>
        </is>
      </c>
      <c r="U15" s="30" t="inlineStr">
        <is>
          <t>&lt;p&gt;Inside the jar: 3 red carnations, 2 lavender spray chrysanthemums, 2 yellow spray chrysanthemums, 1 orange alstroemeria and 1 orange carnation, plus a birthday balloon and a box of small chocolates. Bright on purpose, and hard to walk past without smiling.&lt;/p&gt;</t>
        </is>
      </c>
      <c r="V15" s="29" t="inlineStr">
        <is>
          <t>ok</t>
        </is>
      </c>
      <c r="W15" s="30" t="inlineStr">
        <is>
          <t>Six of Mel's Best</t>
        </is>
      </c>
      <c r="X15" s="30" t="inlineStr">
        <is>
          <t>Six of Mel's Best nestles 3 red carnations, 2 lavender spray chrysanthemums, 2 yellow spray chrysanthemums, 1 orange alstroemeria and 1 orange carnation into a relaxed mason jar, plus a birthday balloon and a box of small chocolates. Happy on a sunny windowsill. Made for a birthday or a thank-you.</t>
        </is>
      </c>
      <c r="Y15" s="30" t="inlineStr">
        <is>
          <t>&lt;p&gt;Six of Mel's Best nestles 3 red carnations, 2 lavender spray chrysanthemums, 2 yellow spray chrysanthemums, 1 orange alstroemeria and 1 orange carnation into a relaxed mason jar, plus a birthday balloon and a box of small chocolates. Happy on a sunny windowsill. Made for a birthday or a thank-you.&lt;/p&gt;</t>
        </is>
      </c>
      <c r="Z15" s="29" t="inlineStr">
        <is>
          <t>ok</t>
        </is>
      </c>
      <c r="AA15" t="n">
        <v>159</v>
      </c>
      <c r="AB15" s="44" t="n">
        <v>5336.27</v>
      </c>
      <c r="AC15" t="n">
        <v>57</v>
      </c>
      <c r="AD15" s="45" t="n">
        <v>0.0006114140699539709</v>
      </c>
      <c r="AE15" s="45" t="n">
        <v>0.001540620131185914</v>
      </c>
      <c r="AF15" t="n">
        <v>44</v>
      </c>
    </row>
    <row r="16" ht="109.5" customHeight="1" s="24">
      <c r="A16" s="30" t="inlineStr">
        <is>
          <t>MDMJ-03</t>
        </is>
      </c>
      <c r="B16" s="30" t="inlineStr">
        <is>
          <t>Blooming Glory in Mason Jar</t>
        </is>
      </c>
      <c r="C16" s="30" t="inlineStr">
        <is>
          <t>Mason Jar</t>
        </is>
      </c>
      <c r="D16" s="43" t="inlineStr">
        <is>
          <t>READY TO REVIEW</t>
        </is>
      </c>
      <c r="E16" s="30" t="inlineStr">
        <is>
          <t>Eight elegant roses presented in a charming mason jar, a graceful blend of beauty and rustic warmth. A heartfelt way to celebrate a proud graduate and honour their hard-earned achievement with timeless style.</t>
        </is>
      </c>
      <c r="F16" s="30" t="inlineStr">
        <is>
          <t>Shopify (28 Sep)</t>
        </is>
      </c>
      <c r="G16" s="30" t="inlineStr">
        <is>
          <t>2 × Roses Assorted; 8 × Designer Collection stems; 2 × Ruscus Israeli; 1 × Mason Jar; 1 × Greeting Card</t>
        </is>
      </c>
      <c r="H16" s="30" t="inlineStr">
        <is>
          <t>2 × Roses Assorted; 8 × Designer Collection stems; 2 × Ruscus Israeli; 1 × Mason Jar; 1 × Greeting Card</t>
        </is>
      </c>
      <c r="I16" s="30" t="inlineStr">
        <is>
          <t>2 × Roses Assorted; 8 × Designer Collection stems; 2 × Ruscus Israeli; 1 × Mason Jar; 1 × Greeting Card</t>
        </is>
      </c>
      <c r="J16" s="30" t="inlineStr">
        <is>
          <t>2 × Ruscus Israeli; 1 × Greeting Card; 1 × Mason Jar; 8 × Designer Collection stems; 2 × Roses Assorted</t>
        </is>
      </c>
      <c r="K16" s="30" t="inlineStr">
        <is>
          <t>Y</t>
        </is>
      </c>
      <c r="L16" s="30" t="n"/>
      <c r="M16" s="30" t="inlineStr">
        <is>
          <t>A florist-designed bouquet with 8 florist's choice stems and 2 assorted-colour roses, presented in a mason jar. Stems vary with the season, so the picture is illustrative and shows the style and colour, not the exact flowers.</t>
        </is>
      </c>
      <c r="N16" s="30">
        <f>LEN(TRIM(SUBSTITUTE(M16,CHAR(10)," ")))-LEN(SUBSTITUTE(TRIM(SUBSTITUTE(M16,CHAR(10)," "))," ",""))+1</f>
        <v/>
      </c>
      <c r="O16" s="30" t="inlineStr">
        <is>
          <t>&lt;p&gt;A florist-designed bouquet with 8 florist's choice stems and 2 assorted-colour roses, presented in a mason jar. Stems vary with the season, so the picture is illustrative and shows the style and colour, not the exact flowers.&lt;/p&gt;</t>
        </is>
      </c>
      <c r="P16" s="29" t="inlineStr">
        <is>
          <t>ok</t>
        </is>
      </c>
      <c r="Q16" s="30" t="inlineStr">
        <is>
          <t>Blooming Glory in Mason Jar is an arrangement of 8 florist's choice stems and 2 assorted-colour roses, presented in a mason jar. Stems vary with the season, so the picture is illustrative and shows the style and colour, not the exact flowers.
It suits a birthday, a thank-you or a just-because moment, or any day you want to bring a little colour to a summer table.</t>
        </is>
      </c>
      <c r="R16" s="30" t="inlineStr">
        <is>
          <t>&lt;p&gt;Blooming Glory in Mason Jar is an arrangement of 8 florist's choice stems and 2 assorted-colour roses, presented in a mason jar. Stems vary with the season, so the picture is illustrative and shows the style and colour, not the exact flowers.&lt;/p&gt;&lt;p&gt;It suits a birthday, a thank-you or a just-because moment, or any day you want to bring a little colour to a summer table.&lt;/p&gt;</t>
        </is>
      </c>
      <c r="S16" s="29" t="inlineStr">
        <is>
          <t>ok</t>
        </is>
      </c>
      <c r="T16" s="30" t="inlineStr">
        <is>
          <t>In this bunch: 8 florist's choice stems and 2 assorted-colour roses in a mason jar. Stems vary with the season, so the picture is illustrative and shows the style and colour, not the exact flowers.</t>
        </is>
      </c>
      <c r="U16" s="30" t="inlineStr">
        <is>
          <t>&lt;p&gt;In this bunch: 8 florist's choice stems and 2 assorted-colour roses in a mason jar. Stems vary with the season, so the picture is illustrative and shows the style and colour, not the exact flowers.&lt;/p&gt;</t>
        </is>
      </c>
      <c r="V16" s="29" t="inlineStr">
        <is>
          <t>ok</t>
        </is>
      </c>
      <c r="W16" s="30" t="inlineStr">
        <is>
          <t>Good News</t>
        </is>
      </c>
      <c r="X16" s="30" t="inlineStr">
        <is>
          <t>Good News gathers 8 florist's choice stems and 2 assorted-colour roses into a relaxed mason jar. Stems vary with the season, so the picture is illustrative and shows the style and colour, not the exact flowers.</t>
        </is>
      </c>
      <c r="Y16" s="30" t="inlineStr">
        <is>
          <t>&lt;p&gt;Good News gathers 8 florist's choice stems and 2 assorted-colour roses into a relaxed mason jar. Stems vary with the season, so the picture is illustrative and shows the style and colour, not the exact flowers.&lt;/p&gt;</t>
        </is>
      </c>
      <c r="Z16" s="29" t="inlineStr">
        <is>
          <t>ok</t>
        </is>
      </c>
      <c r="AA16" t="n">
        <v>219</v>
      </c>
      <c r="AB16" s="44" t="n">
        <v>1365.84</v>
      </c>
      <c r="AC16" t="n">
        <v>17</v>
      </c>
      <c r="AD16" s="45" t="n">
        <v>0.000156493799476176</v>
      </c>
      <c r="AE16" s="45" t="n">
        <v>0.0003943276900659466</v>
      </c>
      <c r="AF16" t="n">
        <v>50</v>
      </c>
    </row>
    <row r="17" ht="109.5" customHeight="1" s="24">
      <c r="A17" s="30" t="inlineStr">
        <is>
          <t>MJ100-62</t>
        </is>
      </c>
      <c r="B17" s="30" t="inlineStr">
        <is>
          <t>Peaceful Clouds in Mason Jar</t>
        </is>
      </c>
      <c r="C17" s="30" t="inlineStr">
        <is>
          <t>Mason Jar</t>
        </is>
      </c>
      <c r="D17" s="43" t="inlineStr">
        <is>
          <t>READY TO REVIEW</t>
        </is>
      </c>
      <c r="E17" s="30" t="inlineStr">
        <is>
          <t>Soft alstroemeria and gentle roses arranged in a serene mason jar, evoking a sense of calm and quiet comfort. A tender choice for welcoming a new baby or offering heartfelt sympathy, these soothing blooms speak gently when words feel hard to find.</t>
        </is>
      </c>
      <c r="F17" s="30" t="inlineStr">
        <is>
          <t>Shopify (28 Sep)</t>
        </is>
      </c>
      <c r="G17" s="30" t="inlineStr">
        <is>
          <t>2 × Roses Spray White; 3 × Roses White; 1 × Limonium White; 2 × Ruscus Israeli; 1 × Mason Jar; 2 × Alstroemeria White</t>
        </is>
      </c>
      <c r="H17" s="30" t="inlineStr">
        <is>
          <t>2 × Roses Spray White; 3 × Roses White; 1 × Limonium White; 2 × Ruscus Israeli; 1 × Mason Jar; 2 × Alstroemeria White</t>
        </is>
      </c>
      <c r="I17" s="30" t="inlineStr">
        <is>
          <t>2 × Roses Spray White; 3 × Roses White; 1 × Limonium White; 2 × Ruscus Israeli; 1 × Mason Jar; 2 × Alstroemeria White</t>
        </is>
      </c>
      <c r="J17" s="30" t="inlineStr">
        <is>
          <t>1 × Limonium White; 2 × Alstroemeria White; 1 × Mason Jar; 2 × Ruscus Israeli; 3 × Roses White; 2 × Roses Spray White</t>
        </is>
      </c>
      <c r="K17" s="30" t="inlineStr">
        <is>
          <t>Y</t>
        </is>
      </c>
      <c r="L17" s="30" t="n"/>
      <c r="M17" s="30" t="inlineStr">
        <is>
          <t>A mason jar arrangement of 3 white roses, 2 white alstroemeria and 2 white spray roses. A warm gift for a birthday, a thank-you or a just-because moment, and the mason jar stays useful long after.</t>
        </is>
      </c>
      <c r="N17" s="30">
        <f>LEN(TRIM(SUBSTITUTE(M17,CHAR(10)," ")))-LEN(SUBSTITUTE(TRIM(SUBSTITUTE(M17,CHAR(10)," "))," ",""))+1</f>
        <v/>
      </c>
      <c r="O17" s="30" t="inlineStr">
        <is>
          <t>&lt;p&gt;A mason jar arrangement of 3 white roses, 2 white alstroemeria and 2 white spray roses. A warm gift for a birthday, a thank-you or a just-because moment, and the mason jar stays useful long after.&lt;/p&gt;</t>
        </is>
      </c>
      <c r="P17" s="29" t="inlineStr">
        <is>
          <t>ok</t>
        </is>
      </c>
      <c r="Q17" s="30" t="inlineStr">
        <is>
          <t>Peaceful Clouds in Mason Jar brings together 3 white roses, 2 white alstroemeria and 2 white spray roses, presented in a mason jar you can keep. It suits a birthday, a thank-you or a just-because moment.
White tones say calm and a fresh start. We hand-arrange each one at Aussie Blooms so it looks the way you pictured it, ready for the kitchen bench. Stems can vary with the season, while the white palette stays.</t>
        </is>
      </c>
      <c r="R17" s="30" t="inlineStr">
        <is>
          <t>&lt;p&gt;Peaceful Clouds in Mason Jar brings together 3 white roses, 2 white alstroemeria and 2 white spray roses, presented in a mason jar you can keep. It suits a birthday, a thank-you or a just-because moment.&lt;/p&gt;&lt;p&gt;White tones say calm and a fresh start. We hand-arrange each one at Aussie Blooms so it looks the way you pictured it, ready for the kitchen bench. Stems can vary with the season, while the white palette stays.&lt;/p&gt;</t>
        </is>
      </c>
      <c r="S17" s="29" t="inlineStr">
        <is>
          <t>ok</t>
        </is>
      </c>
      <c r="T17" s="30" t="inlineStr">
        <is>
          <t>Inside the jar: 3 white roses, 2 white alstroemeria and 2 white spray roses. Calm colour for the kind of day that deserves a pause.</t>
        </is>
      </c>
      <c r="U17" s="30" t="inlineStr">
        <is>
          <t>&lt;p&gt;Inside the jar: 3 white roses, 2 white alstroemeria and 2 white spray roses. Calm colour for the kind of day that deserves a pause.&lt;/p&gt;</t>
        </is>
      </c>
      <c r="V17" s="29" t="inlineStr">
        <is>
          <t>ok</t>
        </is>
      </c>
      <c r="W17" s="30" t="inlineStr">
        <is>
          <t>The Hydrangea Bunch</t>
        </is>
      </c>
      <c r="X17" s="30" t="inlineStr">
        <is>
          <t>The Hydrangea Bunch gathers 3 white roses, 2 white alstroemeria and 2 white spray roses into a relaxed mason jar. Right at home on a kitchen bench next to the morning cuppa. Made for a birthday, a thank-you or a just-because moment.</t>
        </is>
      </c>
      <c r="Y17" s="30" t="inlineStr">
        <is>
          <t>&lt;p&gt;The Hydrangea Bunch gathers 3 white roses, 2 white alstroemeria and 2 white spray roses into a relaxed mason jar. Right at home on a kitchen bench next to the morning cuppa. Made for a birthday, a thank-you or a just-because moment.&lt;/p&gt;</t>
        </is>
      </c>
      <c r="Z17" s="29" t="inlineStr">
        <is>
          <t>ok</t>
        </is>
      </c>
      <c r="AA17" t="n">
        <v>13</v>
      </c>
      <c r="AB17" s="44" t="n">
        <v>158872.91</v>
      </c>
      <c r="AC17" t="n">
        <v>2744</v>
      </c>
      <c r="AD17" s="45" t="n">
        <v>0.01820317568399692</v>
      </c>
      <c r="AE17" s="45" t="n">
        <v>0.04586773561228454</v>
      </c>
      <c r="AF17" t="n">
        <v>7</v>
      </c>
    </row>
    <row r="18" ht="109.5" customHeight="1" s="24">
      <c r="A18" s="30" t="inlineStr">
        <is>
          <t>CCS-APR</t>
        </is>
      </c>
      <c r="B18" s="30" t="inlineStr">
        <is>
          <t>Posh Pink in Mason Jar</t>
        </is>
      </c>
      <c r="C18" s="30" t="inlineStr">
        <is>
          <t>Mason Jar</t>
        </is>
      </c>
      <c r="D18" s="43" t="inlineStr">
        <is>
          <t>READY TO REVIEW</t>
        </is>
      </c>
      <c r="E18" s="30" t="n"/>
      <c r="F18" s="30" t="inlineStr">
        <is>
          <t>none</t>
        </is>
      </c>
      <c r="G18" s="30" t="inlineStr">
        <is>
          <t>1 × Roses Spray Pink; 2 × Roses Cream; 1 × Limonium Pink; 1 × Chrysanthemum Spray White; 2 × Ruscus Israeli; 1 × Mason Jar; 2 × Mini Carnations White; 1 × Limonium white; 1 × Alstroemeria Pink</t>
        </is>
      </c>
      <c r="H18" s="30" t="inlineStr">
        <is>
          <t>1 × Roses Spray Pink; 2 × Roses Cream; 1 × Limonium Pink; 1 × Chrysanthemum Spray White; 2 × Ruscus Israeli; 1 × Mason Jar; 2 × Mini Carnations White; 1 × Limonium White; 1 × Alstroemeria Pink</t>
        </is>
      </c>
      <c r="I18" s="31" t="inlineStr">
        <is>
          <t>1 × Roses Spray Pink; 2 × Roses Cream; 1 × Limonium Pink; 1 × Chrysanthemum Spray White; 2 × Ruscus Israeli; 1 × Mason Jar; 2 × Mini Carnations White; 1 × Limonium White; 1 × Alstroemeria Pink</t>
        </is>
      </c>
      <c r="J18" s="30" t="inlineStr">
        <is>
          <t>1 × Chrysanthemum Spray White; 1 × Alstroemeria Pink; 1 × Limonium White; 2 × Mini Carnations White; 1 × Mason Jar; 2 × Ruscus Israeli; 1 × Limonium Pink; 2 × Roses Cream; 1 × Roses Spray Pink</t>
        </is>
      </c>
      <c r="K18" s="30" t="inlineStr">
        <is>
          <t>N</t>
        </is>
      </c>
      <c r="L18" s="30" t="n"/>
      <c r="M18" s="30" t="inlineStr">
        <is>
          <t>A hand-arranged mason jar bouquet of 2 cream roses, 1 pink alstroemeria, 1 pink spray rose and 1 white spray chrysanthemum. A lovely way to mark a birthday, a thank-you or a just-because moment, with a mason jar to keep once the flowers are gone.</t>
        </is>
      </c>
      <c r="N18" s="30">
        <f>LEN(TRIM(SUBSTITUTE(M18,CHAR(10)," ")))-LEN(SUBSTITUTE(TRIM(SUBSTITUTE(M18,CHAR(10)," "))," ",""))+1</f>
        <v/>
      </c>
      <c r="O18" s="30" t="inlineStr">
        <is>
          <t>&lt;p&gt;A hand-arranged mason jar bouquet of 2 cream roses, 1 pink alstroemeria, 1 pink spray rose and 1 white spray chrysanthemum. A lovely way to mark a birthday, a thank-you or a just-because moment, with a mason jar to keep once the flowers are gone.&lt;/p&gt;</t>
        </is>
      </c>
      <c r="P18" s="29" t="inlineStr">
        <is>
          <t>ok</t>
        </is>
      </c>
      <c r="Q18" s="30" t="inlineStr">
        <is>
          <t>Posh Pink in Mason Jar brings together 2 cream roses, 1 pink alstroemeria, 1 pink spray rose and 1 white spray chrysanthemum, presented in a mason jar you can keep. It suits a birthday, a thank-you or a just-because moment.
White tones say calm and a fresh start. We hand-arrange each one at Aussie Blooms so it looks the way you pictured it, ready for a summer table. Stems can vary with the season, while the white and cream palette stays.</t>
        </is>
      </c>
      <c r="R18" s="30" t="inlineStr">
        <is>
          <t>&lt;p&gt;Posh Pink in Mason Jar brings together 2 cream roses, 1 pink alstroemeria, 1 pink spray rose and 1 white spray chrysanthemum, presented in a mason jar you can keep. It suits a birthday, a thank-you or a just-because moment.&lt;/p&gt;&lt;p&gt;White tones say calm and a fresh start. We hand-arrange each one at Aussie Blooms so it looks the way you pictured it, ready for a summer table. Stems can vary with the season, while the white and cream palette stays.&lt;/p&gt;</t>
        </is>
      </c>
      <c r="S18" s="29" t="inlineStr">
        <is>
          <t>ok</t>
        </is>
      </c>
      <c r="T18" s="30" t="inlineStr">
        <is>
          <t>In the jar: 2 cream roses, 1 pink alstroemeria, 1 pink spray rose and 1 white spray chrysanthemum. Soft colours that make a quiet room feel looked after.</t>
        </is>
      </c>
      <c r="U18" s="30" t="inlineStr">
        <is>
          <t>&lt;p&gt;In the jar: 2 cream roses, 1 pink alstroemeria, 1 pink spray rose and 1 white spray chrysanthemum. Soft colours that make a quiet room feel looked after.&lt;/p&gt;</t>
        </is>
      </c>
      <c r="V18" s="29" t="inlineStr">
        <is>
          <t>ok</t>
        </is>
      </c>
      <c r="W18" s="30" t="inlineStr">
        <is>
          <t>Loud and Lovely</t>
        </is>
      </c>
      <c r="X18" s="30" t="inlineStr">
        <is>
          <t>Loud and Lovely tucks 2 cream roses, 1 pink alstroemeria, 1 pink spray rose and 1 white spray chrysanthemum into a relaxed mason jar. Lovely on a bedside table, or anywhere it can be seen. A good fit for a birthday, a thank-you or a just-because moment. A little wild, a little imperfect, the way a jar should be.</t>
        </is>
      </c>
      <c r="Y18" s="30" t="inlineStr">
        <is>
          <t>&lt;p&gt;Loud and Lovely tucks 2 cream roses, 1 pink alstroemeria, 1 pink spray rose and 1 white spray chrysanthemum into a relaxed mason jar. Lovely on a bedside table, or anywhere it can be seen. A good fit for a birthday, a thank-you or a just-because moment. A little wild, a little imperfect, the way a jar should be.&lt;/p&gt;</t>
        </is>
      </c>
      <c r="Z18" s="29" t="inlineStr">
        <is>
          <t>ok</t>
        </is>
      </c>
      <c r="AA18" t="n">
        <v>123</v>
      </c>
      <c r="AB18" s="44" t="n">
        <v>9065.809999999999</v>
      </c>
      <c r="AC18" t="n">
        <v>95</v>
      </c>
      <c r="AD18" s="45" t="n">
        <v>0.00103873297914039</v>
      </c>
      <c r="AE18" s="45" t="n">
        <v>0.002617363612045891</v>
      </c>
      <c r="AF18" t="n">
        <v>38</v>
      </c>
    </row>
    <row r="19" ht="109.5" customHeight="1" s="24">
      <c r="A19" s="30" t="inlineStr">
        <is>
          <t>MJ55-01</t>
        </is>
      </c>
      <c r="B19" s="30" t="inlineStr">
        <is>
          <t>Radiant Roses in Mason Jar</t>
        </is>
      </c>
      <c r="C19" s="30" t="inlineStr">
        <is>
          <t>Mason Jar</t>
        </is>
      </c>
      <c r="D19" s="43" t="inlineStr">
        <is>
          <t>READY TO REVIEW</t>
        </is>
      </c>
      <c r="E19" s="30" t="inlineStr">
        <is>
          <t>Fourteen radiant roses arranged in a charming mason jar, where classic romance meets relaxed, rustic charm. A timeless gesture for an anniversary or birthday, or simply a beautiful way to tell someone you're thinking of them just because.</t>
        </is>
      </c>
      <c r="F19" s="30" t="inlineStr">
        <is>
          <t>Shopify (28 Sep)</t>
        </is>
      </c>
      <c r="G19" s="30" t="inlineStr">
        <is>
          <t>3 × Roses Red; 1 × Baby's Breath; 1 × Ruscus Israeli; 1 × Mason Jar</t>
        </is>
      </c>
      <c r="H19" s="30" t="inlineStr">
        <is>
          <t>3 × Roses Red; 1 × Baby's Breath; 1 × Ruscus Israeli; 1 × Mason Jar</t>
        </is>
      </c>
      <c r="I19" s="30" t="inlineStr">
        <is>
          <t>3 × Roses Red; 1 × Baby's Breath; 1 × Ruscus Israeli; 1 × Mason Jar</t>
        </is>
      </c>
      <c r="J19" s="30" t="inlineStr">
        <is>
          <t>3 × Roses Red; 1 × Mason Jar; 1 × Ruscus Israeli; 1 × Baby's Breath</t>
        </is>
      </c>
      <c r="K19" s="30" t="inlineStr">
        <is>
          <t>Y</t>
        </is>
      </c>
      <c r="L19" s="30" t="n"/>
      <c r="M19" s="30" t="inlineStr">
        <is>
          <t>A mason jar arrangement of 3 red roses. A lovely way to mark an anniversary or a thank-you, and a bright moment when the door opens.</t>
        </is>
      </c>
      <c r="N19" s="30">
        <f>LEN(TRIM(SUBSTITUTE(M19,CHAR(10)," ")))-LEN(SUBSTITUTE(TRIM(SUBSTITUTE(M19,CHAR(10)," "))," ",""))+1</f>
        <v/>
      </c>
      <c r="O19" s="30" t="inlineStr">
        <is>
          <t>&lt;p&gt;A mason jar arrangement of 3 red roses. A lovely way to mark an anniversary or a thank-you, and a bright moment when the door opens.&lt;/p&gt;</t>
        </is>
      </c>
      <c r="P19" s="29" t="inlineStr">
        <is>
          <t>ok</t>
        </is>
      </c>
      <c r="Q19" s="30" t="inlineStr">
        <is>
          <t>Radiant Roses in Mason Jar brings together 3 red roses, presented in a mason jar you can keep. It suits an anniversary or a thank-you.
Red tones say love and devotion. We hand-arrange each one at Aussie Blooms so it looks the way you pictured it, ready for the bedside table. Stems can vary with the season, while the red palette stays.</t>
        </is>
      </c>
      <c r="R19" s="30" t="inlineStr">
        <is>
          <t>&lt;p&gt;Radiant Roses in Mason Jar brings together 3 red roses, presented in a mason jar you can keep. It suits an anniversary or a thank-you.&lt;/p&gt;&lt;p&gt;Red tones say love and devotion. We hand-arrange each one at Aussie Blooms so it looks the way you pictured it, ready for the bedside table. Stems can vary with the season, while the red palette stays.&lt;/p&gt;</t>
        </is>
      </c>
      <c r="S19" s="29" t="inlineStr">
        <is>
          <t>ok</t>
        </is>
      </c>
      <c r="T19" s="30" t="inlineStr">
        <is>
          <t>The jar holds: 3 red roses. The classic, handed over without a single word of explanation.</t>
        </is>
      </c>
      <c r="U19" s="30" t="inlineStr">
        <is>
          <t>&lt;p&gt;The jar holds: 3 red roses. The classic, handed over without a single word of explanation.&lt;/p&gt;</t>
        </is>
      </c>
      <c r="V19" s="29" t="inlineStr">
        <is>
          <t>ok</t>
        </is>
      </c>
      <c r="W19" s="30" t="inlineStr">
        <is>
          <t>Blow Out the Candles Bundle</t>
        </is>
      </c>
      <c r="X19" s="30" t="inlineStr">
        <is>
          <t>Blow Out the Candles Bundle nestles 3 red roses into a relaxed mason jar. Happy on a sunny windowsill. Made for an anniversary or a thank-you. A little wild, a little imperfect, the way a jar should be.</t>
        </is>
      </c>
      <c r="Y19" s="30" t="inlineStr">
        <is>
          <t>&lt;p&gt;Blow Out the Candles Bundle nestles 3 red roses into a relaxed mason jar. Happy on a sunny windowsill. Made for an anniversary or a thank-you. A little wild, a little imperfect, the way a jar should be.&lt;/p&gt;</t>
        </is>
      </c>
      <c r="Z19" s="29" t="inlineStr">
        <is>
          <t>ok</t>
        </is>
      </c>
      <c r="AA19" t="n">
        <v>108</v>
      </c>
      <c r="AB19" s="44" t="n">
        <v>12932.2</v>
      </c>
      <c r="AC19" t="n">
        <v>212</v>
      </c>
      <c r="AD19" s="45" t="n">
        <v>0.00148173208947754</v>
      </c>
      <c r="AE19" s="45" t="n">
        <v>0.003733617524119329</v>
      </c>
      <c r="AF19" t="n">
        <v>35</v>
      </c>
    </row>
    <row r="20" ht="109.5" customHeight="1" s="24">
      <c r="A20" s="30" t="inlineStr">
        <is>
          <t>SB-01MJ</t>
        </is>
      </c>
      <c r="B20" s="30" t="inlineStr">
        <is>
          <t>Sweet Blossom in Mason Jar</t>
        </is>
      </c>
      <c r="C20" s="30" t="inlineStr">
        <is>
          <t>Mason Jar</t>
        </is>
      </c>
      <c r="D20" s="43" t="inlineStr">
        <is>
          <t>READY TO REVIEW</t>
        </is>
      </c>
      <c r="E20" s="30" t="inlineStr">
        <is>
          <t>A generous abundance of chrysanthemums fills this charming mason jar with sweet, blossoming colour and cheer. Bright and uplifting, it's a lovely way to send congratulations, brighten a recovery, or warmly welcome someone to their new home.</t>
        </is>
      </c>
      <c r="F20" s="30" t="inlineStr">
        <is>
          <t>Shopify (28 Sep)</t>
        </is>
      </c>
      <c r="G20" s="30" t="inlineStr">
        <is>
          <t>4 × Chrysanthemum Spray White; 4 × Chrysanthemum Spray Lavender; 2 × Ruscus Israeli; 1 × Mason Jar</t>
        </is>
      </c>
      <c r="H20" s="30" t="inlineStr">
        <is>
          <t>4 × Chrysanthemum Spray White; 4 × Chrysanthemum Spray Lavender; 2 × Ruscus Israeli; 1 × Mason Jar</t>
        </is>
      </c>
      <c r="I20" s="30" t="inlineStr">
        <is>
          <t>4 × Chrysanthemum Spray White; 4 × Chrysanthemum Spray Lavender; 2 × Ruscus Israeli; 1 × Mason Jar</t>
        </is>
      </c>
      <c r="J20" s="30" t="inlineStr">
        <is>
          <t>2 × Ruscus Israeli; 1 × Mason Jar; 4 × Chrysanthemum Spray Lavender; 4 × Chrysanthemum Spray White</t>
        </is>
      </c>
      <c r="K20" s="30" t="inlineStr">
        <is>
          <t>Y</t>
        </is>
      </c>
      <c r="L20" s="30" t="n"/>
      <c r="M20" s="30" t="inlineStr">
        <is>
          <t>A hand-arranged mason jar bouquet of 4 lavender spray chrysanthemums and 4 white spray chrysanthemums. A thoughtful choice for a birthday, a thank-you or a just-because moment, with a mason jar to keep once the flowers are gone.</t>
        </is>
      </c>
      <c r="N20" s="30">
        <f>LEN(TRIM(SUBSTITUTE(M20,CHAR(10)," ")))-LEN(SUBSTITUTE(TRIM(SUBSTITUTE(M20,CHAR(10)," "))," ",""))+1</f>
        <v/>
      </c>
      <c r="O20" s="30" t="inlineStr">
        <is>
          <t>&lt;p&gt;A hand-arranged mason jar bouquet of 4 lavender spray chrysanthemums and 4 white spray chrysanthemums. A thoughtful choice for a birthday, a thank-you or a just-because moment, with a mason jar to keep once the flowers are gone.&lt;/p&gt;</t>
        </is>
      </c>
      <c r="P20" s="29" t="inlineStr">
        <is>
          <t>ok</t>
        </is>
      </c>
      <c r="Q20" s="30" t="inlineStr">
        <is>
          <t>Sweet Blossom in Mason Jar brings together 4 lavender spray chrysanthemums and 4 white spray chrysanthemums, presented in a mason jar you can keep. It suits a birthday, a thank-you or a just-because moment.
Lavender tones say thoughtfulness. We hand-arrange each one at Aussie Blooms so it looks the way you pictured it, ready for a summer table. Stems can vary with the season, while the lavender and white palette stays.</t>
        </is>
      </c>
      <c r="R20" s="30" t="inlineStr">
        <is>
          <t>&lt;p&gt;Sweet Blossom in Mason Jar brings together 4 lavender spray chrysanthemums and 4 white spray chrysanthemums, presented in a mason jar you can keep. It suits a birthday, a thank-you or a just-because moment.&lt;/p&gt;&lt;p&gt;Lavender tones say thoughtfulness. We hand-arrange each one at Aussie Blooms so it looks the way you pictured it, ready for a summer table. Stems can vary with the season, while the lavender and white palette stays.&lt;/p&gt;</t>
        </is>
      </c>
      <c r="S20" s="29" t="inlineStr">
        <is>
          <t>ok</t>
        </is>
      </c>
      <c r="T20" s="30" t="inlineStr">
        <is>
          <t>The jar holds: 4 lavender spray chrysanthemums and 4 white spray chrysanthemums. Gentle, easy on the eye, and ready for any table you give it.</t>
        </is>
      </c>
      <c r="U20" s="30" t="inlineStr">
        <is>
          <t>&lt;p&gt;The jar holds: 4 lavender spray chrysanthemums and 4 white spray chrysanthemums. Gentle, easy on the eye, and ready for any table you give it.&lt;/p&gt;</t>
        </is>
      </c>
      <c r="V20" s="29" t="inlineStr">
        <is>
          <t>ok</t>
        </is>
      </c>
      <c r="W20" s="30" t="inlineStr">
        <is>
          <t>Mel's Favourite</t>
        </is>
      </c>
      <c r="X20" s="30" t="inlineStr">
        <is>
          <t>Mel's Favourite tucks 4 lavender spray chrysanthemums and 4 white spray chrysanthemums into a relaxed mason jar. Lovely on a bedside table, or anywhere it can be seen. A good fit for a birthday, a thank-you or a just-because moment. A little wild, a little imperfect, the way a jar should be.</t>
        </is>
      </c>
      <c r="Y20" s="30" t="inlineStr">
        <is>
          <t>&lt;p&gt;Mel's Favourite tucks 4 lavender spray chrysanthemums and 4 white spray chrysanthemums into a relaxed mason jar. Lovely on a bedside table, or anywhere it can be seen. A good fit for a birthday, a thank-you or a just-because moment. A little wild, a little imperfect, the way a jar should be.&lt;/p&gt;</t>
        </is>
      </c>
      <c r="Z20" s="29" t="inlineStr">
        <is>
          <t>ok</t>
        </is>
      </c>
      <c r="AA20" t="n">
        <v>130</v>
      </c>
      <c r="AB20" s="44" t="n">
        <v>8364.33</v>
      </c>
      <c r="AC20" t="n">
        <v>96</v>
      </c>
      <c r="AD20" s="45" t="n">
        <v>0.0009583597601184341</v>
      </c>
      <c r="AE20" s="45" t="n">
        <v>0.002414841940860335</v>
      </c>
      <c r="AF20" t="n">
        <v>39</v>
      </c>
    </row>
    <row r="21" ht="109.5" customHeight="1" s="24">
      <c r="A21" s="30" t="inlineStr">
        <is>
          <t>MJ100-17</t>
        </is>
      </c>
      <c r="B21" s="30" t="inlineStr">
        <is>
          <t>Thirty Blooms of Alstroemeria in Mason Jar</t>
        </is>
      </c>
      <c r="C21" s="30" t="inlineStr">
        <is>
          <t>Mason Jar</t>
        </is>
      </c>
      <c r="D21" s="46" t="inlineStr">
        <is>
          <t>READY - NOTIFY JARROD</t>
        </is>
      </c>
      <c r="E21" s="30" t="inlineStr">
        <is>
          <t>Thirty Blooms of Alstroemeria in Mason Jar sends cheerful colour in a practical display-ready gift. Choose it for birthdays, congratulations, thank-you notes, and get-well wishes. 
 Alstroemeria brings a lively, layered look with many small blooms. 
 The mason jar makes the arrangement easy to place at home or work. 
 Bright mixed tones suit warm messages and everyday celebrations. 
 Review the delivery date and add your card message at checkout.</t>
        </is>
      </c>
      <c r="F21" s="30" t="inlineStr">
        <is>
          <t>Shopify (28 Sep)</t>
        </is>
      </c>
      <c r="G21" s="30" t="inlineStr">
        <is>
          <t>10 × Alstroemeria assorted</t>
        </is>
      </c>
      <c r="H21" s="30" t="inlineStr">
        <is>
          <t>10 × Alstroemeria assorted</t>
        </is>
      </c>
      <c r="I21" s="31" t="inlineStr">
        <is>
          <t>10 × Alstroemeria assorted; 1 × Mason Jar; 2 × Ruscus Israeli</t>
        </is>
      </c>
      <c r="J21" s="30" t="inlineStr">
        <is>
          <t>10 × Alstroemeria assorted</t>
        </is>
      </c>
      <c r="K21" s="30" t="inlineStr">
        <is>
          <t>Y</t>
        </is>
      </c>
      <c r="L21" s="30" t="inlineStr">
        <is>
          <t>Title blooms vs stems: Title counts blooms, recipe counts stems; bridge wording needs blooms per stem from Alejandro/Benny</t>
        </is>
      </c>
      <c r="M21" s="30" t="inlineStr">
        <is>
          <t>A mason jar arrangement of 10 assorted-colour alstroemeria. A lovely way to mark a birthday, a thank-you or a just-because moment, and a bright moment when the door opens.</t>
        </is>
      </c>
      <c r="N21" s="30">
        <f>LEN(TRIM(SUBSTITUTE(M21,CHAR(10)," ")))-LEN(SUBSTITUTE(TRIM(SUBSTITUTE(M21,CHAR(10)," "))," ",""))+1</f>
        <v/>
      </c>
      <c r="O21" s="30" t="inlineStr">
        <is>
          <t>&lt;p&gt;A mason jar arrangement of 10 assorted-colour alstroemeria. A lovely way to mark a birthday, a thank-you or a just-because moment, and a bright moment when the door opens.&lt;/p&gt;</t>
        </is>
      </c>
      <c r="P21" s="29" t="inlineStr">
        <is>
          <t>ok</t>
        </is>
      </c>
      <c r="Q21" s="30" t="inlineStr">
        <is>
          <t>Thirty Blooms of Alstroemeria in Mason Jar brings together 10 assorted-colour alstroemeria, presented in a mason jar you can keep. It suits a birthday, a thank-you or a just-because moment.
Mixed colours say thoughtfulness. We hand-arrange each one at Aussie Blooms so it looks the way you pictured it, ready for the kitchen bench. Stems can vary with the season, while the colourful palette stays.</t>
        </is>
      </c>
      <c r="R21" s="30" t="inlineStr">
        <is>
          <t>&lt;p&gt;Thirty Blooms of Alstroemeria in Mason Jar brings together 10 assorted-colour alstroemeria, presented in a mason jar you can keep. It suits a birthday, a thank-you or a just-because moment.&lt;/p&gt;&lt;p&gt;Mixed colours say thoughtfulness. We hand-arrange each one at Aussie Blooms so it looks the way you pictured it, ready for the kitchen bench. Stems can vary with the season, while the colourful palette stays.&lt;/p&gt;</t>
        </is>
      </c>
      <c r="S21" s="29" t="inlineStr">
        <is>
          <t>ok</t>
        </is>
      </c>
      <c r="T21" s="30" t="inlineStr">
        <is>
          <t>Inside the jar: 10 assorted-colour alstroemeria. Made for the moment someone opens the door and smiles.</t>
        </is>
      </c>
      <c r="U21" s="30" t="inlineStr">
        <is>
          <t>&lt;p&gt;Inside the jar: 10 assorted-colour alstroemeria. Made for the moment someone opens the door and smiles.&lt;/p&gt;</t>
        </is>
      </c>
      <c r="V21" s="29" t="inlineStr">
        <is>
          <t>ok</t>
        </is>
      </c>
      <c r="W21" s="30" t="inlineStr">
        <is>
          <t>Soft Landing</t>
        </is>
      </c>
      <c r="X21" s="30" t="inlineStr">
        <is>
          <t>Soft Landing gathers 10 assorted-colour alstroemeria into a relaxed mason jar. Right at home on a kitchen bench next to the morning cuppa. Made for a birthday, a thank-you or a just-because moment. A little wild, a little imperfect, the way a jar should be.</t>
        </is>
      </c>
      <c r="Y21" s="30" t="inlineStr">
        <is>
          <t>&lt;p&gt;Soft Landing gathers 10 assorted-colour alstroemeria into a relaxed mason jar. Right at home on a kitchen bench next to the morning cuppa. Made for a birthday, a thank-you or a just-because moment. A little wild, a little imperfect, the way a jar should be.&lt;/p&gt;</t>
        </is>
      </c>
      <c r="Z21" s="29" t="inlineStr">
        <is>
          <t>ok</t>
        </is>
      </c>
      <c r="AA21" t="n">
        <v>17</v>
      </c>
      <c r="AB21" s="44" t="n">
        <v>131407.94</v>
      </c>
      <c r="AC21" t="n">
        <v>2228</v>
      </c>
      <c r="AD21" s="45" t="n">
        <v>0.01505632248209876</v>
      </c>
      <c r="AE21" s="45" t="n">
        <v>0.03793840321550777</v>
      </c>
      <c r="AF21" t="n">
        <v>8</v>
      </c>
    </row>
    <row r="22" ht="109.5" customHeight="1" s="24">
      <c r="A22" s="30" t="inlineStr">
        <is>
          <t>MJ100-20</t>
        </is>
      </c>
      <c r="B22" s="30" t="inlineStr">
        <is>
          <t>Beautiful in Blue in Mason Jar</t>
        </is>
      </c>
      <c r="C22" s="30" t="inlineStr">
        <is>
          <t>Mason Jar</t>
        </is>
      </c>
      <c r="D22" s="43" t="inlineStr">
        <is>
          <t>READY TO REVIEW</t>
        </is>
      </c>
      <c r="E22" s="30" t="inlineStr">
        <is>
          <t>In this lovely bouquet, the peace and beauty of blue combines with the purity and grace of white is a lovely gift for any ocassion but when sent in sympathy this arrangement will surely convey strength and support during a time of loss. Includes Mason Jar. The bouquet contains a beautiful selection of flower such as cream Roses, white Lilies, and Alstroemeria as well as white Chrysanthemums, Eucalyptus, and more. Approximately 15 1/2" W x 16 1/2" H.</t>
        </is>
      </c>
      <c r="F22" s="30" t="inlineStr">
        <is>
          <t>Shopify (28 Sep)</t>
        </is>
      </c>
      <c r="G22" s="30" t="inlineStr">
        <is>
          <t>3 × Roses Cream; 1 × Eryngium; 2 × Carnation blue; 3 × Chrysanthemum Daisies White; 2 × Ruscus Israeli; 1 × Mason Jar; 2 × Alstroemeria White</t>
        </is>
      </c>
      <c r="H22" s="30" t="inlineStr">
        <is>
          <t>3 × Roses Cream; 1 × Eryngium; 2 × Carnations Blue; 3 × Chrysanthemum Daisies White; 2 × Ruscus Israeli; 1 × Mason Jar; 2 × Alstroemeria White</t>
        </is>
      </c>
      <c r="I22" s="31" t="inlineStr">
        <is>
          <t>3 × Roses Cream; 1 × Eryngium; 2 × Carnations Blue; 3 × Chrysanthemum Daisies White; 2 × Ruscus Israeli; 1 × Mason Jar; 2 × Alstroemeria White</t>
        </is>
      </c>
      <c r="J22" s="30" t="inlineStr">
        <is>
          <t>3 × Chrysanthemum Daisies White; 2 × Alstroemeria White; 1 × Mason Jar; 2 × Ruscus Israeli; 2 × Carnations Blue; 1 × Eryngium; 3 × Roses Cream</t>
        </is>
      </c>
      <c r="K22" s="30" t="inlineStr">
        <is>
          <t>N</t>
        </is>
      </c>
      <c r="L22" s="30" t="n"/>
      <c r="M22" s="30" t="inlineStr">
        <is>
          <t>A hand-arranged mason jar bouquet of 3 cream roses, 3 white chrysanthemum daisies, 2 blue carnations and 2 white alstroemeria. A warm gift for a birthday, a thank-you or a just-because moment, with a mason jar to keep once the flowers are gone.</t>
        </is>
      </c>
      <c r="N22" s="30">
        <f>LEN(TRIM(SUBSTITUTE(M22,CHAR(10)," ")))-LEN(SUBSTITUTE(TRIM(SUBSTITUTE(M22,CHAR(10)," "))," ",""))+1</f>
        <v/>
      </c>
      <c r="O22" s="30" t="inlineStr">
        <is>
          <t>&lt;p&gt;A hand-arranged mason jar bouquet of 3 cream roses, 3 white chrysanthemum daisies, 2 blue carnations and 2 white alstroemeria. A warm gift for a birthday, a thank-you or a just-because moment, with a mason jar to keep once the flowers are gone.&lt;/p&gt;</t>
        </is>
      </c>
      <c r="P22" s="29" t="inlineStr">
        <is>
          <t>ok</t>
        </is>
      </c>
      <c r="Q22" s="30" t="inlineStr">
        <is>
          <t>Beautiful in Blue in Mason Jar brings together 3 cream roses, 3 white chrysanthemum daisies, 2 blue carnations and 2 white alstroemeria, presented in a mason jar you can keep. It suits a birthday, a thank-you or a just-because moment.
White tones say calm and a fresh start. We hand-arrange each one at Aussie Blooms so it looks the way you pictured it, ready for a Sunday lunch. Stems can vary with the season, while the white and cream palette stays.</t>
        </is>
      </c>
      <c r="R22" s="30" t="inlineStr">
        <is>
          <t>&lt;p&gt;Beautiful in Blue in Mason Jar brings together 3 cream roses, 3 white chrysanthemum daisies, 2 blue carnations and 2 white alstroemeria, presented in a mason jar you can keep. It suits a birthday, a thank-you or a just-because moment.&lt;/p&gt;&lt;p&gt;White tones say calm and a fresh start. We hand-arrange each one at Aussie Blooms so it looks the way you pictured it, ready for a Sunday lunch. Stems can vary with the season, while the white and cream palette stays.&lt;/p&gt;</t>
        </is>
      </c>
      <c r="S22" s="29" t="inlineStr">
        <is>
          <t>ok</t>
        </is>
      </c>
      <c r="T22" s="30" t="inlineStr">
        <is>
          <t>Inside the jar: 3 cream roses, 3 white chrysanthemum daisies, 2 blue carnations and 2 white alstroemeria. Calm colour for the kind of day that deserves a pause.</t>
        </is>
      </c>
      <c r="U22" s="30" t="inlineStr">
        <is>
          <t>&lt;p&gt;Inside the jar: 3 cream roses, 3 white chrysanthemum daisies, 2 blue carnations and 2 white alstroemeria. Calm colour for the kind of day that deserves a pause.&lt;/p&gt;</t>
        </is>
      </c>
      <c r="V22" s="29" t="inlineStr">
        <is>
          <t>ok</t>
        </is>
      </c>
      <c r="W22" s="30" t="inlineStr">
        <is>
          <t>Blushing Hydrangeas</t>
        </is>
      </c>
      <c r="X22" s="30" t="inlineStr">
        <is>
          <t>Blushing Hydrangeas settles 3 cream roses, 3 white chrysanthemum daisies, 2 blue carnations and 2 white alstroemeria into a relaxed mason jar. Just right sitting on a bench where everyone can enjoy it. A good fit for a birthday, a thank-you or a just-because moment. A little wild, a little imperfect, the way a jar should be.</t>
        </is>
      </c>
      <c r="Y22" s="30" t="inlineStr">
        <is>
          <t>&lt;p&gt;Blushing Hydrangeas settles 3 cream roses, 3 white chrysanthemum daisies, 2 blue carnations and 2 white alstroemeria into a relaxed mason jar. Just right sitting on a bench where everyone can enjoy it. A good fit for a birthday, a thank-you or a just-because moment. A little wild, a little imperfect, the way a jar should be.&lt;/p&gt;</t>
        </is>
      </c>
      <c r="Z22" s="29" t="inlineStr">
        <is>
          <t>ok</t>
        </is>
      </c>
      <c r="AA22" t="n">
        <v>36</v>
      </c>
      <c r="AB22" s="44" t="n">
        <v>58375.28</v>
      </c>
      <c r="AC22" t="n">
        <v>657</v>
      </c>
      <c r="AD22" s="45" t="n">
        <v>0.006688462310875085</v>
      </c>
      <c r="AE22" s="45" t="n">
        <v>0.01685335714238333</v>
      </c>
      <c r="AF22" t="n">
        <v>16</v>
      </c>
    </row>
    <row r="23" ht="109.5" customHeight="1" s="24">
      <c r="A23" s="30" t="inlineStr">
        <is>
          <t>MJ100-12</t>
        </is>
      </c>
      <c r="B23" s="30" t="inlineStr">
        <is>
          <t>Classic Whites In Mason Jar</t>
        </is>
      </c>
      <c r="C23" s="30" t="inlineStr">
        <is>
          <t>Mason Jar</t>
        </is>
      </c>
      <c r="D23" s="43" t="inlineStr">
        <is>
          <t>READY TO REVIEW</t>
        </is>
      </c>
      <c r="E23" s="30" t="inlineStr">
        <is>
          <t>A beautiful tribute to honour cherished memories. Classic Whites In Mason Jar expresses heartfelt condolences. A thoughtful tribute crafted with care to honour cherished memories.</t>
        </is>
      </c>
      <c r="F23" s="30" t="inlineStr">
        <is>
          <t>Shopify (28 Sep)</t>
        </is>
      </c>
      <c r="G23" s="30" t="inlineStr">
        <is>
          <t>4 × Roses White; 3 × Gerbera Daisies White; 2 × Ruscus Israeli; 1 × Mason Jar; 2 × Alstroemeria White</t>
        </is>
      </c>
      <c r="H23" s="30" t="inlineStr">
        <is>
          <t>4 × Roses White; 3 × Gerbera Daisies White; 2 × Ruscus Israeli; 1 × Mason Jar; 2 × Alstroemeria White</t>
        </is>
      </c>
      <c r="I23" s="30" t="inlineStr">
        <is>
          <t>4 × Roses White; 3 × Gerbera Daisies White; 2 × Ruscus Israeli; 1 × Mason Jar; 2 × Alstroemeria White</t>
        </is>
      </c>
      <c r="J23" s="30" t="inlineStr">
        <is>
          <t>2 × Ruscus Israeli; 2 × Alstroemeria White; 1 × Mason Jar; 3 × Gerbera Daisies White; 4 × Roses White</t>
        </is>
      </c>
      <c r="K23" s="30" t="inlineStr">
        <is>
          <t>Y</t>
        </is>
      </c>
      <c r="L23" s="30" t="n"/>
      <c r="M23" s="30" t="inlineStr">
        <is>
          <t>A hand-arranged mason jar bouquet of 4 white roses, 3 white gerberas and 2 white alstroemeria. A thoughtful choice for a birthday, a thank-you or a just-because moment, with a mason jar to keep once the flowers are gone.</t>
        </is>
      </c>
      <c r="N23" s="30">
        <f>LEN(TRIM(SUBSTITUTE(M23,CHAR(10)," ")))-LEN(SUBSTITUTE(TRIM(SUBSTITUTE(M23,CHAR(10)," "))," ",""))+1</f>
        <v/>
      </c>
      <c r="O23" s="30" t="inlineStr">
        <is>
          <t>&lt;p&gt;A hand-arranged mason jar bouquet of 4 white roses, 3 white gerberas and 2 white alstroemeria. A thoughtful choice for a birthday, a thank-you or a just-because moment, with a mason jar to keep once the flowers are gone.&lt;/p&gt;</t>
        </is>
      </c>
      <c r="P23" s="29" t="inlineStr">
        <is>
          <t>ok</t>
        </is>
      </c>
      <c r="Q23" s="30" t="inlineStr">
        <is>
          <t>Classic Whites In Mason Jar brings together 4 white roses, 3 white gerberas and 2 white alstroemeria, presented in a mason jar you can keep. It suits a birthday, a thank-you or a just-because moment.
White tones say calm and a fresh start. We hand-arrange each one at Aussie Blooms so it looks the way you pictured it, ready for a Sunday lunch. Stems can vary with the season, while the white palette stays.</t>
        </is>
      </c>
      <c r="R23" s="30" t="inlineStr">
        <is>
          <t>&lt;p&gt;Classic Whites In Mason Jar brings together 4 white roses, 3 white gerberas and 2 white alstroemeria, presented in a mason jar you can keep. It suits a birthday, a thank-you or a just-because moment.&lt;/p&gt;&lt;p&gt;White tones say calm and a fresh start. We hand-arrange each one at Aussie Blooms so it looks the way you pictured it, ready for a Sunday lunch. Stems can vary with the season, while the white palette stays.&lt;/p&gt;</t>
        </is>
      </c>
      <c r="S23" s="29" t="inlineStr">
        <is>
          <t>ok</t>
        </is>
      </c>
      <c r="T23" s="30" t="inlineStr">
        <is>
          <t>The jar holds: 4 white roses, 3 white gerberas and 2 white alstroemeria. Gentle, easy on the eye, and ready for any table you give it.</t>
        </is>
      </c>
      <c r="U23" s="30" t="inlineStr">
        <is>
          <t>&lt;p&gt;The jar holds: 4 white roses, 3 white gerberas and 2 white alstroemeria. Gentle, easy on the eye, and ready for any table you give it.&lt;/p&gt;</t>
        </is>
      </c>
      <c r="V23" s="29" t="inlineStr">
        <is>
          <t>ok</t>
        </is>
      </c>
      <c r="W23" s="30" t="inlineStr">
        <is>
          <t>Fancy That</t>
        </is>
      </c>
      <c r="X23" s="30" t="inlineStr">
        <is>
          <t>Fancy That settles 4 white roses, 3 white gerberas and 2 white alstroemeria into a relaxed mason jar. Just right sitting on a bench where everyone can enjoy it. A good fit for a birthday, a thank-you or a just-because moment.</t>
        </is>
      </c>
      <c r="Y23" s="30" t="inlineStr">
        <is>
          <t>&lt;p&gt;Fancy That settles 4 white roses, 3 white gerberas and 2 white alstroemeria into a relaxed mason jar. Just right sitting on a bench where everyone can enjoy it. A good fit for a birthday, a thank-you or a just-because moment.&lt;/p&gt;</t>
        </is>
      </c>
      <c r="Z23" s="29" t="inlineStr">
        <is>
          <t>ok</t>
        </is>
      </c>
      <c r="AA23" t="n">
        <v>218</v>
      </c>
      <c r="AB23" s="44" t="n">
        <v>1401</v>
      </c>
      <c r="AC23" t="n">
        <v>19</v>
      </c>
      <c r="AD23" s="45" t="n">
        <v>0.000160522325503809</v>
      </c>
      <c r="AE23" s="45" t="n">
        <v>0.0004044786313055638</v>
      </c>
      <c r="AF23" t="n">
        <v>49</v>
      </c>
    </row>
    <row r="24" ht="109.5" customHeight="1" s="24">
      <c r="A24" s="30" t="inlineStr">
        <is>
          <t>MJ100-11</t>
        </is>
      </c>
      <c r="B24" s="30" t="inlineStr">
        <is>
          <t>Breathtaking Blooms In Mason Jar</t>
        </is>
      </c>
      <c r="C24" s="30" t="inlineStr">
        <is>
          <t>Mason Jar</t>
        </is>
      </c>
      <c r="D24" s="43" t="inlineStr">
        <is>
          <t>READY TO REVIEW</t>
        </is>
      </c>
      <c r="E24" s="30" t="n"/>
      <c r="F24" s="30" t="inlineStr">
        <is>
          <t>none</t>
        </is>
      </c>
      <c r="G24" s="30" t="inlineStr">
        <is>
          <t>2 × Roses Pink; 1 × Gerbera Daisies Hot Pink; 2 × Ruscus Israeli; 1 × Mason Jar; 2 × Mini Carnations Pink; 2 × Alstroemeria White; 2 × Alstroemeria Pink</t>
        </is>
      </c>
      <c r="H24" s="30" t="inlineStr">
        <is>
          <t>2 × Roses Pink; 1 × Gerbera Daisies Hot Pink; 2 × Ruscus Israeli; 1 × Mason Jar; 2 × Mini Carnations Pink; 2 × Alstroemeria White; 2 × Alstroemeria Pink</t>
        </is>
      </c>
      <c r="I24" s="30" t="inlineStr">
        <is>
          <t>2 × Roses Pink; 1 × Gerbera Daisies Hot Pink; 2 × Ruscus Israeli; 1 × Mason Jar; 2 × Mini Carnations Pink; 2 × Alstroemeria White; 2 × Alstroemeria Pink</t>
        </is>
      </c>
      <c r="J24" s="30" t="inlineStr">
        <is>
          <t>2 × Alstroemeria Pink; 2 × Alstroemeria White; 2 × Mini Carnations Pink; 1 × Mason Jar; 2 × Ruscus Israeli; 1 × Gerbera Daisies Hot Pink; 2 × Roses Pink</t>
        </is>
      </c>
      <c r="K24" s="30" t="inlineStr">
        <is>
          <t>Y</t>
        </is>
      </c>
      <c r="L24" s="30" t="n"/>
      <c r="M24" s="30" t="inlineStr">
        <is>
          <t>A hand-arranged mason jar bouquet of 2 pink alstroemeria, 2 pink roses, 2 white alstroemeria and 1 hot pink gerbera. A thoughtful choice for a birthday, a thank-you or a just-because moment, with a mason jar to keep once the flowers are gone.</t>
        </is>
      </c>
      <c r="N24" s="30">
        <f>LEN(TRIM(SUBSTITUTE(M24,CHAR(10)," ")))-LEN(SUBSTITUTE(TRIM(SUBSTITUTE(M24,CHAR(10)," "))," ",""))+1</f>
        <v/>
      </c>
      <c r="O24" s="30" t="inlineStr">
        <is>
          <t>&lt;p&gt;A hand-arranged mason jar bouquet of 2 pink alstroemeria, 2 pink roses, 2 white alstroemeria and 1 hot pink gerbera. A thoughtful choice for a birthday, a thank-you or a just-because moment, with a mason jar to keep once the flowers are gone.&lt;/p&gt;</t>
        </is>
      </c>
      <c r="P24" s="29" t="inlineStr">
        <is>
          <t>ok</t>
        </is>
      </c>
      <c r="Q24" s="30" t="inlineStr">
        <is>
          <t>Breathtaking Blooms In Mason Jar brings together 2 pink alstroemeria, 2 pink roses, 2 white alstroemeria and 1 hot pink gerbera, presented in a mason jar you can keep. It suits a birthday, a thank-you or a just-because moment.
Pink tones say affection. We hand-arrange each one at Aussie Blooms so it looks the way you pictured it, ready for a Sunday lunch. Stems can vary with the season, while the pink and white palette stays.</t>
        </is>
      </c>
      <c r="R24" s="30" t="inlineStr">
        <is>
          <t>&lt;p&gt;Breathtaking Blooms In Mason Jar brings together 2 pink alstroemeria, 2 pink roses, 2 white alstroemeria and 1 hot pink gerbera, presented in a mason jar you can keep. It suits a birthday, a thank-you or a just-because moment.&lt;/p&gt;&lt;p&gt;Pink tones say affection. We hand-arrange each one at Aussie Blooms so it looks the way you pictured it, ready for a Sunday lunch. Stems can vary with the season, while the pink and white palette stays.&lt;/p&gt;</t>
        </is>
      </c>
      <c r="S24" s="29" t="inlineStr">
        <is>
          <t>ok</t>
        </is>
      </c>
      <c r="T24" s="30" t="inlineStr">
        <is>
          <t>The jar holds: 2 pink alstroemeria, 2 pink roses, 2 white alstroemeria and 1 hot pink gerbera. Enough colour to turn an ordinary bench into the best spot in the house.</t>
        </is>
      </c>
      <c r="U24" s="30" t="inlineStr">
        <is>
          <t>&lt;p&gt;The jar holds: 2 pink alstroemeria, 2 pink roses, 2 white alstroemeria and 1 hot pink gerbera. Enough colour to turn an ordinary bench into the best spot in the house.&lt;/p&gt;</t>
        </is>
      </c>
      <c r="V24" s="29" t="inlineStr">
        <is>
          <t>ok</t>
        </is>
      </c>
      <c r="W24" s="30" t="inlineStr">
        <is>
          <t>Sunday Roses</t>
        </is>
      </c>
      <c r="X24" s="30" t="inlineStr">
        <is>
          <t>Sunday Roses settles 2 pink alstroemeria, 2 pink roses, 2 white alstroemeria and 1 hot pink gerbera into a relaxed mason jar. Just right sitting on a bench where everyone can enjoy it. A good fit for a birthday, a thank-you or a just-because moment.</t>
        </is>
      </c>
      <c r="Y24" s="30" t="inlineStr">
        <is>
          <t>&lt;p&gt;Sunday Roses settles 2 pink alstroemeria, 2 pink roses, 2 white alstroemeria and 1 hot pink gerbera into a relaxed mason jar. Just right sitting on a bench where everyone can enjoy it. A good fit for a birthday, a thank-you or a just-because moment.&lt;/p&gt;</t>
        </is>
      </c>
      <c r="Z24" s="29" t="inlineStr">
        <is>
          <t>ok</t>
        </is>
      </c>
      <c r="AA24" t="n">
        <v>4</v>
      </c>
      <c r="AB24" s="44" t="n">
        <v>301982.54</v>
      </c>
      <c r="AC24" t="n">
        <v>4556</v>
      </c>
      <c r="AD24" s="45" t="n">
        <v>0.03460024227110971</v>
      </c>
      <c r="AE24" s="45" t="n">
        <v>0.08718449968087011</v>
      </c>
      <c r="AF24" t="n">
        <v>3</v>
      </c>
    </row>
    <row r="25" ht="109.5" customHeight="1" s="24">
      <c r="A25" s="30" t="inlineStr">
        <is>
          <t>MJ100-10</t>
        </is>
      </c>
      <c r="B25" s="30" t="inlineStr">
        <is>
          <t>Sweet Summer In Mason Jar</t>
        </is>
      </c>
      <c r="C25" s="30" t="inlineStr">
        <is>
          <t>Mason Jar</t>
        </is>
      </c>
      <c r="D25" s="43" t="inlineStr">
        <is>
          <t>READY TO REVIEW</t>
        </is>
      </c>
      <c r="E25" s="30" t="inlineStr">
        <is>
          <t>Nineteen cheerful roses mingle with nine bright gerberas and four sweet lilies in our charming Sweet Summer In Mason Jar. Rustic yet refined, it brings a burst of sunshine indoors and makes a lovely just-because surprise for someone who lights up your day.</t>
        </is>
      </c>
      <c r="F25" s="30" t="inlineStr">
        <is>
          <t>Shopify (28 Sep)</t>
        </is>
      </c>
      <c r="G25" s="30" t="inlineStr">
        <is>
          <t>4 × Roses Pink; 2 × Calrnation White; 2 × Gerbera Daisies Light Pink; 1 × Gerbera Daisies Red; 2 × Ruscus Israeli; 1 × Mason Jar</t>
        </is>
      </c>
      <c r="H25" s="30" t="inlineStr">
        <is>
          <t>4 × Roses Pink; 2 × Carnation White; 2 × Gerbera Daisies Light Pink; 1 × Gerbera Daisies Red; 2 × Ruscus Israeli; 1 × Mason Jar</t>
        </is>
      </c>
      <c r="I25" s="31" t="inlineStr">
        <is>
          <t>4 × Roses Pink; 2 × Carnation White; 2 × Gerbera Daisies Light Pink; 1 × Gerbera Daisies Red; 2 × Ruscus Israeli; 1 × Mason Jar</t>
        </is>
      </c>
      <c r="J25" s="30" t="inlineStr">
        <is>
          <t>2 × Gerbera Daisies Light Pink; 1 × Mason Jar; 2 × Ruscus Israeli; 1 × Gerbera Daisies Red; 2 × Carnation White; 4 × Roses Pink</t>
        </is>
      </c>
      <c r="K25" s="30" t="inlineStr">
        <is>
          <t>Y</t>
        </is>
      </c>
      <c r="L25" s="30" t="n"/>
      <c r="M25" s="30" t="inlineStr">
        <is>
          <t>A mason jar arrangement of 4 pink roses, 2 light pink gerberas, 2 white carnations and 1 red gerbera. A thoughtful choice for a birthday, a thank-you or a just-because moment, and the mason jar stays useful long after.</t>
        </is>
      </c>
      <c r="N25" s="30">
        <f>LEN(TRIM(SUBSTITUTE(M25,CHAR(10)," ")))-LEN(SUBSTITUTE(TRIM(SUBSTITUTE(M25,CHAR(10)," "))," ",""))+1</f>
        <v/>
      </c>
      <c r="O25" s="30" t="inlineStr">
        <is>
          <t>&lt;p&gt;A mason jar arrangement of 4 pink roses, 2 light pink gerberas, 2 white carnations and 1 red gerbera. A thoughtful choice for a birthday, a thank-you or a just-because moment, and the mason jar stays useful long after.&lt;/p&gt;</t>
        </is>
      </c>
      <c r="P25" s="29" t="inlineStr">
        <is>
          <t>ok</t>
        </is>
      </c>
      <c r="Q25" s="30" t="inlineStr">
        <is>
          <t>Sweet Summer In Mason Jar brings together 4 pink roses, 2 light pink gerberas, 2 white carnations and 1 red gerbera, presented in a mason jar you can keep. It suits a birthday, a thank-you or a just-because moment.
Pink tones say affection. We hand-arrange each one at Aussie Blooms so it looks the way you pictured it, ready for the bedside table. Stems can vary with the season, while the pink and light pink palette stays.</t>
        </is>
      </c>
      <c r="R25" s="30" t="inlineStr">
        <is>
          <t>&lt;p&gt;Sweet Summer In Mason Jar brings together 4 pink roses, 2 light pink gerberas, 2 white carnations and 1 red gerbera, presented in a mason jar you can keep. It suits a birthday, a thank-you or a just-because moment.&lt;/p&gt;&lt;p&gt;Pink tones say affection. We hand-arrange each one at Aussie Blooms so it looks the way you pictured it, ready for the bedside table. Stems can vary with the season, while the pink and light pink palette stays.&lt;/p&gt;</t>
        </is>
      </c>
      <c r="S25" s="29" t="inlineStr">
        <is>
          <t>ok</t>
        </is>
      </c>
      <c r="T25" s="30" t="inlineStr">
        <is>
          <t>The jar holds: 4 pink roses, 2 light pink gerberas, 2 white carnations and 1 red gerbera. Gentle, easy on the eye, and ready for any table you give it.</t>
        </is>
      </c>
      <c r="U25" s="30" t="inlineStr">
        <is>
          <t>&lt;p&gt;The jar holds: 4 pink roses, 2 light pink gerberas, 2 white carnations and 1 red gerbera. Gentle, easy on the eye, and ready for any table you give it.&lt;/p&gt;</t>
        </is>
      </c>
      <c r="V25" s="29" t="inlineStr">
        <is>
          <t>ok</t>
        </is>
      </c>
      <c r="W25" s="30" t="inlineStr">
        <is>
          <t>Sunny Side</t>
        </is>
      </c>
      <c r="X25" s="30" t="inlineStr">
        <is>
          <t>Sunny Side nestles 4 pink roses, 2 light pink gerberas, 2 white carnations and 1 red gerbera into a relaxed mason jar. Happy on a sunny windowsill. Made for a birthday, a thank-you or a just-because moment.</t>
        </is>
      </c>
      <c r="Y25" s="30" t="inlineStr">
        <is>
          <t>&lt;p&gt;Sunny Side nestles 4 pink roses, 2 light pink gerberas, 2 white carnations and 1 red gerbera into a relaxed mason jar. Happy on a sunny windowsill. Made for a birthday, a thank-you or a just-because moment.&lt;/p&gt;</t>
        </is>
      </c>
      <c r="Z25" s="29" t="inlineStr">
        <is>
          <t>ok</t>
        </is>
      </c>
      <c r="AA25" t="n">
        <v>244</v>
      </c>
      <c r="AB25" s="44" t="n">
        <v>149.91</v>
      </c>
      <c r="AC25" t="n">
        <v>2</v>
      </c>
      <c r="AD25" s="45" t="n">
        <v>1.71762325597973e-05</v>
      </c>
      <c r="AE25" s="45" t="n">
        <v>4.32800796709615e-05</v>
      </c>
      <c r="AF25" t="n">
        <v>53</v>
      </c>
    </row>
    <row r="26" ht="109.5" customHeight="1" s="24">
      <c r="A26" s="30" t="inlineStr">
        <is>
          <t>MJ100-05</t>
        </is>
      </c>
      <c r="B26" s="30" t="inlineStr">
        <is>
          <t>Gerbera Daisies in Mason Jar</t>
        </is>
      </c>
      <c r="C26" s="30" t="inlineStr">
        <is>
          <t>Mason Jar</t>
        </is>
      </c>
      <c r="D26" s="43" t="inlineStr">
        <is>
          <t>READY TO REVIEW</t>
        </is>
      </c>
      <c r="E26" s="30" t="inlineStr">
        <is>
          <t>Make their birthday unforgettable with Gerbera Daisies in Mason Jar. Make their birthday unforgettable with a beautiful arrangement.</t>
        </is>
      </c>
      <c r="F26" s="30" t="inlineStr">
        <is>
          <t>Shopify (28 Sep)</t>
        </is>
      </c>
      <c r="G26" s="30" t="inlineStr">
        <is>
          <t>2 × Gerbera Daisies Yellow; 2 × Gerbera Daisies Orange; 2 × Gerbera Daisies Red; 1 × Ruscus Israeli; 1 × Mason Jar</t>
        </is>
      </c>
      <c r="H26" s="30" t="inlineStr">
        <is>
          <t>2 × Gerbera Daisies Yellow; 2 × Gerbera Daisies Orange; 2 × Gerbera Daisies Red; 1 × Ruscus Israeli; 1 × Mason Jar</t>
        </is>
      </c>
      <c r="I26" s="30" t="inlineStr">
        <is>
          <t>2 × Gerbera Daisies Yellow; 2 × Gerbera Daisies Orange; 2 × Gerbera Daisies Red; 1 × Ruscus Israeli; 1 × Mason Jar</t>
        </is>
      </c>
      <c r="J26" s="30" t="inlineStr">
        <is>
          <t>2 × Gerbera Daisies Red; 1 × Mason Jar; 1 × Ruscus Israeli; 2 × Gerbera Daisies Orange; 2 × Gerbera Daisies Yellow</t>
        </is>
      </c>
      <c r="K26" s="30" t="inlineStr">
        <is>
          <t>Y</t>
        </is>
      </c>
      <c r="L26" s="30" t="n"/>
      <c r="M26" s="30" t="inlineStr">
        <is>
          <t>A mason jar arrangement of 2 orange gerberas, 2 red gerberas and 2 yellow gerberas. A thoughtful choice for a birthday, a thank-you or a just-because moment, and the mason jar stays useful long after.</t>
        </is>
      </c>
      <c r="N26" s="30">
        <f>LEN(TRIM(SUBSTITUTE(M26,CHAR(10)," ")))-LEN(SUBSTITUTE(TRIM(SUBSTITUTE(M26,CHAR(10)," "))," ",""))+1</f>
        <v/>
      </c>
      <c r="O26" s="30" t="inlineStr">
        <is>
          <t>&lt;p&gt;A mason jar arrangement of 2 orange gerberas, 2 red gerberas and 2 yellow gerberas. A thoughtful choice for a birthday, a thank-you or a just-because moment, and the mason jar stays useful long after.&lt;/p&gt;</t>
        </is>
      </c>
      <c r="P26" s="29" t="inlineStr">
        <is>
          <t>ok</t>
        </is>
      </c>
      <c r="Q26" s="30" t="inlineStr">
        <is>
          <t>Gerbera Daisies in Mason Jar brings together 2 orange gerberas, 2 red gerberas and 2 yellow gerberas, presented in a mason jar you can keep. It suits a birthday, a thank-you or a just-because moment.
Orange tones say warmth and energy. We hand-arrange each one at Aussie Blooms so it looks the way you pictured it, ready for the bedside table. Stems can vary with the season, while the orange and red palette stays.</t>
        </is>
      </c>
      <c r="R26" s="30" t="inlineStr">
        <is>
          <t>&lt;p&gt;Gerbera Daisies in Mason Jar brings together 2 orange gerberas, 2 red gerberas and 2 yellow gerberas, presented in a mason jar you can keep. It suits a birthday, a thank-you or a just-because moment.&lt;/p&gt;&lt;p&gt;Orange tones say warmth and energy. We hand-arrange each one at Aussie Blooms so it looks the way you pictured it, ready for the bedside table. Stems can vary with the season, while the orange and red palette stays.&lt;/p&gt;</t>
        </is>
      </c>
      <c r="S26" s="29" t="inlineStr">
        <is>
          <t>ok</t>
        </is>
      </c>
      <c r="T26" s="30" t="inlineStr">
        <is>
          <t>The jar holds: 2 orange gerberas, 2 red gerberas and 2 yellow gerberas. Enough colour to turn an ordinary bench into the best spot in the house.</t>
        </is>
      </c>
      <c r="U26" s="30" t="inlineStr">
        <is>
          <t>&lt;p&gt;The jar holds: 2 orange gerberas, 2 red gerberas and 2 yellow gerberas. Enough colour to turn an ordinary bench into the best spot in the house.&lt;/p&gt;</t>
        </is>
      </c>
      <c r="V26" s="29" t="inlineStr">
        <is>
          <t>ok</t>
        </is>
      </c>
      <c r="W26" s="30" t="inlineStr">
        <is>
          <t>30 Peruvian Lilies</t>
        </is>
      </c>
      <c r="X26" s="30" t="inlineStr">
        <is>
          <t>30 Peruvian Lilies nestles 2 orange gerberas, 2 red gerberas and 2 yellow gerberas into a relaxed mason jar. Happy on a sunny windowsill. Made for a birthday, a thank-you or a just-because moment. A little wild, a little imperfect, the way a jar should be.</t>
        </is>
      </c>
      <c r="Y26" s="30" t="inlineStr">
        <is>
          <t>&lt;p&gt;30 Peruvian Lilies nestles 2 orange gerberas, 2 red gerberas and 2 yellow gerberas into a relaxed mason jar. Happy on a sunny windowsill. Made for a birthday, a thank-you or a just-because moment. A little wild, a little imperfect, the way a jar should be.&lt;/p&gt;</t>
        </is>
      </c>
      <c r="Z26" s="29" t="inlineStr">
        <is>
          <t>ok</t>
        </is>
      </c>
      <c r="AA26" t="n">
        <v>230</v>
      </c>
      <c r="AB26" s="44" t="n">
        <v>741.99</v>
      </c>
      <c r="AC26" t="n">
        <v>16</v>
      </c>
      <c r="AD26" s="45" t="n">
        <v>8.501496095686743e-05</v>
      </c>
      <c r="AE26" s="45" t="n">
        <v>0.0002142177727640366</v>
      </c>
      <c r="AF26" t="n">
        <v>52</v>
      </c>
    </row>
    <row r="27" ht="109.5" customHeight="1" s="24">
      <c r="A27" s="30" t="inlineStr">
        <is>
          <t>MJ100-06</t>
        </is>
      </c>
      <c r="B27" s="30" t="inlineStr">
        <is>
          <t>Assorted Roses In Mason Jar</t>
        </is>
      </c>
      <c r="C27" s="30" t="inlineStr">
        <is>
          <t>Mason Jar</t>
        </is>
      </c>
      <c r="D27" s="43" t="inlineStr">
        <is>
          <t>READY TO REVIEW</t>
        </is>
      </c>
      <c r="E27" s="30" t="n"/>
      <c r="F27" s="30" t="inlineStr">
        <is>
          <t>none</t>
        </is>
      </c>
      <c r="G27" s="30" t="inlineStr">
        <is>
          <t>6 × Roses Assorted; 1 × Baby's Breath; 1 × Ruscus Israeli; 1 × Mason Jar</t>
        </is>
      </c>
      <c r="H27" s="30" t="inlineStr">
        <is>
          <t>6 × Roses Assorted; 1 × Baby's Breath; 1 × Ruscus Israeli; 1 × Mason Jar</t>
        </is>
      </c>
      <c r="I27" s="30" t="inlineStr">
        <is>
          <t>6 × Roses Assorted; 1 × Baby's Breath; 1 × Ruscus Israeli; 1 × Mason Jar</t>
        </is>
      </c>
      <c r="J27" s="30" t="inlineStr">
        <is>
          <t>1 × Ruscus Israeli; 1 × Mason Jar; 1 × Baby's Breath; 6 × Roses Assorted</t>
        </is>
      </c>
      <c r="K27" s="30" t="inlineStr">
        <is>
          <t>Y</t>
        </is>
      </c>
      <c r="L27" s="30" t="n"/>
      <c r="M27" s="30" t="inlineStr">
        <is>
          <t>A hand-arranged mason jar bouquet of 6 assorted-colour roses. A warm gift for a birthday, a thank-you or a just-because moment, with a mason jar to keep once the flowers are gone.</t>
        </is>
      </c>
      <c r="N27" s="30">
        <f>LEN(TRIM(SUBSTITUTE(M27,CHAR(10)," ")))-LEN(SUBSTITUTE(TRIM(SUBSTITUTE(M27,CHAR(10)," "))," ",""))+1</f>
        <v/>
      </c>
      <c r="O27" s="30" t="inlineStr">
        <is>
          <t>&lt;p&gt;A hand-arranged mason jar bouquet of 6 assorted-colour roses. A warm gift for a birthday, a thank-you or a just-because moment, with a mason jar to keep once the flowers are gone.&lt;/p&gt;</t>
        </is>
      </c>
      <c r="P27" s="29" t="inlineStr">
        <is>
          <t>ok</t>
        </is>
      </c>
      <c r="Q27" s="30" t="inlineStr">
        <is>
          <t>Assorted Roses In Mason Jar brings together 6 assorted-colour roses, presented in a mason jar you can keep. It suits a birthday, a thank-you or a just-because moment.
Mixed colours say thoughtfulness. We hand-arrange each one at Aussie Blooms so it looks the way you pictured it, ready for a summer table. Stems can vary with the season, while the colourful palette stays.</t>
        </is>
      </c>
      <c r="R27" s="30" t="inlineStr">
        <is>
          <t>&lt;p&gt;Assorted Roses In Mason Jar brings together 6 assorted-colour roses, presented in a mason jar you can keep. It suits a birthday, a thank-you or a just-because moment.&lt;/p&gt;&lt;p&gt;Mixed colours say thoughtfulness. We hand-arrange each one at Aussie Blooms so it looks the way you pictured it, ready for a summer table. Stems can vary with the season, while the colourful palette stays.&lt;/p&gt;</t>
        </is>
      </c>
      <c r="S27" s="29" t="inlineStr">
        <is>
          <t>ok</t>
        </is>
      </c>
      <c r="T27" s="30" t="inlineStr">
        <is>
          <t>In the jar: 6 assorted-colour roses. Hand it over and watch the day get a little better.</t>
        </is>
      </c>
      <c r="U27" s="30" t="inlineStr">
        <is>
          <t>&lt;p&gt;In the jar: 6 assorted-colour roses. Hand it over and watch the day get a little better.&lt;/p&gt;</t>
        </is>
      </c>
      <c r="V27" s="29" t="inlineStr">
        <is>
          <t>ok</t>
        </is>
      </c>
      <c r="W27" s="30" t="inlineStr">
        <is>
          <t>Something Blue</t>
        </is>
      </c>
      <c r="X27" s="30" t="inlineStr">
        <is>
          <t>Something Blue tucks 6 assorted-colour roses into a relaxed mason jar. Lovely on a bedside table, or anywhere it can be seen. A good fit for a birthday, a thank-you or a just-because moment. A little wild, a little imperfect, the way a jar should be.</t>
        </is>
      </c>
      <c r="Y27" s="30" t="inlineStr">
        <is>
          <t>&lt;p&gt;Something Blue tucks 6 assorted-colour roses into a relaxed mason jar. Lovely on a bedside table, or anywhere it can be seen. A good fit for a birthday, a thank-you or a just-because moment. A little wild, a little imperfect, the way a jar should be.&lt;/p&gt;</t>
        </is>
      </c>
      <c r="Z27" s="29" t="inlineStr">
        <is>
          <t>ok</t>
        </is>
      </c>
      <c r="AA27" t="n">
        <v>150</v>
      </c>
      <c r="AB27" s="44" t="n">
        <v>6301.98</v>
      </c>
      <c r="AC27" t="n">
        <v>141</v>
      </c>
      <c r="AD27" s="45" t="n">
        <v>0.0007220620745506574</v>
      </c>
      <c r="AE27" s="45" t="n">
        <v>0.001819427165132713</v>
      </c>
      <c r="AF27" t="n">
        <v>41</v>
      </c>
    </row>
    <row r="28" ht="109.5" customHeight="1" s="24">
      <c r="A28" s="30" t="inlineStr">
        <is>
          <t>MJ100-07</t>
        </is>
      </c>
      <c r="B28" s="30" t="inlineStr">
        <is>
          <t>Thirty Blooms Of Alstroemeria In Mason Jar</t>
        </is>
      </c>
      <c r="C28" s="30" t="inlineStr">
        <is>
          <t>Mason Jar</t>
        </is>
      </c>
      <c r="D28" s="46" t="inlineStr">
        <is>
          <t>READY - NOTIFY JARROD</t>
        </is>
      </c>
      <c r="E28" s="30" t="n"/>
      <c r="F28" s="30" t="inlineStr">
        <is>
          <t>none</t>
        </is>
      </c>
      <c r="G28" s="30" t="inlineStr">
        <is>
          <t>1 × Mason Jar; 11 × Alstroemeria assorted</t>
        </is>
      </c>
      <c r="H28" s="30" t="inlineStr">
        <is>
          <t>1 × Mason Jar; 11 × Alstroemeria assorted</t>
        </is>
      </c>
      <c r="I28" s="31" t="inlineStr">
        <is>
          <t>1 × Mason Jar; 11 × Alstroemeria assorted; 2 × Ruscus Israeli</t>
        </is>
      </c>
      <c r="J28" s="30" t="inlineStr">
        <is>
          <t>1 × Mason Jar; 11 × Alstroemeria assorted</t>
        </is>
      </c>
      <c r="K28" s="30" t="inlineStr">
        <is>
          <t>Y</t>
        </is>
      </c>
      <c r="L28" s="30" t="n"/>
      <c r="M28" s="30" t="inlineStr">
        <is>
          <t>A hand-arranged mason jar bouquet of 11 assorted-colour alstroemeria. A thoughtful choice for a birthday, a thank-you or a just-because moment, with a mason jar to keep once the flowers are gone.</t>
        </is>
      </c>
      <c r="N28" s="30">
        <f>LEN(TRIM(SUBSTITUTE(M28,CHAR(10)," ")))-LEN(SUBSTITUTE(TRIM(SUBSTITUTE(M28,CHAR(10)," "))," ",""))+1</f>
        <v/>
      </c>
      <c r="O28" s="30" t="inlineStr">
        <is>
          <t>&lt;p&gt;A hand-arranged mason jar bouquet of 11 assorted-colour alstroemeria. A thoughtful choice for a birthday, a thank-you or a just-because moment, with a mason jar to keep once the flowers are gone.&lt;/p&gt;</t>
        </is>
      </c>
      <c r="P28" s="29" t="inlineStr">
        <is>
          <t>ok</t>
        </is>
      </c>
      <c r="Q28" s="30" t="inlineStr">
        <is>
          <t>Thirty Blooms Of Alstroemeria In Mason Jar brings together 11 assorted-colour alstroemeria, presented in a mason jar you can keep. It suits a birthday, a thank-you or a just-because moment.
Mixed colours say thoughtfulness. We hand-arrange each one at Aussie Blooms so it looks the way you pictured it, ready for a summer table. Stems can vary with the season, while the colourful palette stays.</t>
        </is>
      </c>
      <c r="R28" s="30" t="inlineStr">
        <is>
          <t>&lt;p&gt;Thirty Blooms Of Alstroemeria In Mason Jar brings together 11 assorted-colour alstroemeria, presented in a mason jar you can keep. It suits a birthday, a thank-you or a just-because moment.&lt;/p&gt;&lt;p&gt;Mixed colours say thoughtfulness. We hand-arrange each one at Aussie Blooms so it looks the way you pictured it, ready for a summer table. Stems can vary with the season, while the colourful palette stays.&lt;/p&gt;</t>
        </is>
      </c>
      <c r="S28" s="29" t="inlineStr">
        <is>
          <t>ok</t>
        </is>
      </c>
      <c r="T28" s="30" t="inlineStr">
        <is>
          <t>The jar holds: 11 assorted-colour alstroemeria. A simple good turn for a birthday, a thank-you or no reason at all.</t>
        </is>
      </c>
      <c r="U28" s="30" t="inlineStr">
        <is>
          <t>&lt;p&gt;The jar holds: 11 assorted-colour alstroemeria. A simple good turn for a birthday, a thank-you or no reason at all.&lt;/p&gt;</t>
        </is>
      </c>
      <c r="V28" s="29" t="inlineStr">
        <is>
          <t>ok</t>
        </is>
      </c>
      <c r="W28" s="30" t="inlineStr">
        <is>
          <t>Clean Whites</t>
        </is>
      </c>
      <c r="X28" s="30" t="inlineStr">
        <is>
          <t>Clean Whites tucks 11 assorted-colour alstroemeria into a relaxed mason jar. Lovely on a bedside table, or anywhere it can be seen. A good fit for a birthday, a thank-you or a just-because moment.</t>
        </is>
      </c>
      <c r="Y28" s="30" t="inlineStr">
        <is>
          <t>&lt;p&gt;Clean Whites tucks 11 assorted-colour alstroemeria into a relaxed mason jar. Lovely on a bedside table, or anywhere it can be seen. A good fit for a birthday, a thank-you or a just-because moment.&lt;/p&gt;</t>
        </is>
      </c>
      <c r="Z28" s="29" t="inlineStr">
        <is>
          <t>ok</t>
        </is>
      </c>
      <c r="AA28" t="n">
        <v>17</v>
      </c>
      <c r="AB28" s="44" t="n">
        <v>120399.35</v>
      </c>
      <c r="AC28" t="n">
        <v>2023</v>
      </c>
      <c r="AD28" s="45" t="n">
        <v>0.01379499167030862</v>
      </c>
      <c r="AE28" s="45" t="n">
        <v>0.03476014524562617</v>
      </c>
      <c r="AF28" t="n">
        <v>8</v>
      </c>
    </row>
    <row r="29" ht="109.5" customHeight="1" s="24">
      <c r="A29" s="30" t="inlineStr">
        <is>
          <t>MJ11-10</t>
        </is>
      </c>
      <c r="B29" s="30" t="inlineStr">
        <is>
          <t>Radiant Roses In A Mason Jar</t>
        </is>
      </c>
      <c r="C29" s="30" t="inlineStr">
        <is>
          <t>Mason Jar</t>
        </is>
      </c>
      <c r="D29" s="43" t="inlineStr">
        <is>
          <t>READY TO REVIEW</t>
        </is>
      </c>
      <c r="E29" s="30" t="inlineStr">
        <is>
          <t>Fourteen radiant roses arranged in a charming mason jar, Radiant Roses In A Mason Jar pairs classic romance with relaxed country charm. It is a warm, heartfelt gift that brightens a home and suits everything from anniversaries to a spontaneous gesture of love.</t>
        </is>
      </c>
      <c r="F29" s="30" t="inlineStr">
        <is>
          <t>Shopify (28 Sep)</t>
        </is>
      </c>
      <c r="G29" s="30" t="inlineStr">
        <is>
          <t>7 × Roses Red; 1 × Baby's Breath; 1 × Ruscus Israeli; 1 × Mason Jar</t>
        </is>
      </c>
      <c r="H29" s="30" t="inlineStr">
        <is>
          <t>7 × Roses Red; 1 × Baby's Breath; 1 × Ruscus Israeli; 1 × Mason Jar</t>
        </is>
      </c>
      <c r="I29" s="30" t="inlineStr">
        <is>
          <t>7 × Roses Red; 1 × Baby's Breath; 1 × Ruscus Israeli; 1 × Mason Jar</t>
        </is>
      </c>
      <c r="J29" s="30" t="inlineStr">
        <is>
          <t>1 × Ruscus Israeli; 1 × Mason Jar; 1 × Baby's Breath; 7 × Roses Red</t>
        </is>
      </c>
      <c r="K29" s="30" t="inlineStr">
        <is>
          <t>Y</t>
        </is>
      </c>
      <c r="L29" s="30" t="n"/>
      <c r="M29" s="30" t="inlineStr">
        <is>
          <t>A mason jar arrangement of 7 red roses. A lovely way to mark an anniversary or a thank-you, and a bright moment when the door opens.</t>
        </is>
      </c>
      <c r="N29" s="30">
        <f>LEN(TRIM(SUBSTITUTE(M29,CHAR(10)," ")))-LEN(SUBSTITUTE(TRIM(SUBSTITUTE(M29,CHAR(10)," "))," ",""))+1</f>
        <v/>
      </c>
      <c r="O29" s="30" t="inlineStr">
        <is>
          <t>&lt;p&gt;A mason jar arrangement of 7 red roses. A lovely way to mark an anniversary or a thank-you, and a bright moment when the door opens.&lt;/p&gt;</t>
        </is>
      </c>
      <c r="P29" s="29" t="inlineStr">
        <is>
          <t>ok</t>
        </is>
      </c>
      <c r="Q29" s="30" t="inlineStr">
        <is>
          <t>Radiant Roses In A Mason Jar brings together 7 red roses, presented in a mason jar you can keep. It suits an anniversary or a thank-you.
Red tones say love and devotion. We hand-arrange each one at Aussie Blooms so it looks the way you pictured it, ready for the bedside table. Stems can vary with the season, while the red palette stays.</t>
        </is>
      </c>
      <c r="R29" s="30" t="inlineStr">
        <is>
          <t>&lt;p&gt;Radiant Roses In A Mason Jar brings together 7 red roses, presented in a mason jar you can keep. It suits an anniversary or a thank-you.&lt;/p&gt;&lt;p&gt;Red tones say love and devotion. We hand-arrange each one at Aussie Blooms so it looks the way you pictured it, ready for the bedside table. Stems can vary with the season, while the red palette stays.&lt;/p&gt;</t>
        </is>
      </c>
      <c r="S29" s="29" t="inlineStr">
        <is>
          <t>ok</t>
        </is>
      </c>
      <c r="T29" s="30" t="inlineStr">
        <is>
          <t>Inside the jar: 7 red roses. Say it with flowers, and let the flowers do the talking.</t>
        </is>
      </c>
      <c r="U29" s="30" t="inlineStr">
        <is>
          <t>&lt;p&gt;Inside the jar: 7 red roses. Say it with flowers, and let the flowers do the talking.&lt;/p&gt;</t>
        </is>
      </c>
      <c r="V29" s="29" t="inlineStr">
        <is>
          <t>ok</t>
        </is>
      </c>
      <c r="W29" s="30" t="inlineStr">
        <is>
          <t>Long Summer</t>
        </is>
      </c>
      <c r="X29" s="30" t="inlineStr">
        <is>
          <t>Long Summer nestles 7 red roses into a relaxed mason jar. Happy on a sunny windowsill. Made for an anniversary or a thank-you. A little wild, a little imperfect, the way a jar should be.</t>
        </is>
      </c>
      <c r="Y29" s="30" t="inlineStr">
        <is>
          <t>&lt;p&gt;Long Summer nestles 7 red roses into a relaxed mason jar. Happy on a sunny windowsill. Made for an anniversary or a thank-you. A little wild, a little imperfect, the way a jar should be.&lt;/p&gt;</t>
        </is>
      </c>
      <c r="Z29" s="29" t="inlineStr">
        <is>
          <t>ok</t>
        </is>
      </c>
      <c r="AA29" t="n">
        <v>108</v>
      </c>
      <c r="AB29" s="44" t="n">
        <v>6769.21</v>
      </c>
      <c r="AC29" t="n">
        <v>143</v>
      </c>
      <c r="AD29" s="45" t="n">
        <v>0.0007755954107789534</v>
      </c>
      <c r="AE29" s="45" t="n">
        <v>0.001954318623369953</v>
      </c>
      <c r="AF29" t="n">
        <v>35</v>
      </c>
    </row>
    <row r="30" ht="109.5" customHeight="1" s="24">
      <c r="A30" s="30" t="inlineStr">
        <is>
          <t>MJ22-10BNZ</t>
        </is>
      </c>
      <c r="B30" s="30" t="inlineStr">
        <is>
          <t>Shades Of Pink In Mason Jar</t>
        </is>
      </c>
      <c r="C30" s="30" t="inlineStr">
        <is>
          <t>Mason Jar</t>
        </is>
      </c>
      <c r="D30" s="43" t="inlineStr">
        <is>
          <t>READY TO REVIEW</t>
        </is>
      </c>
      <c r="E30" s="30" t="n"/>
      <c r="F30" s="30" t="inlineStr">
        <is>
          <t>none</t>
        </is>
      </c>
      <c r="G30" s="30" t="inlineStr">
        <is>
          <t>3 × Gerbera Daisies Light Pink; 3 × Gerbera Daisies Hot Pink; 2 × Ruscus Israeli; 1 × Mason Jar; 2 × Alstroemeria Pink</t>
        </is>
      </c>
      <c r="H30" s="30" t="inlineStr">
        <is>
          <t>3 × Gerbera Daisies Light Pink; 3 × Gerbera Daisies Hot Pink; 2 × Ruscus Israeli; 1 × Mason Jar; 2 × Alstroemeria Pink</t>
        </is>
      </c>
      <c r="I30" s="30" t="inlineStr">
        <is>
          <t>3 × Gerbera Daisies Light Pink; 3 × Gerbera Daisies Hot Pink; 2 × Ruscus Israeli; 1 × Mason Jar; 2 × Alstroemeria Pink</t>
        </is>
      </c>
      <c r="J30" s="30" t="inlineStr">
        <is>
          <t>2 × Ruscus Israeli; 2 × Alstroemeria Pink; 1 × Mason Jar; 3 × Gerbera Daisies Hot Pink; 3 × Gerbera Daisies Light Pink</t>
        </is>
      </c>
      <c r="K30" s="30" t="inlineStr">
        <is>
          <t>Y</t>
        </is>
      </c>
      <c r="L30" s="30" t="n"/>
      <c r="M30" s="30" t="inlineStr">
        <is>
          <t>A hand-arranged mason jar bouquet of 3 hot pink gerberas, 3 light pink gerberas and 2 pink alstroemeria. A warm gift for a birthday, a thank-you or a just-because moment, with a mason jar to keep once the flowers are gone.</t>
        </is>
      </c>
      <c r="N30" s="30">
        <f>LEN(TRIM(SUBSTITUTE(M30,CHAR(10)," ")))-LEN(SUBSTITUTE(TRIM(SUBSTITUTE(M30,CHAR(10)," "))," ",""))+1</f>
        <v/>
      </c>
      <c r="O30" s="30" t="inlineStr">
        <is>
          <t>&lt;p&gt;A hand-arranged mason jar bouquet of 3 hot pink gerberas, 3 light pink gerberas and 2 pink alstroemeria. A warm gift for a birthday, a thank-you or a just-because moment, with a mason jar to keep once the flowers are gone.&lt;/p&gt;</t>
        </is>
      </c>
      <c r="P30" s="29" t="inlineStr">
        <is>
          <t>ok</t>
        </is>
      </c>
      <c r="Q30" s="30" t="inlineStr">
        <is>
          <t>Shades Of Pink In Mason Jar brings together 3 hot pink gerberas, 3 light pink gerberas and 2 pink alstroemeria, presented in a mason jar you can keep. It suits a birthday, a thank-you or a just-because moment.
Hot pink tones say a bold, happy affection. We hand-arrange each one at Aussie Blooms so it looks the way you pictured it, ready for a Sunday lunch. Stems can vary with the season, while the hot pink and light pink palette stays.</t>
        </is>
      </c>
      <c r="R30" s="30" t="inlineStr">
        <is>
          <t>&lt;p&gt;Shades Of Pink In Mason Jar brings together 3 hot pink gerberas, 3 light pink gerberas and 2 pink alstroemeria, presented in a mason jar you can keep. It suits a birthday, a thank-you or a just-because moment.&lt;/p&gt;&lt;p&gt;Hot pink tones say a bold, happy affection. We hand-arrange each one at Aussie Blooms so it looks the way you pictured it, ready for a Sunday lunch. Stems can vary with the season, while the hot pink and light pink palette stays.&lt;/p&gt;</t>
        </is>
      </c>
      <c r="S30" s="29" t="inlineStr">
        <is>
          <t>ok</t>
        </is>
      </c>
      <c r="T30" s="30" t="inlineStr">
        <is>
          <t>Inside the jar: 3 hot pink gerberas, 3 light pink gerberas and 2 pink alstroemeria. Bright on purpose, and hard to walk past without smiling.</t>
        </is>
      </c>
      <c r="U30" s="30" t="inlineStr">
        <is>
          <t>&lt;p&gt;Inside the jar: 3 hot pink gerberas, 3 light pink gerberas and 2 pink alstroemeria. Bright on purpose, and hard to walk past without smiling.&lt;/p&gt;</t>
        </is>
      </c>
      <c r="V30" s="29" t="inlineStr">
        <is>
          <t>ok</t>
        </is>
      </c>
      <c r="W30" s="30" t="inlineStr">
        <is>
          <t>Autumn Arvo</t>
        </is>
      </c>
      <c r="X30" s="30" t="inlineStr">
        <is>
          <t>Autumn Arvo settles 3 hot pink gerberas, 3 light pink gerberas and 2 pink alstroemeria into a relaxed mason jar. Just right sitting on a bench where everyone can enjoy it. A good fit for a birthday, a thank-you or a just-because moment. A little wild, a little imperfect, the way a jar should be.</t>
        </is>
      </c>
      <c r="Y30" s="30" t="inlineStr">
        <is>
          <t>&lt;p&gt;Autumn Arvo settles 3 hot pink gerberas, 3 light pink gerberas and 2 pink alstroemeria into a relaxed mason jar. Just right sitting on a bench where everyone can enjoy it. A good fit for a birthday, a thank-you or a just-because moment. A little wild, a little imperfect, the way a jar should be.&lt;/p&gt;</t>
        </is>
      </c>
      <c r="Z30" s="29" t="inlineStr">
        <is>
          <t>ok</t>
        </is>
      </c>
      <c r="AA30" t="n">
        <v>105</v>
      </c>
      <c r="AB30" s="44" t="n">
        <v>7257.71</v>
      </c>
      <c r="AC30" t="n">
        <v>103</v>
      </c>
      <c r="AD30" s="45" t="n">
        <v>0.0008315661427463234</v>
      </c>
      <c r="AE30" s="45" t="n">
        <v>0.002095351747505668</v>
      </c>
      <c r="AF30" t="n">
        <v>34</v>
      </c>
    </row>
    <row r="31" ht="109.5" customHeight="1" s="24">
      <c r="A31" s="30" t="inlineStr">
        <is>
          <t>MJ11-30BNZ</t>
        </is>
      </c>
      <c r="B31" s="30" t="inlineStr">
        <is>
          <t>Sweetheart Roses In Mason Jar</t>
        </is>
      </c>
      <c r="C31" s="30" t="inlineStr">
        <is>
          <t>Mason Jar</t>
        </is>
      </c>
      <c r="D31" s="43" t="inlineStr">
        <is>
          <t>READY TO REVIEW</t>
        </is>
      </c>
      <c r="E31" s="30" t="n"/>
      <c r="F31" s="30" t="inlineStr">
        <is>
          <t>none</t>
        </is>
      </c>
      <c r="G31" s="30" t="inlineStr">
        <is>
          <t>6 × Roses Red; 2 × Limonium White; 2 × Ruscus Israeli; 1 × Mason Jar</t>
        </is>
      </c>
      <c r="H31" s="30" t="inlineStr">
        <is>
          <t>6 × Roses Red; 2 × Limonium White; 2 × Ruscus Israeli; 1 × Mason Jar</t>
        </is>
      </c>
      <c r="I31" s="30" t="inlineStr">
        <is>
          <t>6 × Roses Red; 2 × Limonium White; 2 × Ruscus Israeli; 1 × Mason Jar</t>
        </is>
      </c>
      <c r="J31" s="30" t="inlineStr">
        <is>
          <t>2 × Ruscus Israeli; 1 × Mason Jar; 2 × Limonium White; 6 × Roses Red</t>
        </is>
      </c>
      <c r="K31" s="30" t="inlineStr">
        <is>
          <t>Y</t>
        </is>
      </c>
      <c r="L31" s="30" t="n"/>
      <c r="M31" s="30" t="inlineStr">
        <is>
          <t>A mason jar arrangement of 6 red roses. A lovely way to mark an anniversary or a thank-you, and the mason jar stays useful long after.</t>
        </is>
      </c>
      <c r="N31" s="30">
        <f>LEN(TRIM(SUBSTITUTE(M31,CHAR(10)," ")))-LEN(SUBSTITUTE(TRIM(SUBSTITUTE(M31,CHAR(10)," "))," ",""))+1</f>
        <v/>
      </c>
      <c r="O31" s="30" t="inlineStr">
        <is>
          <t>&lt;p&gt;A mason jar arrangement of 6 red roses. A lovely way to mark an anniversary or a thank-you, and the mason jar stays useful long after.&lt;/p&gt;</t>
        </is>
      </c>
      <c r="P31" s="29" t="inlineStr">
        <is>
          <t>ok</t>
        </is>
      </c>
      <c r="Q31" s="30" t="inlineStr">
        <is>
          <t>Sweetheart Roses In Mason Jar brings together 6 red roses, presented in a mason jar you can keep. It suits an anniversary or a thank-you.
Red tones say love and devotion. We hand-arrange each one at Aussie Blooms so it looks the way you pictured it, ready for the kitchen bench. Stems can vary with the season, while the red palette stays.</t>
        </is>
      </c>
      <c r="R31" s="30" t="inlineStr">
        <is>
          <t>&lt;p&gt;Sweetheart Roses In Mason Jar brings together 6 red roses, presented in a mason jar you can keep. It suits an anniversary or a thank-you.&lt;/p&gt;&lt;p&gt;Red tones say love and devotion. We hand-arrange each one at Aussie Blooms so it looks the way you pictured it, ready for the kitchen bench. Stems can vary with the season, while the red palette stays.&lt;/p&gt;</t>
        </is>
      </c>
      <c r="S31" s="29" t="inlineStr">
        <is>
          <t>ok</t>
        </is>
      </c>
      <c r="T31" s="30" t="inlineStr">
        <is>
          <t>In the jar: 6 red roses. Some things need no speech. Put these on the table and the message is delivered.</t>
        </is>
      </c>
      <c r="U31" s="30" t="inlineStr">
        <is>
          <t>&lt;p&gt;In the jar: 6 red roses. Some things need no speech. Put these on the table and the message is delivered.&lt;/p&gt;</t>
        </is>
      </c>
      <c r="V31" s="47" t="inlineStr">
        <is>
          <t>delivery promise</t>
        </is>
      </c>
      <c r="W31" s="30" t="inlineStr">
        <is>
          <t>Mixed Rose Garden</t>
        </is>
      </c>
      <c r="X31" s="30" t="inlineStr">
        <is>
          <t>Mixed Rose Garden gathers 6 red roses into a relaxed mason jar. Right at home on a kitchen bench next to the morning cuppa. Made for an anniversary or a thank-you. A little wild, a little imperfect, the way a jar should be.</t>
        </is>
      </c>
      <c r="Y31" s="30" t="inlineStr">
        <is>
          <t>&lt;p&gt;Mixed Rose Garden gathers 6 red roses into a relaxed mason jar. Right at home on a kitchen bench next to the morning cuppa. Made for an anniversary or a thank-you. A little wild, a little imperfect, the way a jar should be.&lt;/p&gt;</t>
        </is>
      </c>
      <c r="Z31" s="29" t="inlineStr">
        <is>
          <t>ok</t>
        </is>
      </c>
      <c r="AA31" t="n">
        <v>165</v>
      </c>
      <c r="AB31" s="44" t="n">
        <v>5147.89</v>
      </c>
      <c r="AC31" t="n">
        <v>81</v>
      </c>
      <c r="AD31" s="45" t="n">
        <v>0.0005898296033103522</v>
      </c>
      <c r="AE31" s="45" t="n">
        <v>0.001486232334983296</v>
      </c>
      <c r="AF31" t="n">
        <v>47</v>
      </c>
    </row>
    <row r="32" ht="109.5" customHeight="1" s="24">
      <c r="A32" s="30" t="inlineStr">
        <is>
          <t>DCMJ-02</t>
        </is>
      </c>
      <c r="B32" s="30" t="inlineStr">
        <is>
          <t>Designer Collection Mason Jar II</t>
        </is>
      </c>
      <c r="C32" s="30" t="inlineStr">
        <is>
          <t>Mason Jar</t>
        </is>
      </c>
      <c r="D32" s="43" t="inlineStr">
        <is>
          <t>READY TO REVIEW</t>
        </is>
      </c>
      <c r="E32" s="30" t="n"/>
      <c r="F32" s="30" t="inlineStr">
        <is>
          <t>none</t>
        </is>
      </c>
      <c r="G32" s="30" t="inlineStr">
        <is>
          <t>9 × Designer Collection stems; 2 × Ruscus Israeli; 1 × Greeting Card; 1 × Mason Jar</t>
        </is>
      </c>
      <c r="H32" s="30" t="inlineStr">
        <is>
          <t>9 × Designer Collection stems; 2 × Ruscus Israeli; 1 × Greeting Card; 1 × Mason Jar</t>
        </is>
      </c>
      <c r="I32" s="30" t="inlineStr">
        <is>
          <t>9 × Designer Collection stems; 2 × Ruscus Israeli; 1 × Greeting Card; 1 × Mason Jar</t>
        </is>
      </c>
      <c r="J32" s="30" t="inlineStr">
        <is>
          <t>1 × Greeting Card; 1 × Mason Jar; 2 × Ruscus Israeli; 9 × Designer Collection stems</t>
        </is>
      </c>
      <c r="K32" s="30" t="inlineStr">
        <is>
          <t>Y</t>
        </is>
      </c>
      <c r="L32" s="30" t="n"/>
      <c r="M32" s="30" t="inlineStr">
        <is>
          <t>A hand-arranged bouquet of 9 florist's choice stems, presented in a mason jar. Flowers change with the season, so the picture is illustrative and shows the style and colour, not the exact flowers you will receive.</t>
        </is>
      </c>
      <c r="N32" s="30">
        <f>LEN(TRIM(SUBSTITUTE(M32,CHAR(10)," ")))-LEN(SUBSTITUTE(TRIM(SUBSTITUTE(M32,CHAR(10)," "))," ",""))+1</f>
        <v/>
      </c>
      <c r="O32" s="30" t="inlineStr">
        <is>
          <t>&lt;p&gt;A hand-arranged bouquet of 9 florist's choice stems, presented in a mason jar. Flowers change with the season, so the picture is illustrative and shows the style and colour, not the exact flowers you will receive.&lt;/p&gt;</t>
        </is>
      </c>
      <c r="P32" s="29" t="inlineStr">
        <is>
          <t>ok</t>
        </is>
      </c>
      <c r="Q32" s="30" t="inlineStr">
        <is>
          <t>Designer Collection Mason Jar II is an arrangement of 9 florist's choice stems, presented in a mason jar. Flowers change with the season, so the picture is illustrative and shows the style and colour, not the exact flowers you will receive.
It suits a birthday, a thank-you or a just-because moment, or any day you want to bring a little colour to a summer table.</t>
        </is>
      </c>
      <c r="R32" s="30" t="inlineStr">
        <is>
          <t>&lt;p&gt;Designer Collection Mason Jar II is an arrangement of 9 florist's choice stems, presented in a mason jar. Flowers change with the season, so the picture is illustrative and shows the style and colour, not the exact flowers you will receive.&lt;/p&gt;&lt;p&gt;It suits a birthday, a thank-you or a just-because moment, or any day you want to bring a little colour to a summer table.&lt;/p&gt;</t>
        </is>
      </c>
      <c r="S32" s="29" t="inlineStr">
        <is>
          <t>ok</t>
        </is>
      </c>
      <c r="T32" s="30" t="inlineStr">
        <is>
          <t>In this bunch: 9 florist's choice stems in a mason jar. Flowers change with the season, so the picture is illustrative and shows the style and colour, not the exact flowers you will receive.</t>
        </is>
      </c>
      <c r="U32" s="30" t="inlineStr">
        <is>
          <t>&lt;p&gt;In this bunch: 9 florist's choice stems in a mason jar. Flowers change with the season, so the picture is illustrative and shows the style and colour, not the exact flowers you will receive.&lt;/p&gt;</t>
        </is>
      </c>
      <c r="V32" s="29" t="inlineStr">
        <is>
          <t>ok</t>
        </is>
      </c>
      <c r="W32" s="30" t="inlineStr">
        <is>
          <t>30 Peruvian Lilies</t>
        </is>
      </c>
      <c r="X32" s="30" t="inlineStr">
        <is>
          <t>30 Peruvian Lilies gathers 9 florist's choice stems into a relaxed mason jar. Flowers change with the season, so the picture is illustrative and shows the style and colour, not the exact flowers you will receive.</t>
        </is>
      </c>
      <c r="Y32" s="30" t="inlineStr">
        <is>
          <t>&lt;p&gt;30 Peruvian Lilies gathers 9 florist's choice stems into a relaxed mason jar. Flowers change with the season, so the picture is illustrative and shows the style and colour, not the exact flowers you will receive.&lt;/p&gt;</t>
        </is>
      </c>
      <c r="Z32" s="29" t="inlineStr">
        <is>
          <t>ok</t>
        </is>
      </c>
      <c r="AA32" t="n">
        <v>60</v>
      </c>
      <c r="AB32" s="44" t="n">
        <v>36649.06</v>
      </c>
      <c r="AC32" t="n">
        <v>516</v>
      </c>
      <c r="AD32" s="45" t="n">
        <v>0.004199138000520077</v>
      </c>
      <c r="AE32" s="45" t="n">
        <v>0.01058084341715595</v>
      </c>
      <c r="AF32" t="n">
        <v>21</v>
      </c>
    </row>
    <row r="33" ht="109.5" customHeight="1" s="24">
      <c r="A33" s="30" t="inlineStr">
        <is>
          <t>DCMJ-03</t>
        </is>
      </c>
      <c r="B33" s="30" t="inlineStr">
        <is>
          <t>Designer Collection Mason Jar III</t>
        </is>
      </c>
      <c r="C33" s="30" t="inlineStr">
        <is>
          <t>Mason Jar</t>
        </is>
      </c>
      <c r="D33" s="43" t="inlineStr">
        <is>
          <t>READY TO REVIEW</t>
        </is>
      </c>
      <c r="E33" s="30" t="n"/>
      <c r="F33" s="30" t="inlineStr">
        <is>
          <t>none</t>
        </is>
      </c>
      <c r="G33" s="30" t="inlineStr">
        <is>
          <t>8 × Designer Collection stems; 2 × Ruscus Israeli; 1 × Greeting Card; 1 × Mason Jar</t>
        </is>
      </c>
      <c r="H33" s="30" t="inlineStr">
        <is>
          <t>8 × Designer Collection stems; 2 × Ruscus Israeli; 1 × Greeting Card; 1 × Mason Jar</t>
        </is>
      </c>
      <c r="I33" s="30" t="inlineStr">
        <is>
          <t>8 × Designer Collection stems; 2 × Ruscus Israeli; 1 × Greeting Card; 1 × Mason Jar</t>
        </is>
      </c>
      <c r="J33" s="30" t="inlineStr">
        <is>
          <t>1 × Mason Jar; 1 × Greeting Card; 2 × Ruscus Israeli; 8 × Designer Collection stems</t>
        </is>
      </c>
      <c r="K33" s="30" t="inlineStr">
        <is>
          <t>Y</t>
        </is>
      </c>
      <c r="L33" s="30" t="n"/>
      <c r="M33" s="30" t="inlineStr">
        <is>
          <t>Designed by our florists, a bouquet of 8 florist's choice stems, presented in a mason jar. The florist chooses the flowers to suit the season, so the picture is illustrative and shows the style and colour, not the exact stems.</t>
        </is>
      </c>
      <c r="N33" s="30">
        <f>LEN(TRIM(SUBSTITUTE(M33,CHAR(10)," ")))-LEN(SUBSTITUTE(TRIM(SUBSTITUTE(M33,CHAR(10)," "))," ",""))+1</f>
        <v/>
      </c>
      <c r="O33" s="30" t="inlineStr">
        <is>
          <t>&lt;p&gt;Designed by our florists, a bouquet of 8 florist's choice stems, presented in a mason jar. The florist chooses the flowers to suit the season, so the picture is illustrative and shows the style and colour, not the exact stems.&lt;/p&gt;</t>
        </is>
      </c>
      <c r="P33" s="29" t="inlineStr">
        <is>
          <t>ok</t>
        </is>
      </c>
      <c r="Q33" s="30" t="inlineStr">
        <is>
          <t>Designer Collection Mason Jar III is an arrangement of 8 florist's choice stems, presented in a mason jar. The florist chooses the flowers to suit the season, so the picture is illustrative and shows the style and colour, not the exact stems.
It suits a birthday, a thank-you or a just-because moment, or any day you want to bring a little colour to a Sunday lunch.</t>
        </is>
      </c>
      <c r="R33" s="30" t="inlineStr">
        <is>
          <t>&lt;p&gt;Designer Collection Mason Jar III is an arrangement of 8 florist's choice stems, presented in a mason jar. The florist chooses the flowers to suit the season, so the picture is illustrative and shows the style and colour, not the exact stems.&lt;/p&gt;&lt;p&gt;It suits a birthday, a thank-you or a just-because moment, or any day you want to bring a little colour to a Sunday lunch.&lt;/p&gt;</t>
        </is>
      </c>
      <c r="S33" s="29" t="inlineStr">
        <is>
          <t>ok</t>
        </is>
      </c>
      <c r="T33" s="30" t="inlineStr">
        <is>
          <t>In this bunch: 8 florist's choice stems in a mason jar. The florist chooses the flowers to suit the season, so the picture is illustrative and shows the style and colour, not the exact stems.</t>
        </is>
      </c>
      <c r="U33" s="30" t="inlineStr">
        <is>
          <t>&lt;p&gt;In this bunch: 8 florist's choice stems in a mason jar. The florist chooses the flowers to suit the season, so the picture is illustrative and shows the style and colour, not the exact stems.&lt;/p&gt;</t>
        </is>
      </c>
      <c r="V33" s="29" t="inlineStr">
        <is>
          <t>ok</t>
        </is>
      </c>
      <c r="W33" s="30" t="inlineStr">
        <is>
          <t>Mixed Callas</t>
        </is>
      </c>
      <c r="X33" s="30" t="inlineStr">
        <is>
          <t>Mixed Callas gathers 8 florist's choice stems into a relaxed mason jar. The florist chooses the flowers to suit the season, so the picture is illustrative and shows the style and colour, not the exact stems.</t>
        </is>
      </c>
      <c r="Y33" s="30" t="inlineStr">
        <is>
          <t>&lt;p&gt;Mixed Callas gathers 8 florist's choice stems into a relaxed mason jar. The florist chooses the flowers to suit the season, so the picture is illustrative and shows the style and colour, not the exact stems.&lt;/p&gt;</t>
        </is>
      </c>
      <c r="Z33" s="29" t="inlineStr">
        <is>
          <t>ok</t>
        </is>
      </c>
      <c r="AA33" t="n">
        <v>68</v>
      </c>
      <c r="AB33" s="44" t="n">
        <v>30490.92</v>
      </c>
      <c r="AC33" t="n">
        <v>382</v>
      </c>
      <c r="AD33" s="45" t="n">
        <v>0.003493557249247146</v>
      </c>
      <c r="AE33" s="45" t="n">
        <v>0.008802945323201071</v>
      </c>
      <c r="AF33" t="n">
        <v>26</v>
      </c>
    </row>
    <row r="34" ht="109.5" customHeight="1" s="24">
      <c r="A34" s="30" t="inlineStr">
        <is>
          <t>DCMJ-04</t>
        </is>
      </c>
      <c r="B34" s="30" t="inlineStr">
        <is>
          <t>Designer Collection Mason Jar IV</t>
        </is>
      </c>
      <c r="C34" s="30" t="inlineStr">
        <is>
          <t>Mason Jar</t>
        </is>
      </c>
      <c r="D34" s="43" t="inlineStr">
        <is>
          <t>READY TO REVIEW</t>
        </is>
      </c>
      <c r="E34" s="30" t="n"/>
      <c r="F34" s="30" t="inlineStr">
        <is>
          <t>none</t>
        </is>
      </c>
      <c r="G34" s="30" t="inlineStr">
        <is>
          <t>9 × Designer Collection stems; 2 × Ruscus Israeli; 1 × Greeting Card; 1 × Mason Jar</t>
        </is>
      </c>
      <c r="H34" s="30" t="inlineStr">
        <is>
          <t>9 × Designer Collection stems; 2 × Ruscus Israeli; 1 × Greeting Card; 1 × Mason Jar</t>
        </is>
      </c>
      <c r="I34" s="30" t="inlineStr">
        <is>
          <t>9 × Designer Collection stems; 2 × Ruscus Israeli; 1 × Greeting Card; 1 × Mason Jar</t>
        </is>
      </c>
      <c r="J34" s="30" t="inlineStr">
        <is>
          <t>1 × Mason Jar; 1 × Greeting Card; 2 × Ruscus Israeli; 9 × Designer Collection stems</t>
        </is>
      </c>
      <c r="K34" s="30" t="inlineStr">
        <is>
          <t>Y</t>
        </is>
      </c>
      <c r="L34" s="30" t="n"/>
      <c r="M34" s="30" t="inlineStr">
        <is>
          <t>A florist-designed bouquet with 9 florist's choice stems, presented in a mason jar. Stems vary with the season, so the picture is illustrative and shows the style and colour, not the exact flowers.</t>
        </is>
      </c>
      <c r="N34" s="30">
        <f>LEN(TRIM(SUBSTITUTE(M34,CHAR(10)," ")))-LEN(SUBSTITUTE(TRIM(SUBSTITUTE(M34,CHAR(10)," "))," ",""))+1</f>
        <v/>
      </c>
      <c r="O34" s="30" t="inlineStr">
        <is>
          <t>&lt;p&gt;A florist-designed bouquet with 9 florist's choice stems, presented in a mason jar. Stems vary with the season, so the picture is illustrative and shows the style and colour, not the exact flowers.&lt;/p&gt;</t>
        </is>
      </c>
      <c r="P34" s="29" t="inlineStr">
        <is>
          <t>ok</t>
        </is>
      </c>
      <c r="Q34" s="30" t="inlineStr">
        <is>
          <t>Designer Collection Mason Jar IV is an arrangement of 9 florist's choice stems, presented in a mason jar. Stems vary with the season, so the picture is illustrative and shows the style and colour, not the exact flowers.
It suits a birthday, a thank-you or a just-because moment, or any day you want to bring a little colour to a summer table.</t>
        </is>
      </c>
      <c r="R34" s="30" t="inlineStr">
        <is>
          <t>&lt;p&gt;Designer Collection Mason Jar IV is an arrangement of 9 florist's choice stems, presented in a mason jar. Stems vary with the season, so the picture is illustrative and shows the style and colour, not the exact flowers.&lt;/p&gt;&lt;p&gt;It suits a birthday, a thank-you or a just-because moment, or any day you want to bring a little colour to a summer table.&lt;/p&gt;</t>
        </is>
      </c>
      <c r="S34" s="29" t="inlineStr">
        <is>
          <t>ok</t>
        </is>
      </c>
      <c r="T34" s="30" t="inlineStr">
        <is>
          <t>In this bunch: 9 florist's choice stems in a mason jar. Stems vary with the season, so the picture is illustrative and shows the style and colour, not the exact flowers.</t>
        </is>
      </c>
      <c r="U34" s="30" t="inlineStr">
        <is>
          <t>&lt;p&gt;In this bunch: 9 florist's choice stems in a mason jar. Stems vary with the season, so the picture is illustrative and shows the style and colour, not the exact flowers.&lt;/p&gt;</t>
        </is>
      </c>
      <c r="V34" s="29" t="inlineStr">
        <is>
          <t>ok</t>
        </is>
      </c>
      <c r="W34" s="30" t="inlineStr">
        <is>
          <t>Sunday Roses</t>
        </is>
      </c>
      <c r="X34" s="30" t="inlineStr">
        <is>
          <t>Sunday Roses gathers 9 florist's choice stems into a relaxed mason jar. Stems vary with the season, so the picture is illustrative and shows the style and colour, not the exact flowers.</t>
        </is>
      </c>
      <c r="Y34" s="30" t="inlineStr">
        <is>
          <t>&lt;p&gt;Sunday Roses gathers 9 florist's choice stems into a relaxed mason jar. Stems vary with the season, so the picture is illustrative and shows the style and colour, not the exact flowers.&lt;/p&gt;</t>
        </is>
      </c>
      <c r="Z34" s="29" t="inlineStr">
        <is>
          <t>ok</t>
        </is>
      </c>
      <c r="AA34" t="n">
        <v>64</v>
      </c>
      <c r="AB34" s="44" t="n">
        <v>33508.58</v>
      </c>
      <c r="AC34" t="n">
        <v>394</v>
      </c>
      <c r="AD34" s="45" t="n">
        <v>0.003839311797301732</v>
      </c>
      <c r="AE34" s="45" t="n">
        <v>0.009674165733981093</v>
      </c>
      <c r="AF34" t="n">
        <v>24</v>
      </c>
    </row>
    <row r="35" ht="109.5" customHeight="1" s="24">
      <c r="A35" s="30" t="inlineStr">
        <is>
          <t>DCMJ-01</t>
        </is>
      </c>
      <c r="B35" s="30" t="inlineStr">
        <is>
          <t>Designer Collection Mason Jar I</t>
        </is>
      </c>
      <c r="C35" s="30" t="inlineStr">
        <is>
          <t>Mason Jar</t>
        </is>
      </c>
      <c r="D35" s="43" t="inlineStr">
        <is>
          <t>READY TO REVIEW</t>
        </is>
      </c>
      <c r="E35" s="30" t="n"/>
      <c r="F35" s="30" t="inlineStr">
        <is>
          <t>none</t>
        </is>
      </c>
      <c r="G35" s="30" t="inlineStr">
        <is>
          <t>9 × Designer Collection stems; 2 × Ruscus Israeli; 1 × Greeting Card; 1 × Mason Jar</t>
        </is>
      </c>
      <c r="H35" s="30" t="inlineStr">
        <is>
          <t>9 × Designer Collection stems; 2 × Ruscus Israeli; 1 × Greeting Card; 1 × Mason Jar</t>
        </is>
      </c>
      <c r="I35" s="30" t="inlineStr">
        <is>
          <t>9 × Designer Collection stems; 2 × Ruscus Israeli; 1 × Greeting Card; 1 × Mason Jar</t>
        </is>
      </c>
      <c r="J35" s="30" t="inlineStr">
        <is>
          <t>1 × Mason Jar; 1 × Greeting Card; 2 × Ruscus Israeli; 9 × Designer Collection stems</t>
        </is>
      </c>
      <c r="K35" s="30" t="inlineStr">
        <is>
          <t>Y</t>
        </is>
      </c>
      <c r="L35" s="30" t="n"/>
      <c r="M35" s="30" t="inlineStr">
        <is>
          <t>Designed by our florists, a bouquet of 9 florist's choice stems, presented in a mason jar. The florist chooses the flowers to suit the season, so the picture is illustrative and shows the style and colour, not the exact stems.</t>
        </is>
      </c>
      <c r="N35" s="30">
        <f>LEN(TRIM(SUBSTITUTE(M35,CHAR(10)," ")))-LEN(SUBSTITUTE(TRIM(SUBSTITUTE(M35,CHAR(10)," "))," ",""))+1</f>
        <v/>
      </c>
      <c r="O35" s="30" t="inlineStr">
        <is>
          <t>&lt;p&gt;Designed by our florists, a bouquet of 9 florist's choice stems, presented in a mason jar. The florist chooses the flowers to suit the season, so the picture is illustrative and shows the style and colour, not the exact stems.&lt;/p&gt;</t>
        </is>
      </c>
      <c r="P35" s="29" t="inlineStr">
        <is>
          <t>ok</t>
        </is>
      </c>
      <c r="Q35" s="30" t="inlineStr">
        <is>
          <t>Designer Collection Mason Jar I is an arrangement of 9 florist's choice stems, presented in a mason jar. Stems vary with the season, so the picture is illustrative and shows the style and colour, not the exact flowers.
It suits a birthday, a thank-you or a just-because moment, or any day you want to bring a little colour to a Sunday lunch.</t>
        </is>
      </c>
      <c r="R35" s="30" t="inlineStr">
        <is>
          <t>&lt;p&gt;Designer Collection Mason Jar I is an arrangement of 9 florist's choice stems, presented in a mason jar. Stems vary with the season, so the picture is illustrative and shows the style and colour, not the exact flowers.&lt;/p&gt;&lt;p&gt;It suits a birthday, a thank-you or a just-because moment, or any day you want to bring a little colour to a Sunday lunch.&lt;/p&gt;</t>
        </is>
      </c>
      <c r="S35" s="29" t="inlineStr">
        <is>
          <t>ok</t>
        </is>
      </c>
      <c r="T35" s="30" t="inlineStr">
        <is>
          <t>The bunch holds: 9 florist's choice stems in a mason jar. The florist chooses the flowers to suit the season, so the picture is illustrative and shows the style and colour, not the exact stems.</t>
        </is>
      </c>
      <c r="U35" s="30" t="inlineStr">
        <is>
          <t>&lt;p&gt;The bunch holds: 9 florist's choice stems in a mason jar. The florist chooses the flowers to suit the season, so the picture is illustrative and shows the style and colour, not the exact stems.&lt;/p&gt;</t>
        </is>
      </c>
      <c r="V35" s="29" t="inlineStr">
        <is>
          <t>ok</t>
        </is>
      </c>
      <c r="W35" s="30" t="inlineStr">
        <is>
          <t>All the Pinks</t>
        </is>
      </c>
      <c r="X35" s="30" t="inlineStr">
        <is>
          <t>All the Pinks gathers 9 florist's choice stems into a relaxed mason jar. Stems vary with the season, so the picture is illustrative and shows the style and colour, not the exact flowers.</t>
        </is>
      </c>
      <c r="Y35" s="30" t="inlineStr">
        <is>
          <t>&lt;p&gt;All the Pinks gathers 9 florist's choice stems into a relaxed mason jar. Stems vary with the season, so the picture is illustrative and shows the style and colour, not the exact flowers.&lt;/p&gt;</t>
        </is>
      </c>
      <c r="Z35" s="29" t="inlineStr">
        <is>
          <t>ok</t>
        </is>
      </c>
      <c r="AA35" t="n">
        <v>27</v>
      </c>
      <c r="AB35" s="44" t="n">
        <v>80994.00999999999</v>
      </c>
      <c r="AC35" t="n">
        <v>1370</v>
      </c>
      <c r="AD35" s="45" t="n">
        <v>0.00928004747754041</v>
      </c>
      <c r="AE35" s="45" t="n">
        <v>0.02338354425395566</v>
      </c>
      <c r="AF35" t="n">
        <v>14</v>
      </c>
    </row>
    <row r="36" ht="109.5" customHeight="1" s="24">
      <c r="A36" s="30" t="inlineStr">
        <is>
          <t>DCMJ-01A</t>
        </is>
      </c>
      <c r="B36" s="30" t="inlineStr">
        <is>
          <t>Designer Collection Mason Jar I</t>
        </is>
      </c>
      <c r="C36" s="30" t="inlineStr">
        <is>
          <t>Mason Jar</t>
        </is>
      </c>
      <c r="D36" s="43" t="inlineStr">
        <is>
          <t>READY TO REVIEW</t>
        </is>
      </c>
      <c r="E36" s="30" t="inlineStr">
        <is>
          <t>A designer arrangement of seasonal blooms presented in a charming mason jar, thoughtfully styled for effortless elegance. A versatile and graceful gift to celebrate an anniversary, mark a birthday, or send warm congratulations.</t>
        </is>
      </c>
      <c r="F36" s="30" t="inlineStr">
        <is>
          <t>Shopify (28 Sep)</t>
        </is>
      </c>
      <c r="G36" s="30" t="inlineStr">
        <is>
          <t>9 × Designer Collection stems; 2 × Ruscus Israeli; 1 × Greeting Card; 1 × Mason Jar</t>
        </is>
      </c>
      <c r="H36" s="30" t="inlineStr">
        <is>
          <t>9 × Designer Collection stems; 2 × Ruscus Israeli; 1 × Greeting Card; 1 × Mason Jar</t>
        </is>
      </c>
      <c r="I36" s="30" t="inlineStr">
        <is>
          <t>9 × Designer Collection stems; 2 × Ruscus Israeli; 1 × Greeting Card; 1 × Mason Jar</t>
        </is>
      </c>
      <c r="J36" s="30" t="inlineStr">
        <is>
          <t>1 × Mason Jar; 1 × Greeting Card; 2 × Ruscus Israeli; 9 × Designer Collection stems</t>
        </is>
      </c>
      <c r="K36" s="30" t="inlineStr">
        <is>
          <t>Y</t>
        </is>
      </c>
      <c r="L36" s="30" t="n"/>
      <c r="M36" s="30" t="inlineStr">
        <is>
          <t>A hand-arranged bouquet of 9 florist's choice stems, presented in a mason jar. Flowers change with the season, so the picture is illustrative and shows the style and colour, not the exact flowers you will receive.</t>
        </is>
      </c>
      <c r="N36" s="30">
        <f>LEN(TRIM(SUBSTITUTE(M36,CHAR(10)," ")))-LEN(SUBSTITUTE(TRIM(SUBSTITUTE(M36,CHAR(10)," "))," ",""))+1</f>
        <v/>
      </c>
      <c r="O36" s="30" t="inlineStr">
        <is>
          <t>&lt;p&gt;A hand-arranged bouquet of 9 florist's choice stems, presented in a mason jar. Flowers change with the season, so the picture is illustrative and shows the style and colour, not the exact flowers you will receive.&lt;/p&gt;</t>
        </is>
      </c>
      <c r="P36" s="29" t="inlineStr">
        <is>
          <t>ok</t>
        </is>
      </c>
      <c r="Q36" s="30" t="inlineStr">
        <is>
          <t>Designer Collection Mason Jar I is an arrangement of 9 florist's choice stems, presented in a mason jar. Stems vary with the season, so the picture is illustrative and shows the style and colour, not the exact flowers.
It suits a birthday, a thank-you or a just-because moment, or any day you want to bring a little colour to a summer table.</t>
        </is>
      </c>
      <c r="R36" s="30" t="inlineStr">
        <is>
          <t>&lt;p&gt;Designer Collection Mason Jar I is an arrangement of 9 florist's choice stems, presented in a mason jar. Stems vary with the season, so the picture is illustrative and shows the style and colour, not the exact flowers.&lt;/p&gt;&lt;p&gt;It suits a birthday, a thank-you or a just-because moment, or any day you want to bring a little colour to a summer table.&lt;/p&gt;</t>
        </is>
      </c>
      <c r="S36" s="29" t="inlineStr">
        <is>
          <t>ok</t>
        </is>
      </c>
      <c r="T36" s="30" t="inlineStr">
        <is>
          <t>The bunch holds: 9 florist's choice stems in a mason jar. Flowers change with the season, so the picture is illustrative and shows the style and colour, not the exact flowers you will receive.</t>
        </is>
      </c>
      <c r="U36" s="30" t="inlineStr">
        <is>
          <t>&lt;p&gt;The bunch holds: 9 florist's choice stems in a mason jar. Flowers change with the season, so the picture is illustrative and shows the style and colour, not the exact flowers you will receive.&lt;/p&gt;</t>
        </is>
      </c>
      <c r="V36" s="29" t="inlineStr">
        <is>
          <t>ok</t>
        </is>
      </c>
      <c r="W36" s="30" t="inlineStr">
        <is>
          <t>Snap Happy</t>
        </is>
      </c>
      <c r="X36" s="30" t="inlineStr">
        <is>
          <t>Snap Happy gathers 9 florist's choice stems into a relaxed mason jar. Stems vary with the season, so the picture is illustrative and shows the style and colour, not the exact flowers.</t>
        </is>
      </c>
      <c r="Y36" s="30" t="inlineStr">
        <is>
          <t>&lt;p&gt;Snap Happy gathers 9 florist's choice stems into a relaxed mason jar. Stems vary with the season, so the picture is illustrative and shows the style and colour, not the exact flowers.&lt;/p&gt;</t>
        </is>
      </c>
      <c r="Z36" s="29" t="inlineStr">
        <is>
          <t>ok</t>
        </is>
      </c>
      <c r="AA36" t="n">
        <v>27</v>
      </c>
      <c r="AB36" s="44" t="n">
        <v>74369.66</v>
      </c>
      <c r="AC36" t="n">
        <v>1276</v>
      </c>
      <c r="AD36" s="45" t="n">
        <v>0.008521049571079912</v>
      </c>
      <c r="AE36" s="45" t="n">
        <v>0.02147104745075151</v>
      </c>
      <c r="AF36" t="n">
        <v>14</v>
      </c>
    </row>
    <row r="37" ht="109.5" customHeight="1" s="24">
      <c r="A37" s="30" t="inlineStr">
        <is>
          <t>DCMJ-02A</t>
        </is>
      </c>
      <c r="B37" s="30" t="inlineStr">
        <is>
          <t>Designer Collection Mason Jar II</t>
        </is>
      </c>
      <c r="C37" s="30" t="inlineStr">
        <is>
          <t>Mason Jar</t>
        </is>
      </c>
      <c r="D37" s="43" t="inlineStr">
        <is>
          <t>READY TO REVIEW</t>
        </is>
      </c>
      <c r="E37" s="30" t="inlineStr">
        <is>
          <t>Designer Collection Mason Jar II is a relaxed flower gift that arrives with a ready-to-display feel. Send it for birthdays, thanks, get-well wishes, or a friendly note that should feel easy and warm. 
 Seasonal florist-choice blooms give each arrangement a fresh look. 
 The mason jar presentation makes the gift simple to place and enjoy. 
 Good for homes, desks, kitchens, and casual celebration sending. 
 Choose add-ons and delivery options during checkout.</t>
        </is>
      </c>
      <c r="F37" s="30" t="inlineStr">
        <is>
          <t>Shopify (28 Sep)</t>
        </is>
      </c>
      <c r="G37" s="30" t="inlineStr">
        <is>
          <t>9 × Designer Collection stems; 2 × Ruscus Israeli; 1 × Greeting Card; 1 × Mason Jar</t>
        </is>
      </c>
      <c r="H37" s="30" t="inlineStr">
        <is>
          <t>9 × Designer Collection stems; 2 × Ruscus Israeli; 1 × Greeting Card; 1 × Mason Jar</t>
        </is>
      </c>
      <c r="I37" s="30" t="inlineStr">
        <is>
          <t>9 × Designer Collection stems; 2 × Ruscus Israeli; 1 × Greeting Card; 1 × Mason Jar</t>
        </is>
      </c>
      <c r="J37" s="30" t="inlineStr">
        <is>
          <t>1 × Mason Jar; 1 × Greeting Card; 2 × Ruscus Israeli; 9 × Designer Collection stems</t>
        </is>
      </c>
      <c r="K37" s="30" t="inlineStr">
        <is>
          <t>Y</t>
        </is>
      </c>
      <c r="L37" s="30" t="n"/>
      <c r="M37" s="30" t="inlineStr">
        <is>
          <t>Designed by our florists, a bouquet of 9 florist's choice stems, presented in a mason jar. The florist chooses the flowers to suit the season, so the picture is illustrative and shows the style and colour, not the exact stems.</t>
        </is>
      </c>
      <c r="N37" s="30">
        <f>LEN(TRIM(SUBSTITUTE(M37,CHAR(10)," ")))-LEN(SUBSTITUTE(TRIM(SUBSTITUTE(M37,CHAR(10)," "))," ",""))+1</f>
        <v/>
      </c>
      <c r="O37" s="30" t="inlineStr">
        <is>
          <t>&lt;p&gt;Designed by our florists, a bouquet of 9 florist's choice stems, presented in a mason jar. The florist chooses the flowers to suit the season, so the picture is illustrative and shows the style and colour, not the exact stems.&lt;/p&gt;</t>
        </is>
      </c>
      <c r="P37" s="29" t="inlineStr">
        <is>
          <t>ok</t>
        </is>
      </c>
      <c r="Q37" s="30" t="inlineStr">
        <is>
          <t>Designer Collection Mason Jar II is an arrangement of 9 florist's choice stems, presented in a mason jar. The florist chooses the flowers to suit the season, so the picture is illustrative and shows the style and colour, not the exact stems.
It suits a birthday, a thank-you or a just-because moment, or any day you want to bring a little colour to the kitchen bench.</t>
        </is>
      </c>
      <c r="R37" s="30" t="inlineStr">
        <is>
          <t>&lt;p&gt;Designer Collection Mason Jar II is an arrangement of 9 florist's choice stems, presented in a mason jar. The florist chooses the flowers to suit the season, so the picture is illustrative and shows the style and colour, not the exact stems.&lt;/p&gt;&lt;p&gt;It suits a birthday, a thank-you or a just-because moment, or any day you want to bring a little colour to the kitchen bench.&lt;/p&gt;</t>
        </is>
      </c>
      <c r="S37" s="29" t="inlineStr">
        <is>
          <t>ok</t>
        </is>
      </c>
      <c r="T37" s="30" t="inlineStr">
        <is>
          <t>The bunch holds: 9 florist's choice stems in a mason jar. Stems vary with the season, so the picture is illustrative and shows the style and colour, not the exact flowers.</t>
        </is>
      </c>
      <c r="U37" s="30" t="inlineStr">
        <is>
          <t>&lt;p&gt;The bunch holds: 9 florist's choice stems in a mason jar. Stems vary with the season, so the picture is illustrative and shows the style and colour, not the exact flowers.&lt;/p&gt;</t>
        </is>
      </c>
      <c r="V37" s="29" t="inlineStr">
        <is>
          <t>ok</t>
        </is>
      </c>
      <c r="W37" s="30" t="inlineStr">
        <is>
          <t>Garden Romance</t>
        </is>
      </c>
      <c r="X37" s="30" t="inlineStr">
        <is>
          <t>Garden Romance gathers 9 florist's choice stems into a relaxed mason jar. The florist chooses the flowers to suit the season, so the picture is illustrative and shows the style and colour, not the exact stems.</t>
        </is>
      </c>
      <c r="Y37" s="30" t="inlineStr">
        <is>
          <t>&lt;p&gt;Garden Romance gathers 9 florist's choice stems into a relaxed mason jar. The florist chooses the flowers to suit the season, so the picture is illustrative and shows the style and colour, not the exact stems.&lt;/p&gt;</t>
        </is>
      </c>
      <c r="Z37" s="29" t="inlineStr">
        <is>
          <t>ok</t>
        </is>
      </c>
      <c r="AA37" t="n">
        <v>60</v>
      </c>
      <c r="AB37" s="44" t="n">
        <v>36649.06</v>
      </c>
      <c r="AC37" t="n">
        <v>516</v>
      </c>
      <c r="AD37" s="45" t="n">
        <v>0.004199138000520077</v>
      </c>
      <c r="AE37" s="45" t="n">
        <v>0.01058084341715595</v>
      </c>
      <c r="AF37" t="n">
        <v>21</v>
      </c>
    </row>
    <row r="38" ht="109.5" customHeight="1" s="24">
      <c r="A38" s="30" t="inlineStr">
        <is>
          <t>DCMJ-03A</t>
        </is>
      </c>
      <c r="B38" s="30" t="inlineStr">
        <is>
          <t>Designer Collection Mason Jar III</t>
        </is>
      </c>
      <c r="C38" s="30" t="inlineStr">
        <is>
          <t>Mason Jar</t>
        </is>
      </c>
      <c r="D38" s="43" t="inlineStr">
        <is>
          <t>READY TO REVIEW</t>
        </is>
      </c>
      <c r="E38" s="30" t="inlineStr">
        <is>
          <t>An artfully styled designer arrangement of fresh seasonal blooms gathered in a charming mason jar, blending beauty with relaxed appeal. Perfect for marking a birthday, offering congratulations, or brightening a loved one's recovery.</t>
        </is>
      </c>
      <c r="F38" s="30" t="inlineStr">
        <is>
          <t>Shopify (28 Sep)</t>
        </is>
      </c>
      <c r="G38" s="30" t="inlineStr">
        <is>
          <t>10 × Designer Collection stems; 3 × Ruscus Israeli; 1 × Greeting Card; 1 × Mason Jar</t>
        </is>
      </c>
      <c r="H38" s="30" t="inlineStr">
        <is>
          <t>10 × Designer Collection stems; 3 × Ruscus Israeli; 1 × Greeting Card; 1 × Mason Jar</t>
        </is>
      </c>
      <c r="I38" s="30" t="inlineStr">
        <is>
          <t>10 × Designer Collection stems; 3 × Ruscus Israeli; 1 × Greeting Card; 1 × Mason Jar</t>
        </is>
      </c>
      <c r="J38" s="30" t="inlineStr">
        <is>
          <t>1 × Mason Jar; 1 × Greeting Card; 3 × Ruscus Israeli; 10 × Designer Collection stems</t>
        </is>
      </c>
      <c r="K38" s="30" t="inlineStr">
        <is>
          <t>Y</t>
        </is>
      </c>
      <c r="L38" s="30" t="n"/>
      <c r="M38" s="30" t="inlineStr">
        <is>
          <t>Designed by our florists, a bouquet of 10 florist's choice stems, presented in a mason jar. The florist chooses the flowers to suit the season, so the picture is illustrative and shows the style and colour, not the exact stems.</t>
        </is>
      </c>
      <c r="N38" s="30">
        <f>LEN(TRIM(SUBSTITUTE(M38,CHAR(10)," ")))-LEN(SUBSTITUTE(TRIM(SUBSTITUTE(M38,CHAR(10)," "))," ",""))+1</f>
        <v/>
      </c>
      <c r="O38" s="30" t="inlineStr">
        <is>
          <t>&lt;p&gt;Designed by our florists, a bouquet of 10 florist's choice stems, presented in a mason jar. The florist chooses the flowers to suit the season, so the picture is illustrative and shows the style and colour, not the exact stems.&lt;/p&gt;</t>
        </is>
      </c>
      <c r="P38" s="29" t="inlineStr">
        <is>
          <t>ok</t>
        </is>
      </c>
      <c r="Q38" s="30" t="inlineStr">
        <is>
          <t>Designer Collection Mason Jar III is an arrangement of 10 florist's choice stems, presented in a mason jar. The florist chooses the flowers to suit the season, so the picture is illustrative and shows the style and colour, not the exact stems.
It suits a birthday, a thank-you or a just-because moment, or any day you want to bring a little colour to the kitchen bench.</t>
        </is>
      </c>
      <c r="R38" s="30" t="inlineStr">
        <is>
          <t>&lt;p&gt;Designer Collection Mason Jar III is an arrangement of 10 florist's choice stems, presented in a mason jar. The florist chooses the flowers to suit the season, so the picture is illustrative and shows the style and colour, not the exact stems.&lt;/p&gt;&lt;p&gt;It suits a birthday, a thank-you or a just-because moment, or any day you want to bring a little colour to the kitchen bench.&lt;/p&gt;</t>
        </is>
      </c>
      <c r="S38" s="29" t="inlineStr">
        <is>
          <t>ok</t>
        </is>
      </c>
      <c r="T38" s="30" t="inlineStr">
        <is>
          <t>The bunch holds: 10 florist's choice stems in a mason jar. The florist chooses the flowers to suit the season, so the picture is illustrative and shows the style and colour, not the exact stems.</t>
        </is>
      </c>
      <c r="U38" s="30" t="inlineStr">
        <is>
          <t>&lt;p&gt;The bunch holds: 10 florist's choice stems in a mason jar. The florist chooses the flowers to suit the season, so the picture is illustrative and shows the style and colour, not the exact stems.&lt;/p&gt;</t>
        </is>
      </c>
      <c r="V38" s="29" t="inlineStr">
        <is>
          <t>ok</t>
        </is>
      </c>
      <c r="W38" s="30" t="inlineStr">
        <is>
          <t>Mel's Garden Pick I</t>
        </is>
      </c>
      <c r="X38" s="30" t="inlineStr">
        <is>
          <t>Mel's Garden Pick I gathers 10 florist's choice stems into a relaxed mason jar. The florist chooses the flowers to suit the season, so the picture is illustrative and shows the style and colour, not the exact stems.</t>
        </is>
      </c>
      <c r="Y38" s="30" t="inlineStr">
        <is>
          <t>&lt;p&gt;Mel's Garden Pick I gathers 10 florist's choice stems into a relaxed mason jar. The florist chooses the flowers to suit the season, so the picture is illustrative and shows the style and colour, not the exact stems.&lt;/p&gt;</t>
        </is>
      </c>
      <c r="Z38" s="29" t="inlineStr">
        <is>
          <t>ok</t>
        </is>
      </c>
      <c r="AA38" t="n">
        <v>68</v>
      </c>
      <c r="AB38" s="44" t="n">
        <v>33306.37</v>
      </c>
      <c r="AC38" t="n">
        <v>430</v>
      </c>
      <c r="AD38" s="45" t="n">
        <v>0.003816142960410386</v>
      </c>
      <c r="AE38" s="45" t="n">
        <v>0.009615785696155567</v>
      </c>
      <c r="AF38" t="n">
        <v>26</v>
      </c>
    </row>
    <row r="39" ht="109.5" customHeight="1" s="24">
      <c r="A39" s="30" t="inlineStr">
        <is>
          <t>DCMJ-04A</t>
        </is>
      </c>
      <c r="B39" s="30" t="inlineStr">
        <is>
          <t>Designer Collection Mason Jar IV</t>
        </is>
      </c>
      <c r="C39" s="30" t="inlineStr">
        <is>
          <t>Mason Jar</t>
        </is>
      </c>
      <c r="D39" s="43" t="inlineStr">
        <is>
          <t>READY TO REVIEW</t>
        </is>
      </c>
      <c r="E39" s="30" t="inlineStr">
        <is>
          <t>A designer collection of seasonal flowers thoughtfully arranged in a country-style mason jar, radiating natural elegance and warmth. A lovely gesture for a birthday, a note of congratulations, or heartfelt get-well wishes.</t>
        </is>
      </c>
      <c r="F39" s="30" t="inlineStr">
        <is>
          <t>Shopify (28 Sep)</t>
        </is>
      </c>
      <c r="G39" s="30" t="inlineStr">
        <is>
          <t>12 × Designer Collection stems; 2 × Ruscus Israeli; 1 × Greeting Card; 1 × Mason Jar</t>
        </is>
      </c>
      <c r="H39" s="30" t="inlineStr">
        <is>
          <t>12 × Designer Collection stems; 2 × Ruscus Israeli; 1 × Greeting Card; 1 × Mason Jar</t>
        </is>
      </c>
      <c r="I39" s="30" t="inlineStr">
        <is>
          <t>12 × Designer Collection stems; 2 × Ruscus Israeli; 1 × Greeting Card; 1 × Mason Jar</t>
        </is>
      </c>
      <c r="J39" s="30" t="inlineStr">
        <is>
          <t>1 × Mason Jar; 1 × Greeting Card; 2 × Ruscus Israeli; 12 × Designer Collection stems</t>
        </is>
      </c>
      <c r="K39" s="30" t="inlineStr">
        <is>
          <t>Y</t>
        </is>
      </c>
      <c r="L39" s="30" t="n"/>
      <c r="M39" s="30" t="inlineStr">
        <is>
          <t>A florist-designed bouquet with 12 florist's choice stems, presented in a mason jar. Stems vary with the season, so the picture is illustrative and shows the style and colour, not the exact flowers.</t>
        </is>
      </c>
      <c r="N39" s="30">
        <f>LEN(TRIM(SUBSTITUTE(M39,CHAR(10)," ")))-LEN(SUBSTITUTE(TRIM(SUBSTITUTE(M39,CHAR(10)," "))," ",""))+1</f>
        <v/>
      </c>
      <c r="O39" s="30" t="inlineStr">
        <is>
          <t>&lt;p&gt;A florist-designed bouquet with 12 florist's choice stems, presented in a mason jar. Stems vary with the season, so the picture is illustrative and shows the style and colour, not the exact flowers.&lt;/p&gt;</t>
        </is>
      </c>
      <c r="P39" s="29" t="inlineStr">
        <is>
          <t>ok</t>
        </is>
      </c>
      <c r="Q39" s="30" t="inlineStr">
        <is>
          <t>Designer Collection Mason Jar IV is an arrangement of 12 florist's choice stems, presented in a mason jar. Stems vary with the season, so the picture is illustrative and shows the style and colour, not the exact flowers.
It suits a birthday, a thank-you or a just-because moment, or any day you want to bring a little colour to a Sunday lunch.</t>
        </is>
      </c>
      <c r="R39" s="30" t="inlineStr">
        <is>
          <t>&lt;p&gt;Designer Collection Mason Jar IV is an arrangement of 12 florist's choice stems, presented in a mason jar. Stems vary with the season, so the picture is illustrative and shows the style and colour, not the exact flowers.&lt;/p&gt;&lt;p&gt;It suits a birthday, a thank-you or a just-because moment, or any day you want to bring a little colour to a Sunday lunch.&lt;/p&gt;</t>
        </is>
      </c>
      <c r="S39" s="29" t="inlineStr">
        <is>
          <t>ok</t>
        </is>
      </c>
      <c r="T39" s="30" t="inlineStr">
        <is>
          <t>In this bunch: 12 florist's choice stems in a mason jar. Stems vary with the season, so the picture is illustrative and shows the style and colour, not the exact flowers.</t>
        </is>
      </c>
      <c r="U39" s="30" t="inlineStr">
        <is>
          <t>&lt;p&gt;In this bunch: 12 florist's choice stems in a mason jar. Stems vary with the season, so the picture is illustrative and shows the style and colour, not the exact flowers.&lt;/p&gt;</t>
        </is>
      </c>
      <c r="V39" s="29" t="inlineStr">
        <is>
          <t>ok</t>
        </is>
      </c>
      <c r="W39" s="30" t="inlineStr">
        <is>
          <t>Mel's Garden Pick II</t>
        </is>
      </c>
      <c r="X39" s="30" t="inlineStr">
        <is>
          <t>Mel's Garden Pick II gathers 12 florist's choice stems into a relaxed mason jar. Stems vary with the season, so the picture is illustrative and shows the style and colour, not the exact flowers.</t>
        </is>
      </c>
      <c r="Y39" s="30" t="inlineStr">
        <is>
          <t>&lt;p&gt;Mel's Garden Pick II gathers 12 florist's choice stems into a relaxed mason jar. Stems vary with the season, so the picture is illustrative and shows the style and colour, not the exact flowers.&lt;/p&gt;</t>
        </is>
      </c>
      <c r="Z39" s="29" t="inlineStr">
        <is>
          <t>ok</t>
        </is>
      </c>
      <c r="AA39" t="n">
        <v>64</v>
      </c>
      <c r="AB39" s="44" t="n">
        <v>34621.4</v>
      </c>
      <c r="AC39" t="n">
        <v>408</v>
      </c>
      <c r="AD39" s="45" t="n">
        <v>0.003966815333538098</v>
      </c>
      <c r="AE39" s="45" t="n">
        <v>0.009995444756457507</v>
      </c>
      <c r="AF39" t="n">
        <v>24</v>
      </c>
    </row>
    <row r="40" ht="109.5" customHeight="1" s="24">
      <c r="A40" s="30" t="inlineStr">
        <is>
          <t>AUSTRT-04</t>
        </is>
      </c>
      <c r="B40" s="30" t="inlineStr">
        <is>
          <t>Ruby Rose Trio</t>
        </is>
      </c>
      <c r="C40" s="30" t="inlineStr">
        <is>
          <t>Mason Jar</t>
        </is>
      </c>
      <c r="D40" s="43" t="inlineStr">
        <is>
          <t>READY TO REVIEW</t>
        </is>
      </c>
      <c r="E40" s="30" t="inlineStr">
        <is>
          <t>Seventeen rich ruby roses gathered into an elegant, classic trio. Timelessly romantic yet beautifully understated, the Ruby Rose Trio is a heartfelt way to show someone just how much they mean to you.</t>
        </is>
      </c>
      <c r="F40" s="30" t="inlineStr">
        <is>
          <t>Shopify (28 Sep)</t>
        </is>
      </c>
      <c r="G40" s="30" t="inlineStr">
        <is>
          <t>3 × Roses Red; 1 × Baby's Breath; 1 × Ruscus Israeli; 1 × Mason Jar</t>
        </is>
      </c>
      <c r="H40" s="30" t="inlineStr">
        <is>
          <t>3 × Roses Red; 1 × Baby's Breath; 1 × Ruscus Israeli; 1 × Mason Jar</t>
        </is>
      </c>
      <c r="I40" s="30" t="inlineStr">
        <is>
          <t>3 × Roses Red; 1 × Baby's Breath; 1 × Ruscus Israeli; 1 × Mason Jar</t>
        </is>
      </c>
      <c r="J40" s="30" t="inlineStr">
        <is>
          <t>3 × Roses Red; 1 × Mason Jar; 1 × Ruscus Israeli; 1 × Baby's Breath</t>
        </is>
      </c>
      <c r="K40" s="30" t="inlineStr">
        <is>
          <t>Y</t>
        </is>
      </c>
      <c r="L40" s="30" t="n"/>
      <c r="M40" s="30" t="inlineStr">
        <is>
          <t>A hand-arranged mason jar bouquet of 3 red roses. A lovely way to mark a thank-you or an anniversary, with a mason jar to keep once the flowers are gone.</t>
        </is>
      </c>
      <c r="N40" s="30">
        <f>LEN(TRIM(SUBSTITUTE(M40,CHAR(10)," ")))-LEN(SUBSTITUTE(TRIM(SUBSTITUTE(M40,CHAR(10)," "))," ",""))+1</f>
        <v/>
      </c>
      <c r="O40" s="30" t="inlineStr">
        <is>
          <t>&lt;p&gt;A hand-arranged mason jar bouquet of 3 red roses. A lovely way to mark a thank-you or an anniversary, with a mason jar to keep once the flowers are gone.&lt;/p&gt;</t>
        </is>
      </c>
      <c r="P40" s="29" t="inlineStr">
        <is>
          <t>ok</t>
        </is>
      </c>
      <c r="Q40" s="30" t="inlineStr">
        <is>
          <t>Ruby Rose Trio brings together 3 red roses, presented in a mason jar you can keep. It suits an anniversary or a thank-you.
Red tones say love and devotion. We hand-arrange each one at Aussie Blooms so it looks the way you pictured it, ready for the bedside table. Stems can vary with the season, while the red palette stays.</t>
        </is>
      </c>
      <c r="R40" s="30" t="inlineStr">
        <is>
          <t>&lt;p&gt;Ruby Rose Trio brings together 3 red roses, presented in a mason jar you can keep. It suits an anniversary or a thank-you.&lt;/p&gt;&lt;p&gt;Red tones say love and devotion. We hand-arrange each one at Aussie Blooms so it looks the way you pictured it, ready for the bedside table. Stems can vary with the season, while the red palette stays.&lt;/p&gt;</t>
        </is>
      </c>
      <c r="S40" s="29" t="inlineStr">
        <is>
          <t>ok</t>
        </is>
      </c>
      <c r="T40" s="30" t="inlineStr">
        <is>
          <t>Inside the jar: 3 red roses. Say it with flowers, and let the flowers do the talking.</t>
        </is>
      </c>
      <c r="U40" s="30" t="inlineStr">
        <is>
          <t>&lt;p&gt;Inside the jar: 3 red roses. Say it with flowers, and let the flowers do the talking.&lt;/p&gt;</t>
        </is>
      </c>
      <c r="V40" s="29" t="inlineStr">
        <is>
          <t>ok</t>
        </is>
      </c>
      <c r="W40" s="30" t="inlineStr">
        <is>
          <t>Mel's Garden Pick III</t>
        </is>
      </c>
      <c r="X40" s="30" t="inlineStr">
        <is>
          <t>Mel's Garden Pick III nestles 3 red roses into a relaxed mason jar. Happy on a sunny windowsill. Made for an anniversary or a thank-you. A little wild, a little imperfect, the way a jar should be.</t>
        </is>
      </c>
      <c r="Y40" s="30" t="inlineStr">
        <is>
          <t>&lt;p&gt;Mel's Garden Pick III nestles 3 red roses into a relaxed mason jar. Happy on a sunny windowsill. Made for an anniversary or a thank-you. A little wild, a little imperfect, the way a jar should be.&lt;/p&gt;</t>
        </is>
      </c>
      <c r="Z40" s="29" t="inlineStr">
        <is>
          <t>ok</t>
        </is>
      </c>
      <c r="AA40" t="n">
        <v>169</v>
      </c>
      <c r="AB40" s="44" t="n">
        <v>4353.51</v>
      </c>
      <c r="AC40" t="n">
        <v>92</v>
      </c>
      <c r="AD40" s="45" t="n">
        <v>0.0004988120698261337</v>
      </c>
      <c r="AE40" s="45" t="n">
        <v>0.001256889486547977</v>
      </c>
      <c r="AF40" t="n">
        <v>48</v>
      </c>
    </row>
    <row r="41" ht="109.5" customHeight="1" s="24">
      <c r="A41" s="30" t="inlineStr">
        <is>
          <t>AUSMJ100-11</t>
        </is>
      </c>
      <c r="B41" s="30" t="inlineStr">
        <is>
          <t>Breathtaking Blooms In Mason Jar</t>
        </is>
      </c>
      <c r="C41" s="30" t="inlineStr">
        <is>
          <t>Mason Jar</t>
        </is>
      </c>
      <c r="D41" s="43" t="inlineStr">
        <is>
          <t>READY TO REVIEW</t>
        </is>
      </c>
      <c r="E41" s="30" t="inlineStr">
        <is>
          <t>Breathtaking Blooms In Mason Jar overflows with ruffled carnations, graceful alstroemeria and romantic roses, charmingly arranged in a rustic mason jar. A heartfelt, ready-to-display gift that brings instant warmth to any home.</t>
        </is>
      </c>
      <c r="F41" s="30" t="inlineStr">
        <is>
          <t>Shopify (28 Sep)</t>
        </is>
      </c>
      <c r="G41" s="30" t="inlineStr">
        <is>
          <t>2 × Roses Peach; 2 × Carnation Orange; 2 × Ruscus Israeli; 1 × Mason Jar; 3 × Mini Carnations Pink; 3 × Alstroemeria Pink</t>
        </is>
      </c>
      <c r="H41" s="30" t="inlineStr">
        <is>
          <t>2 × Roses Peach; 2 × Carnation Orange; 2 × Ruscus Israeli; 1 × Mason Jar; 3 × Mini Carnations Pink; 3 × Alstroemeria Pink</t>
        </is>
      </c>
      <c r="I41" s="30" t="inlineStr">
        <is>
          <t>2 × Roses Peach; 2 × Carnation Orange; 2 × Ruscus Israeli; 1 × Mason Jar; 3 × Mini Carnations Pink; 3 × Alstroemeria Pink</t>
        </is>
      </c>
      <c r="J41" s="30" t="inlineStr">
        <is>
          <t>2 × Ruscus Israeli; 3 × Alstroemeria Pink; 3 × Mini Carnations Pink; 1 × Mason Jar; 2 × Carnation Orange; 2 × Roses Peach</t>
        </is>
      </c>
      <c r="K41" s="30" t="inlineStr">
        <is>
          <t>Y</t>
        </is>
      </c>
      <c r="L41" s="30" t="n"/>
      <c r="M41" s="30" t="inlineStr">
        <is>
          <t>A hand-arranged mason jar bouquet of 3 pink alstroemeria, 2 orange carnations and 2 peach roses. A lovely way to mark a birthday, a thank-you or a just-because moment, with a mason jar to keep once the flowers are gone.</t>
        </is>
      </c>
      <c r="N41" s="30">
        <f>LEN(TRIM(SUBSTITUTE(M41,CHAR(10)," ")))-LEN(SUBSTITUTE(TRIM(SUBSTITUTE(M41,CHAR(10)," "))," ",""))+1</f>
        <v/>
      </c>
      <c r="O41" s="30" t="inlineStr">
        <is>
          <t>&lt;p&gt;A hand-arranged mason jar bouquet of 3 pink alstroemeria, 2 orange carnations and 2 peach roses. A lovely way to mark a birthday, a thank-you or a just-because moment, with a mason jar to keep once the flowers are gone.&lt;/p&gt;</t>
        </is>
      </c>
      <c r="P41" s="29" t="inlineStr">
        <is>
          <t>ok</t>
        </is>
      </c>
      <c r="Q41" s="30" t="inlineStr">
        <is>
          <t>Breathtaking Blooms In Mason Jar brings together 3 pink alstroemeria, 2 orange carnations and 2 peach roses, presented in a mason jar you can keep. It suits a birthday, a thank-you or a just-because moment.
Pink tones say affection. We hand-arrange each one at Aussie Blooms so it looks the way you pictured it, ready for a Sunday lunch. Stems can vary with the season, while the pink and orange palette stays.</t>
        </is>
      </c>
      <c r="R41" s="30" t="inlineStr">
        <is>
          <t>&lt;p&gt;Breathtaking Blooms In Mason Jar brings together 3 pink alstroemeria, 2 orange carnations and 2 peach roses, presented in a mason jar you can keep. It suits a birthday, a thank-you or a just-because moment.&lt;/p&gt;&lt;p&gt;Pink tones say affection. We hand-arrange each one at Aussie Blooms so it looks the way you pictured it, ready for a Sunday lunch. Stems can vary with the season, while the pink and orange palette stays.&lt;/p&gt;</t>
        </is>
      </c>
      <c r="S41" s="29" t="inlineStr">
        <is>
          <t>ok</t>
        </is>
      </c>
      <c r="T41" s="30" t="inlineStr">
        <is>
          <t>In the jar: 3 pink alstroemeria, 2 orange carnations and 2 peach roses. Brings the colour in before anyone has said hello.</t>
        </is>
      </c>
      <c r="U41" s="30" t="inlineStr">
        <is>
          <t>&lt;p&gt;In the jar: 3 pink alstroemeria, 2 orange carnations and 2 peach roses. Brings the colour in before anyone has said hello.&lt;/p&gt;</t>
        </is>
      </c>
      <c r="V41" s="29" t="inlineStr">
        <is>
          <t>ok</t>
        </is>
      </c>
      <c r="W41" s="30" t="inlineStr">
        <is>
          <t>Mel's Garden Pick IV</t>
        </is>
      </c>
      <c r="X41" s="30" t="inlineStr">
        <is>
          <t>Mel's Garden Pick IV settles 3 pink alstroemeria, 2 orange carnations and 2 peach roses into a relaxed mason jar. Just right sitting on a bench where everyone can enjoy it. A good fit for a birthday, a thank-you or a just-because moment.</t>
        </is>
      </c>
      <c r="Y41" s="30" t="inlineStr">
        <is>
          <t>&lt;p&gt;Mel's Garden Pick IV settles 3 pink alstroemeria, 2 orange carnations and 2 peach roses into a relaxed mason jar. Just right sitting on a bench where everyone can enjoy it. A good fit for a birthday, a thank-you or a just-because moment.&lt;/p&gt;</t>
        </is>
      </c>
      <c r="Z41" s="29" t="inlineStr">
        <is>
          <t>ok</t>
        </is>
      </c>
      <c r="AA41" t="n">
        <v>4</v>
      </c>
      <c r="AB41" s="44" t="n">
        <v>308392.47</v>
      </c>
      <c r="AC41" t="n">
        <v>4621</v>
      </c>
      <c r="AD41" s="45" t="n">
        <v>0.03533467258511159</v>
      </c>
      <c r="AE41" s="45" t="n">
        <v>0.08903509191010955</v>
      </c>
      <c r="AF41" t="n">
        <v>3</v>
      </c>
    </row>
    <row r="42" ht="109.5" customHeight="1" s="24">
      <c r="A42" s="30" t="inlineStr">
        <is>
          <t>AUMJ100-12</t>
        </is>
      </c>
      <c r="B42" s="30" t="inlineStr">
        <is>
          <t>Classic Whites In Mason Jar</t>
        </is>
      </c>
      <c r="C42" s="30" t="inlineStr">
        <is>
          <t>Mason Jar</t>
        </is>
      </c>
      <c r="D42" s="43" t="inlineStr">
        <is>
          <t>READY TO REVIEW</t>
        </is>
      </c>
      <c r="E42" s="30" t="n"/>
      <c r="F42" s="30" t="inlineStr">
        <is>
          <t>none</t>
        </is>
      </c>
      <c r="G42" s="30" t="inlineStr">
        <is>
          <t>2 × Roses White; 3 × Gerbera Daisies White; 2 × Ruscus Israeli; 1 × Mason Jar; 2 × Alstroemeria White</t>
        </is>
      </c>
      <c r="H42" s="30" t="inlineStr">
        <is>
          <t>2 × Roses White; 3 × Gerbera Daisies White; 2 × Ruscus Israeli; 1 × Mason Jar; 2 × Alstroemeria White</t>
        </is>
      </c>
      <c r="I42" s="30" t="inlineStr">
        <is>
          <t>2 × Roses White; 3 × Gerbera Daisies White; 2 × Ruscus Israeli; 1 × Mason Jar; 2 × Alstroemeria White</t>
        </is>
      </c>
      <c r="J42" s="30" t="inlineStr">
        <is>
          <t>2 × Ruscus Israeli; 2 × Alstroemeria White; 1 × Mason Jar; 3 × Gerbera Daisies White; 2 × Roses White</t>
        </is>
      </c>
      <c r="K42" s="30" t="inlineStr">
        <is>
          <t>Y</t>
        </is>
      </c>
      <c r="L42" s="30" t="n"/>
      <c r="M42" s="30" t="inlineStr">
        <is>
          <t>A mason jar arrangement of 3 white gerberas, 2 white alstroemeria and 2 white roses. A thoughtful choice for a birthday, a thank-you or a just-because moment, and the mason jar stays useful long after.</t>
        </is>
      </c>
      <c r="N42" s="30">
        <f>LEN(TRIM(SUBSTITUTE(M42,CHAR(10)," ")))-LEN(SUBSTITUTE(TRIM(SUBSTITUTE(M42,CHAR(10)," "))," ",""))+1</f>
        <v/>
      </c>
      <c r="O42" s="30" t="inlineStr">
        <is>
          <t>&lt;p&gt;A mason jar arrangement of 3 white gerberas, 2 white alstroemeria and 2 white roses. A thoughtful choice for a birthday, a thank-you or a just-because moment, and the mason jar stays useful long after.&lt;/p&gt;</t>
        </is>
      </c>
      <c r="P42" s="29" t="inlineStr">
        <is>
          <t>ok</t>
        </is>
      </c>
      <c r="Q42" s="30" t="inlineStr">
        <is>
          <t>Classic Whites In Mason Jar brings together 3 white gerberas, 2 white alstroemeria and 2 white roses, presented in a mason jar you can keep. It suits a birthday, a thank-you or a just-because moment.
White tones say calm and a fresh start. We hand-arrange each one at Aussie Blooms so it looks the way you pictured it, ready for the kitchen bench. Stems can vary with the season, while the white palette stays.</t>
        </is>
      </c>
      <c r="R42" s="30" t="inlineStr">
        <is>
          <t>&lt;p&gt;Classic Whites In Mason Jar brings together 3 white gerberas, 2 white alstroemeria and 2 white roses, presented in a mason jar you can keep. It suits a birthday, a thank-you or a just-because moment.&lt;/p&gt;&lt;p&gt;White tones say calm and a fresh start. We hand-arrange each one at Aussie Blooms so it looks the way you pictured it, ready for the kitchen bench. Stems can vary with the season, while the white palette stays.&lt;/p&gt;</t>
        </is>
      </c>
      <c r="S42" s="29" t="inlineStr">
        <is>
          <t>ok</t>
        </is>
      </c>
      <c r="T42" s="30" t="inlineStr">
        <is>
          <t>The jar holds: 3 white gerberas, 2 white alstroemeria and 2 white roses. Gentle, easy on the eye, and ready for any table you give it.</t>
        </is>
      </c>
      <c r="U42" s="30" t="inlineStr">
        <is>
          <t>&lt;p&gt;The jar holds: 3 white gerberas, 2 white alstroemeria and 2 white roses. Gentle, easy on the eye, and ready for any table you give it.&lt;/p&gt;</t>
        </is>
      </c>
      <c r="V42" s="29" t="inlineStr">
        <is>
          <t>ok</t>
        </is>
      </c>
      <c r="W42" s="30" t="inlineStr">
        <is>
          <t>Mel's Garden Pick I</t>
        </is>
      </c>
      <c r="X42" s="30" t="inlineStr">
        <is>
          <t>Mel's Garden Pick I gathers 3 white gerberas, 2 white alstroemeria and 2 white roses into a relaxed mason jar. Right at home on a kitchen bench next to the morning cuppa. Made for a birthday, a thank-you or a just-because moment. A little wild, a little imperfect, the way a jar should be.</t>
        </is>
      </c>
      <c r="Y42" s="30" t="inlineStr">
        <is>
          <t>&lt;p&gt;Mel's Garden Pick I gathers 3 white gerberas, 2 white alstroemeria and 2 white roses into a relaxed mason jar. Right at home on a kitchen bench next to the morning cuppa. Made for a birthday, a thank-you or a just-because moment. A little wild, a little imperfect, the way a jar should be.&lt;/p&gt;</t>
        </is>
      </c>
      <c r="Z42" s="29" t="inlineStr">
        <is>
          <t>ok</t>
        </is>
      </c>
      <c r="AA42" t="n">
        <v>218</v>
      </c>
      <c r="AB42" s="44" t="n">
        <v>4216.45</v>
      </c>
      <c r="AC42" t="n">
        <v>67</v>
      </c>
      <c r="AD42" s="45" t="n">
        <v>0.000483108036667049</v>
      </c>
      <c r="AE42" s="45" t="n">
        <v>0.00121731900426006</v>
      </c>
      <c r="AF42" t="n">
        <v>49</v>
      </c>
    </row>
    <row r="43" ht="109.5" customHeight="1" s="24">
      <c r="A43" s="30" t="inlineStr">
        <is>
          <t>AUMJ100-05</t>
        </is>
      </c>
      <c r="B43" s="30" t="inlineStr">
        <is>
          <t>Gerbera Daisies in Mason Jar</t>
        </is>
      </c>
      <c r="C43" s="30" t="inlineStr">
        <is>
          <t>Mason Jar</t>
        </is>
      </c>
      <c r="D43" s="46" t="inlineStr">
        <is>
          <t>READY - NOTIFY JARROD</t>
        </is>
      </c>
      <c r="E43" s="30" t="n"/>
      <c r="F43" s="30" t="inlineStr">
        <is>
          <t>none</t>
        </is>
      </c>
      <c r="G43" s="30" t="inlineStr">
        <is>
          <t>3 × Gerbera Daisies Assorted 1 x Ruscus Israeli</t>
        </is>
      </c>
      <c r="H43" s="30" t="inlineStr">
        <is>
          <t>3 × Gerbera Daisies assorted; 1 × Ruscus Israeli</t>
        </is>
      </c>
      <c r="I43" s="31" t="inlineStr">
        <is>
          <t>1 × Ruscus Israeli; 3 × Gerbera Daisies assorted; 1 × Mason Jar</t>
        </is>
      </c>
      <c r="J43" s="30" t="inlineStr">
        <is>
          <t>1 × Ruscus Israeli; 3 × Gerbera Daisies assorted</t>
        </is>
      </c>
      <c r="K43" s="30" t="inlineStr">
        <is>
          <t>N</t>
        </is>
      </c>
      <c r="L43" s="30" t="n"/>
      <c r="M43" s="30" t="inlineStr">
        <is>
          <t>A hand-arranged mason jar bouquet of 3 assorted-colour gerberas. A lovely way to mark a birthday, a thank-you or a just-because moment, with a mason jar to keep once the flowers are gone.</t>
        </is>
      </c>
      <c r="N43" s="30">
        <f>LEN(TRIM(SUBSTITUTE(M43,CHAR(10)," ")))-LEN(SUBSTITUTE(TRIM(SUBSTITUTE(M43,CHAR(10)," "))," ",""))+1</f>
        <v/>
      </c>
      <c r="O43" s="30" t="inlineStr">
        <is>
          <t>&lt;p&gt;A hand-arranged mason jar bouquet of 3 assorted-colour gerberas. A lovely way to mark a birthday, a thank-you or a just-because moment, with a mason jar to keep once the flowers are gone.&lt;/p&gt;</t>
        </is>
      </c>
      <c r="P43" s="29" t="inlineStr">
        <is>
          <t>ok</t>
        </is>
      </c>
      <c r="Q43" s="30" t="inlineStr">
        <is>
          <t>Gerbera Daisies in Mason Jar brings together 3 assorted-colour gerberas, presented in a mason jar you can keep. It suits a birthday, a thank-you or a just-because moment.
Mixed colours say thoughtfulness. We hand-arrange each one at Aussie Blooms so it looks the way you pictured it, ready for a summer table. Stems can vary with the season, while the colourful palette stays.</t>
        </is>
      </c>
      <c r="R43" s="30" t="inlineStr">
        <is>
          <t>&lt;p&gt;Gerbera Daisies in Mason Jar brings together 3 assorted-colour gerberas, presented in a mason jar you can keep. It suits a birthday, a thank-you or a just-because moment.&lt;/p&gt;&lt;p&gt;Mixed colours say thoughtfulness. We hand-arrange each one at Aussie Blooms so it looks the way you pictured it, ready for a summer table. Stems can vary with the season, while the colourful palette stays.&lt;/p&gt;</t>
        </is>
      </c>
      <c r="S43" s="29" t="inlineStr">
        <is>
          <t>ok</t>
        </is>
      </c>
      <c r="T43" s="30" t="inlineStr">
        <is>
          <t>In the jar: 3 assorted-colour gerberas. Hand it over and watch the day get a little better.</t>
        </is>
      </c>
      <c r="U43" s="30" t="inlineStr">
        <is>
          <t>&lt;p&gt;In the jar: 3 assorted-colour gerberas. Hand it over and watch the day get a little better.&lt;/p&gt;</t>
        </is>
      </c>
      <c r="V43" s="29" t="inlineStr">
        <is>
          <t>ok</t>
        </is>
      </c>
      <c r="W43" s="30" t="inlineStr">
        <is>
          <t>Mel's Garden Pick II</t>
        </is>
      </c>
      <c r="X43" s="30" t="inlineStr">
        <is>
          <t>Mel's Garden Pick II tucks 3 assorted-colour gerberas into a relaxed mason jar. Lovely on a bedside table, or anywhere it can be seen. A good fit for a birthday, a thank-you or a just-because moment.</t>
        </is>
      </c>
      <c r="Y43" s="30" t="inlineStr">
        <is>
          <t>&lt;p&gt;Mel's Garden Pick II tucks 3 assorted-colour gerberas into a relaxed mason jar. Lovely on a bedside table, or anywhere it can be seen. A good fit for a birthday, a thank-you or a just-because moment.&lt;/p&gt;</t>
        </is>
      </c>
      <c r="Z43" s="29" t="inlineStr">
        <is>
          <t>ok</t>
        </is>
      </c>
      <c r="AA43" t="n">
        <v>230</v>
      </c>
      <c r="AB43" s="44" t="n">
        <v>2387.55</v>
      </c>
      <c r="AC43" t="n">
        <v>40</v>
      </c>
      <c r="AD43" s="45" t="n">
        <v>0.0002735582285914485</v>
      </c>
      <c r="AE43" s="45" t="n">
        <v>0.0006893026096885074</v>
      </c>
      <c r="AF43" t="n">
        <v>52</v>
      </c>
    </row>
    <row r="44" ht="109.5" customHeight="1" s="24">
      <c r="A44" s="30" t="inlineStr">
        <is>
          <t>AUMJ-NW-001</t>
        </is>
      </c>
      <c r="B44" s="30" t="inlineStr">
        <is>
          <t>Purple Rain Bouquet in Mason Jar</t>
        </is>
      </c>
      <c r="C44" s="30" t="inlineStr">
        <is>
          <t>Mason Jar</t>
        </is>
      </c>
      <c r="D44" s="43" t="inlineStr">
        <is>
          <t>READY TO REVIEW</t>
        </is>
      </c>
      <c r="E44" s="30" t="inlineStr">
        <is>
          <t>Twenty-three roses and twenty-three carnations meet fourteen chrysanthemums in moody purple tones, nestled in a charming mason jar. Rich and romantic, Purple Rain makes a striking gift to surprise someone special or add depth to any room.</t>
        </is>
      </c>
      <c r="F44" s="30" t="inlineStr">
        <is>
          <t>Shopify (28 Sep)</t>
        </is>
      </c>
      <c r="G44" s="30" t="inlineStr">
        <is>
          <t>3 × Roses Lavender; 2 × Carnation Lavender; 2 × Chrysanthemum Spray Lavender; 1 × Baby's Breath; 2 × Ruscus Israeli; 1 × Mason Jar; 1 × Mini Carnations Purple</t>
        </is>
      </c>
      <c r="H44" s="30" t="inlineStr">
        <is>
          <t>3 × Roses Lavender; 2 × Carnation Lavender; 2 × Chrysanthemum Spray Lavender; 1 × Baby's Breath; 2 × Ruscus Israeli; 1 × Mason Jar; 1 × Mini Carnations Purple</t>
        </is>
      </c>
      <c r="I44" s="30" t="inlineStr">
        <is>
          <t>3 × Roses Lavender; 2 × Carnation Lavender; 2 × Chrysanthemum Spray Lavender; 1 × Baby's Breath; 2 × Ruscus Israeli; 1 × Mason Jar; 1 × Mini Carnations Purple</t>
        </is>
      </c>
      <c r="J44" s="30" t="inlineStr">
        <is>
          <t>2 × Chrysanthemum Spray Lavender; 1 × Baby's Breath; 2 × Ruscus Israeli; 1 × Mason Jar; 1 × Mini Carnations Purple; 3 × Roses Lavender; 2 × Carnation Lavender</t>
        </is>
      </c>
      <c r="K44" s="30" t="inlineStr">
        <is>
          <t>Y</t>
        </is>
      </c>
      <c r="L44" s="30" t="n"/>
      <c r="M44" s="30" t="inlineStr">
        <is>
          <t>A hand-arranged mason jar bouquet of 3 lavender roses, 2 lavender carnations and 2 lavender spray chrysanthemums. A thoughtful choice for a birthday, a thank-you or a just-because moment, with a mason jar to keep once the flowers are gone.</t>
        </is>
      </c>
      <c r="N44" s="30">
        <f>LEN(TRIM(SUBSTITUTE(M44,CHAR(10)," ")))-LEN(SUBSTITUTE(TRIM(SUBSTITUTE(M44,CHAR(10)," "))," ",""))+1</f>
        <v/>
      </c>
      <c r="O44" s="30" t="inlineStr">
        <is>
          <t>&lt;p&gt;A hand-arranged mason jar bouquet of 3 lavender roses, 2 lavender carnations and 2 lavender spray chrysanthemums. A thoughtful choice for a birthday, a thank-you or a just-because moment, with a mason jar to keep once the flowers are gone.&lt;/p&gt;</t>
        </is>
      </c>
      <c r="P44" s="29" t="inlineStr">
        <is>
          <t>ok</t>
        </is>
      </c>
      <c r="Q44" s="30" t="inlineStr">
        <is>
          <t>Purple Rain Bouquet in Mason Jar brings together 3 lavender roses, 2 lavender carnations and 2 lavender spray chrysanthemums, presented in a mason jar you can keep. It suits a birthday, a thank-you or a just-because moment.
Lavender tones say thoughtfulness. We hand-arrange each one at Aussie Blooms so it looks the way you pictured it, ready for a Sunday lunch. Stems can vary with the season, while the lavender and purple palette stays.</t>
        </is>
      </c>
      <c r="R44" s="30" t="inlineStr">
        <is>
          <t>&lt;p&gt;Purple Rain Bouquet in Mason Jar brings together 3 lavender roses, 2 lavender carnations and 2 lavender spray chrysanthemums, presented in a mason jar you can keep. It suits a birthday, a thank-you or a just-because moment.&lt;/p&gt;&lt;p&gt;Lavender tones say thoughtfulness. We hand-arrange each one at Aussie Blooms so it looks the way you pictured it, ready for a Sunday lunch. Stems can vary with the season, while the lavender and purple palette stays.&lt;/p&gt;</t>
        </is>
      </c>
      <c r="S44" s="29" t="inlineStr">
        <is>
          <t>ok</t>
        </is>
      </c>
      <c r="T44" s="30" t="inlineStr">
        <is>
          <t>The jar holds: 3 lavender roses, 2 lavender carnations and 2 lavender spray chrysanthemums. Gentle, easy on the eye, and ready for any table you give it.</t>
        </is>
      </c>
      <c r="U44" s="30" t="inlineStr">
        <is>
          <t>&lt;p&gt;The jar holds: 3 lavender roses, 2 lavender carnations and 2 lavender spray chrysanthemums. Gentle, easy on the eye, and ready for any table you give it.&lt;/p&gt;</t>
        </is>
      </c>
      <c r="V44" s="29" t="inlineStr">
        <is>
          <t>ok</t>
        </is>
      </c>
      <c r="W44" s="30" t="inlineStr">
        <is>
          <t>Mel's Garden Pick III</t>
        </is>
      </c>
      <c r="X44" s="30" t="inlineStr">
        <is>
          <t>Mel's Garden Pick III settles 3 lavender roses, 2 lavender carnations and 2 lavender spray chrysanthemums into a relaxed mason jar. Just right sitting on a bench where everyone can enjoy it. A good fit for a birthday, a thank-you or a just-because moment. A little wild, a little imperfect, the way a jar should be.</t>
        </is>
      </c>
      <c r="Y44" s="30" t="inlineStr">
        <is>
          <t>&lt;p&gt;Mel's Garden Pick III settles 3 lavender roses, 2 lavender carnations and 2 lavender spray chrysanthemums into a relaxed mason jar. Just right sitting on a bench where everyone can enjoy it. A good fit for a birthday, a thank-you or a just-because moment. A little wild, a little imperfect, the way a jar should be.&lt;/p&gt;</t>
        </is>
      </c>
      <c r="Z44" s="29" t="inlineStr">
        <is>
          <t>ok</t>
        </is>
      </c>
      <c r="AA44" t="n">
        <v>93</v>
      </c>
      <c r="AB44" s="44" t="n">
        <v>16495.49</v>
      </c>
      <c r="AC44" t="n">
        <v>166</v>
      </c>
      <c r="AD44" s="45" t="n">
        <v>0.001890003151409584</v>
      </c>
      <c r="AE44" s="45" t="n">
        <v>0.004762364895013999</v>
      </c>
      <c r="AF44" t="n">
        <v>32</v>
      </c>
    </row>
    <row r="45" ht="109.5" customHeight="1" s="24">
      <c r="A45" s="30" t="inlineStr">
        <is>
          <t>AUMJ-NW-002</t>
        </is>
      </c>
      <c r="B45" s="30" t="inlineStr">
        <is>
          <t>Mason Jar of Joy Bouquet</t>
        </is>
      </c>
      <c r="C45" s="30" t="inlineStr">
        <is>
          <t>Mason Jar</t>
        </is>
      </c>
      <c r="D45" s="43" t="inlineStr">
        <is>
          <t>READY TO REVIEW</t>
        </is>
      </c>
      <c r="E45" s="30" t="inlineStr">
        <is>
          <t>Bright chrysanthemums, romantic roses, alstroemeria and soft carnations spill from a rustic mason jar in a burst of pure cheer. The Mason Jar of Joy is a happy companion for anniversaries, birthdays and every congratulations worth celebrating.</t>
        </is>
      </c>
      <c r="F45" s="30" t="inlineStr">
        <is>
          <t>Shopify (28 Sep)</t>
        </is>
      </c>
      <c r="G45" s="30" t="inlineStr">
        <is>
          <t>3 × Roses Hot Pink; 1 × Chrysanthemum Spray White; 2 × Chrysanthemum button lavender; 1 × Baby's Breath; 1 × Ruscus Israeli; 1 × Mason Jar; 2 × Alstroemeria Yellow; 1 × Carnations Light Pink</t>
        </is>
      </c>
      <c r="H45" s="30" t="inlineStr">
        <is>
          <t>3 × Roses Hot Pink; 1 × Chrysanthemum Spray White; 2 × Chrysanthemum button lavender; 1 × Baby's Breath; 1 × Ruscus Israeli; 1 × Mason Jar; 2 × Alstroemeria Yellow; 1 × Carnations Light Pink</t>
        </is>
      </c>
      <c r="I45" s="30" t="inlineStr">
        <is>
          <t>3 × Roses Hot Pink; 1 × Chrysanthemum Spray White; 2 × Chrysanthemum button lavender; 1 × Baby's Breath; 1 × Ruscus Israeli; 1 × Mason Jar; 2 × Alstroemeria Yellow; 1 × Carnations Light Pink</t>
        </is>
      </c>
      <c r="J45" s="30" t="inlineStr">
        <is>
          <t>1 × Baby's Breath; 1 × Carnations Light Pink; 2 × Alstroemeria Yellow; 1 × Mason Jar; 1 × Ruscus Israeli; 2 × Chrysanthemum button lavender; 1 × Chrysanthemum Spray White; 3 × Roses Hot Pink</t>
        </is>
      </c>
      <c r="K45" s="30" t="inlineStr">
        <is>
          <t>Y</t>
        </is>
      </c>
      <c r="L45" s="30" t="n"/>
      <c r="M45" s="30" t="inlineStr">
        <is>
          <t>A mason jar arrangement of 3 hot pink roses, 2 yellow alstroemeria, 1 light pink carnation and 1 white spray chrysanthemum. A thoughtful choice for a birthday, a thank-you or a just-because moment, and the mason jar stays useful long after.</t>
        </is>
      </c>
      <c r="N45" s="30">
        <f>LEN(TRIM(SUBSTITUTE(M45,CHAR(10)," ")))-LEN(SUBSTITUTE(TRIM(SUBSTITUTE(M45,CHAR(10)," "))," ",""))+1</f>
        <v/>
      </c>
      <c r="O45" s="30" t="inlineStr">
        <is>
          <t>&lt;p&gt;A mason jar arrangement of 3 hot pink roses, 2 yellow alstroemeria, 1 light pink carnation and 1 white spray chrysanthemum. A thoughtful choice for a birthday, a thank-you or a just-because moment, and the mason jar stays useful long after.&lt;/p&gt;</t>
        </is>
      </c>
      <c r="P45" s="29" t="inlineStr">
        <is>
          <t>ok</t>
        </is>
      </c>
      <c r="Q45" s="30" t="inlineStr">
        <is>
          <t>Mason Jar of Joy Bouquet brings together 3 hot pink roses, 2 yellow alstroemeria, 1 light pink carnation and 1 white spray chrysanthemum, presented in a mason jar you can keep. It suits a birthday, a thank-you or a just-because moment.
Hot pink tones say a bold, happy affection. We hand-arrange each one at Aussie Blooms so it looks the way you pictured it, ready for the kitchen bench. Stems can vary with the season, while the hot pink and lavender palette stays.</t>
        </is>
      </c>
      <c r="R45" s="30" t="inlineStr">
        <is>
          <t>&lt;p&gt;Mason Jar of Joy Bouquet brings together 3 hot pink roses, 2 yellow alstroemeria, 1 light pink carnation and 1 white spray chrysanthemum, presented in a mason jar you can keep. It suits a birthday, a thank-you or a just-because moment.&lt;/p&gt;&lt;p&gt;Hot pink tones say a bold, happy affection. We hand-arrange each one at Aussie Blooms so it looks the way you pictured it, ready for the kitchen bench. Stems can vary with the season, while the hot pink and lavender palette stays.&lt;/p&gt;</t>
        </is>
      </c>
      <c r="S45" s="29" t="inlineStr">
        <is>
          <t>ok</t>
        </is>
      </c>
      <c r="T45" s="30" t="inlineStr">
        <is>
          <t>The jar holds: 3 hot pink roses, 2 yellow alstroemeria, 1 light pink carnation and 1 white spray chrysanthemum. Enough colour to turn an ordinary bench into the best spot in the house.</t>
        </is>
      </c>
      <c r="U45" s="30" t="inlineStr">
        <is>
          <t>&lt;p&gt;The jar holds: 3 hot pink roses, 2 yellow alstroemeria, 1 light pink carnation and 1 white spray chrysanthemum. Enough colour to turn an ordinary bench into the best spot in the house.&lt;/p&gt;</t>
        </is>
      </c>
      <c r="V45" s="29" t="inlineStr">
        <is>
          <t>ok</t>
        </is>
      </c>
      <c r="W45" s="30" t="inlineStr">
        <is>
          <t>Mel's Garden Pick IV</t>
        </is>
      </c>
      <c r="X45" s="30" t="inlineStr">
        <is>
          <t>Mel's Garden Pick IV gathers 3 hot pink roses, 2 yellow alstroemeria, 1 light pink carnation and 1 white spray chrysanthemum into a relaxed mason jar. Right at home on a kitchen bench next to the morning cuppa. Made for a birthday, a thank-you or a just-because moment.</t>
        </is>
      </c>
      <c r="Y45" s="30" t="inlineStr">
        <is>
          <t>&lt;p&gt;Mel's Garden Pick IV gathers 3 hot pink roses, 2 yellow alstroemeria, 1 light pink carnation and 1 white spray chrysanthemum into a relaxed mason jar. Right at home on a kitchen bench next to the morning cuppa. Made for a birthday, a thank-you or a just-because moment.&lt;/p&gt;</t>
        </is>
      </c>
      <c r="Z45" s="29" t="inlineStr">
        <is>
          <t>ok</t>
        </is>
      </c>
      <c r="AA45" t="n">
        <v>61</v>
      </c>
      <c r="AB45" s="44" t="n">
        <v>35776.41</v>
      </c>
      <c r="AC45" t="n">
        <v>367</v>
      </c>
      <c r="AD45" s="45" t="n">
        <v>0.004099152413545845</v>
      </c>
      <c r="AE45" s="45" t="n">
        <v>0.01032890317617893</v>
      </c>
      <c r="AF45" t="n">
        <v>22</v>
      </c>
    </row>
    <row r="46" ht="109.5" customHeight="1" s="24">
      <c r="A46" s="30" t="inlineStr">
        <is>
          <t>AUMJ-NW-003</t>
        </is>
      </c>
      <c r="B46" s="30" t="inlineStr">
        <is>
          <t>50 Blooms of Surprise Bud Roses in Mason Jar</t>
        </is>
      </c>
      <c r="C46" s="30" t="inlineStr">
        <is>
          <t>Mason Jar</t>
        </is>
      </c>
      <c r="D46" s="43" t="inlineStr">
        <is>
          <t>READY TO REVIEW</t>
        </is>
      </c>
      <c r="E46" s="30" t="inlineStr">
        <is>
          <t>A delightful gathering of surprise bud roses, beautifully arranged in a charming mason jar that's ready to display the moment it arrives. Sweet, abundant and full of personality, it's a lovely surprise for an anniversary, a birthday, or sharing happy news.</t>
        </is>
      </c>
      <c r="F46" s="30" t="inlineStr">
        <is>
          <t>Shopify (28 Sep)</t>
        </is>
      </c>
      <c r="G46" s="30" t="inlineStr">
        <is>
          <t>9 × roses spray assorted; 2 × Baby's Breath; 2 × Ruscus Israeli; 1 × Mason Jar</t>
        </is>
      </c>
      <c r="H46" s="30" t="inlineStr">
        <is>
          <t>9 × roses spray assorted; 2 × Baby's Breath; 2 × Ruscus Israeli; 1 × Mason Jar</t>
        </is>
      </c>
      <c r="I46" s="30" t="inlineStr">
        <is>
          <t>9 × roses spray assorted; 2 × Baby's Breath; 2 × Ruscus Israeli; 1 × Mason Jar</t>
        </is>
      </c>
      <c r="J46" s="30" t="inlineStr">
        <is>
          <t>2 × Ruscus Israeli; 1 × Mason Jar; 2 × Baby's Breath; 9 × roses spray assorted</t>
        </is>
      </c>
      <c r="K46" s="30" t="inlineStr">
        <is>
          <t>Y</t>
        </is>
      </c>
      <c r="L46" s="30" t="n"/>
      <c r="M46" s="30" t="inlineStr">
        <is>
          <t>A hand-arranged mason jar bouquet of 9 assorted-colour spray roses. A thoughtful choice for a birthday, a thank-you or a just-because moment, with a mason jar to keep once the flowers are gone.</t>
        </is>
      </c>
      <c r="N46" s="30">
        <f>LEN(TRIM(SUBSTITUTE(M46,CHAR(10)," ")))-LEN(SUBSTITUTE(TRIM(SUBSTITUTE(M46,CHAR(10)," "))," ",""))+1</f>
        <v/>
      </c>
      <c r="O46" s="30" t="inlineStr">
        <is>
          <t>&lt;p&gt;A hand-arranged mason jar bouquet of 9 assorted-colour spray roses. A thoughtful choice for a birthday, a thank-you or a just-because moment, with a mason jar to keep once the flowers are gone.&lt;/p&gt;</t>
        </is>
      </c>
      <c r="P46" s="29" t="inlineStr">
        <is>
          <t>ok</t>
        </is>
      </c>
      <c r="Q46" s="30" t="inlineStr">
        <is>
          <t>50 Blooms of Surprise Bud Roses in Mason Jar brings together 9 assorted-colour spray roses, presented in a mason jar you can keep. It suits a birthday, a thank-you or a just-because moment.
Mixed colours say thoughtfulness. We hand-arrange each one at Aussie Blooms so it looks the way you pictured it, ready for a Sunday lunch. Stems can vary with the season, while the colourful palette stays.</t>
        </is>
      </c>
      <c r="R46" s="30" t="inlineStr">
        <is>
          <t>&lt;p&gt;50 Blooms of Surprise Bud Roses in Mason Jar brings together 9 assorted-colour spray roses, presented in a mason jar you can keep. It suits a birthday, a thank-you or a just-because moment.&lt;/p&gt;&lt;p&gt;Mixed colours say thoughtfulness. We hand-arrange each one at Aussie Blooms so it looks the way you pictured it, ready for a Sunday lunch. Stems can vary with the season, while the colourful palette stays.&lt;/p&gt;</t>
        </is>
      </c>
      <c r="S46" s="29" t="inlineStr">
        <is>
          <t>ok</t>
        </is>
      </c>
      <c r="T46" s="30" t="inlineStr">
        <is>
          <t>The jar holds: 9 assorted-colour spray roses. A simple good turn for a birthday, a thank-you or no reason at all.</t>
        </is>
      </c>
      <c r="U46" s="30" t="inlineStr">
        <is>
          <t>&lt;p&gt;The jar holds: 9 assorted-colour spray roses. A simple good turn for a birthday, a thank-you or no reason at all.&lt;/p&gt;</t>
        </is>
      </c>
      <c r="V46" s="29" t="inlineStr">
        <is>
          <t>ok</t>
        </is>
      </c>
      <c r="W46" s="30" t="inlineStr">
        <is>
          <t>Festive Garden I</t>
        </is>
      </c>
      <c r="X46" s="30" t="inlineStr">
        <is>
          <t>Festive Garden I settles 9 assorted-colour spray roses into a relaxed mason jar. Just right sitting on a bench where everyone can enjoy it. A good fit for a birthday, a thank-you or a just-because moment.</t>
        </is>
      </c>
      <c r="Y46" s="30" t="inlineStr">
        <is>
          <t>&lt;p&gt;Festive Garden I settles 9 assorted-colour spray roses into a relaxed mason jar. Just right sitting on a bench where everyone can enjoy it. A good fit for a birthday, a thank-you or a just-because moment.&lt;/p&gt;</t>
        </is>
      </c>
      <c r="Z46" s="29" t="inlineStr">
        <is>
          <t>ok</t>
        </is>
      </c>
      <c r="AA46" t="n">
        <v>18</v>
      </c>
      <c r="AB46" s="44" t="n">
        <v>129681.72</v>
      </c>
      <c r="AC46" t="n">
        <v>1529</v>
      </c>
      <c r="AD46" s="45" t="n">
        <v>0.0148585376657629</v>
      </c>
      <c r="AE46" s="45" t="n">
        <v>0.03744003184222081</v>
      </c>
      <c r="AF46" t="n">
        <v>9</v>
      </c>
    </row>
    <row r="47" ht="109.5" customHeight="1" s="24">
      <c r="A47" s="30" t="inlineStr">
        <is>
          <t>AUMJ-NW-004</t>
        </is>
      </c>
      <c r="B47" s="30" t="inlineStr">
        <is>
          <t>Sending Solace Bouquet in Mason Jar</t>
        </is>
      </c>
      <c r="C47" s="30" t="inlineStr">
        <is>
          <t>Mason Jar</t>
        </is>
      </c>
      <c r="D47" s="43" t="inlineStr">
        <is>
          <t>READY TO REVIEW</t>
        </is>
      </c>
      <c r="E47" s="30" t="inlineStr">
        <is>
          <t>Eighteen roses, fourteen chrysanthemums and nine carnations arranged with quiet grace in a comforting mason jar. Gentle and reassuring, Sending Solace is a thoughtful way to offer comfort and let someone know they're held in your thoughts.</t>
        </is>
      </c>
      <c r="F47" s="30" t="inlineStr">
        <is>
          <t>Shopify (28 Sep)</t>
        </is>
      </c>
      <c r="G47" s="30" t="inlineStr">
        <is>
          <t>3 × Roses White; 1 × Roses Spray White; 2 × Carnation White; 2 × Baby's Breath; 2 × Ruscus Israeli; 1 × Mason Jar; 2 × Chrysanthemum Cushion white</t>
        </is>
      </c>
      <c r="H47" s="30" t="inlineStr">
        <is>
          <t>3 × Roses White; 1 × Roses Spray White; 2 × Carnation White; 2 × Baby's Breath; 2 × Ruscus Israeli; 1 × Mason Jar; 2 × Chrysanthemum Cushion white</t>
        </is>
      </c>
      <c r="I47" s="30" t="inlineStr">
        <is>
          <t>3 × Roses White; 1 × Roses Spray White; 2 × Carnation White; 2 × Baby's Breath; 2 × Ruscus Israeli; 1 × Mason Jar; 2 × Chrysanthemum Cushion white</t>
        </is>
      </c>
      <c r="J47" s="30" t="inlineStr">
        <is>
          <t>2 × Baby's Breath; 2 × Chrysanthemum Cushion white; 1 × Mason Jar; 2 × Ruscus Israeli; 2 × Carnation White; 1 × Roses Spray White; 3 × Roses White</t>
        </is>
      </c>
      <c r="K47" s="30" t="inlineStr">
        <is>
          <t>Y</t>
        </is>
      </c>
      <c r="L47" s="30" t="n"/>
      <c r="M47" s="30" t="inlineStr">
        <is>
          <t>A mason jar arrangement of 3 white roses, 2 white carnations, 2 white cushion chrysanthemums and 1 white spray rose. A respectful, heartfelt tribute to express your condolences and share your support with those who are grieving.</t>
        </is>
      </c>
      <c r="N47" s="30">
        <f>LEN(TRIM(SUBSTITUTE(M47,CHAR(10)," ")))-LEN(SUBSTITUTE(TRIM(SUBSTITUTE(M47,CHAR(10)," "))," ",""))+1</f>
        <v/>
      </c>
      <c r="O47" s="30" t="inlineStr">
        <is>
          <t>&lt;p&gt;A mason jar arrangement of 3 white roses, 2 white carnations, 2 white cushion chrysanthemums and 1 white spray rose. A respectful, heartfelt tribute to express your condolences and share your support with those who are grieving.&lt;/p&gt;</t>
        </is>
      </c>
      <c r="P47" s="29" t="inlineStr">
        <is>
          <t>ok</t>
        </is>
      </c>
      <c r="Q47" s="30" t="inlineStr">
        <is>
          <t>Sending Solace Bouquet in Mason Jar brings together 3 white roses, 2 white carnations, 2 white cushion chrysanthemums and 1 white spray rose, presented in a mason jar you can keep. It is made to honour a life and offer comfort to the family.
White flowers carry remembrance and calm. We hand-arrange each tribute with care, from the team at Aussie Blooms.</t>
        </is>
      </c>
      <c r="R47" s="30" t="inlineStr">
        <is>
          <t>&lt;p&gt;Sending Solace Bouquet in Mason Jar brings together 3 white roses, 2 white carnations, 2 white cushion chrysanthemums and 1 white spray rose, presented in a mason jar you can keep. It is made to honour a life and offer comfort to the family.&lt;/p&gt;&lt;p&gt;White flowers carry remembrance and calm. We hand-arrange each tribute with care, from the team at Aussie Blooms.&lt;/p&gt;</t>
        </is>
      </c>
      <c r="S47" s="29" t="inlineStr">
        <is>
          <t>ok</t>
        </is>
      </c>
      <c r="T47" s="30" t="inlineStr">
        <is>
          <t>Inside the jar: 3 white roses, 2 white carnations, 2 white cushion chrysanthemums and 1 white spray rose. Simple flowers for a hard day, sent to the service or the family home.</t>
        </is>
      </c>
      <c r="U47" s="30" t="inlineStr">
        <is>
          <t>&lt;p&gt;Inside the jar: 3 white roses, 2 white carnations, 2 white cushion chrysanthemums and 1 white spray rose. Simple flowers for a hard day, sent to the service or the family home.&lt;/p&gt;</t>
        </is>
      </c>
      <c r="V47" s="29" t="inlineStr">
        <is>
          <t>ok</t>
        </is>
      </c>
      <c r="W47" s="30" t="inlineStr">
        <is>
          <t>Festive Garden II</t>
        </is>
      </c>
      <c r="X47" s="30" t="inlineStr">
        <is>
          <t>Festive Garden II gathers 3 white roses, 2 white carnations, 2 white cushion chrysanthemums and 1 white spray rose into a relaxed mason jar. A quiet gesture of comfort, with the jar to keep afterwards.</t>
        </is>
      </c>
      <c r="Y47" s="30" t="inlineStr">
        <is>
          <t>&lt;p&gt;Festive Garden II gathers 3 white roses, 2 white carnations, 2 white cushion chrysanthemums and 1 white spray rose into a relaxed mason jar. A quiet gesture of comfort, with the jar to keep afterwards.&lt;/p&gt;</t>
        </is>
      </c>
      <c r="Z47" s="29" t="inlineStr">
        <is>
          <t>ok</t>
        </is>
      </c>
      <c r="AA47" t="n">
        <v>80</v>
      </c>
      <c r="AB47" s="44" t="n">
        <v>23597.6</v>
      </c>
      <c r="AC47" t="n">
        <v>271</v>
      </c>
      <c r="AD47" s="45" t="n">
        <v>0.002703741462406145</v>
      </c>
      <c r="AE47" s="45" t="n">
        <v>0.006812794685635119</v>
      </c>
      <c r="AF47" t="n">
        <v>29</v>
      </c>
    </row>
    <row r="48" ht="109.5" customHeight="1" s="24">
      <c r="A48" s="30" t="inlineStr">
        <is>
          <t>AUMJ-NW-005</t>
        </is>
      </c>
      <c r="B48" s="30" t="inlineStr">
        <is>
          <t>Native Flowers Bouquet in Mason Jar</t>
        </is>
      </c>
      <c r="C48" s="30" t="inlineStr">
        <is>
          <t>Mason Jar</t>
        </is>
      </c>
      <c r="D48" s="43" t="inlineStr">
        <is>
          <t>READY TO REVIEW</t>
        </is>
      </c>
      <c r="E48" s="30" t="inlineStr">
        <is>
          <t>A characterful selection of Australian native blooms, gathered in a rustic mason jar for a look that is wild, textural and effortlessly stylish. This bouquet brings a touch of the bush indoors, perfect for an anniversary, birthday or a warm housewarming welcome.</t>
        </is>
      </c>
      <c r="F48" s="30" t="inlineStr">
        <is>
          <t>Shopify (28 Sep)</t>
        </is>
      </c>
      <c r="G48" s="30" t="inlineStr">
        <is>
          <t>10 × Native Flowers Designer Stem; 2 × Ruscus Israeli; 1 × Mason Jar</t>
        </is>
      </c>
      <c r="H48" s="30" t="inlineStr">
        <is>
          <t>10 × Native Flowers Designer Stem; 2 × Ruscus Israeli; 1 × Mason Jar</t>
        </is>
      </c>
      <c r="I48" s="30" t="inlineStr">
        <is>
          <t>10 × Native Flowers Designer Stem; 2 × Ruscus Israeli; 1 × Mason Jar</t>
        </is>
      </c>
      <c r="J48" s="30" t="inlineStr">
        <is>
          <t>1 × Mason Jar; 2 × Ruscus Israeli; 10 × Native Flowers Designer Stem</t>
        </is>
      </c>
      <c r="K48" s="30" t="inlineStr">
        <is>
          <t>Y</t>
        </is>
      </c>
      <c r="L48" s="30" t="n"/>
      <c r="M48" s="30" t="inlineStr">
        <is>
          <t>A florist-designed bouquet with 10 florist's choice stems, presented in a mason jar. Stems vary with the season, so the picture is illustrative and shows the style and colour, not the exact flowers.</t>
        </is>
      </c>
      <c r="N48" s="30">
        <f>LEN(TRIM(SUBSTITUTE(M48,CHAR(10)," ")))-LEN(SUBSTITUTE(TRIM(SUBSTITUTE(M48,CHAR(10)," "))," ",""))+1</f>
        <v/>
      </c>
      <c r="O48" s="30" t="inlineStr">
        <is>
          <t>&lt;p&gt;A florist-designed bouquet with 10 florist's choice stems, presented in a mason jar. Stems vary with the season, so the picture is illustrative and shows the style and colour, not the exact flowers.&lt;/p&gt;</t>
        </is>
      </c>
      <c r="P48" s="29" t="inlineStr">
        <is>
          <t>ok</t>
        </is>
      </c>
      <c r="Q48" s="30" t="inlineStr">
        <is>
          <t>Native Flowers Bouquet in Mason Jar is an arrangement of 10 florist's choice stems, presented in a mason jar. The florist chooses the flowers to suit the season, so the picture is illustrative and shows the style and colour, not the exact stems.
It suits a birthday, a thank-you or a just-because moment, or any day you want to bring a little colour to the kitchen bench.</t>
        </is>
      </c>
      <c r="R48" s="30" t="inlineStr">
        <is>
          <t>&lt;p&gt;Native Flowers Bouquet in Mason Jar is an arrangement of 10 florist's choice stems, presented in a mason jar. The florist chooses the flowers to suit the season, so the picture is illustrative and shows the style and colour, not the exact stems.&lt;/p&gt;&lt;p&gt;It suits a birthday, a thank-you or a just-because moment, or any day you want to bring a little colour to the kitchen bench.&lt;/p&gt;</t>
        </is>
      </c>
      <c r="S48" s="29" t="inlineStr">
        <is>
          <t>ok</t>
        </is>
      </c>
      <c r="T48" s="30" t="inlineStr">
        <is>
          <t>In this bunch: 10 florist's choice stems in a mason jar. The florist chooses the flowers to suit the season, so the picture is illustrative and shows the style and colour, not the exact stems.</t>
        </is>
      </c>
      <c r="U48" s="30" t="inlineStr">
        <is>
          <t>&lt;p&gt;In this bunch: 10 florist's choice stems in a mason jar. The florist chooses the flowers to suit the season, so the picture is illustrative and shows the style and colour, not the exact stems.&lt;/p&gt;</t>
        </is>
      </c>
      <c r="V48" s="29" t="inlineStr">
        <is>
          <t>ok</t>
        </is>
      </c>
      <c r="W48" s="30" t="inlineStr">
        <is>
          <t>Festive Garden III</t>
        </is>
      </c>
      <c r="X48" s="30" t="inlineStr">
        <is>
          <t>Festive Garden III gathers 10 florist's choice stems into a relaxed mason jar. The florist chooses the flowers to suit the season, so the picture is illustrative and shows the style and colour, not the exact stems.</t>
        </is>
      </c>
      <c r="Y48" s="30" t="inlineStr">
        <is>
          <t>&lt;p&gt;Festive Garden III gathers 10 florist's choice stems into a relaxed mason jar. The florist chooses the flowers to suit the season, so the picture is illustrative and shows the style and colour, not the exact stems.&lt;/p&gt;</t>
        </is>
      </c>
      <c r="Z48" s="29" t="inlineStr">
        <is>
          <t>ok</t>
        </is>
      </c>
      <c r="AA48" t="n">
        <v>2</v>
      </c>
      <c r="AB48" s="44" t="n">
        <v>537351.41</v>
      </c>
      <c r="AC48" t="n">
        <v>6013</v>
      </c>
      <c r="AD48" s="45" t="n">
        <v>0.06156809275228462</v>
      </c>
      <c r="AE48" s="45" t="n">
        <v>0.1551371612040791</v>
      </c>
      <c r="AF48" t="n">
        <v>1</v>
      </c>
    </row>
    <row r="49" ht="109.5" customHeight="1" s="24">
      <c r="A49" s="30" t="inlineStr">
        <is>
          <t>AUMJ-NW-006</t>
        </is>
      </c>
      <c r="B49" s="30" t="inlineStr">
        <is>
          <t>Daisy Daze Bouquet in Mason Jar</t>
        </is>
      </c>
      <c r="C49" s="30" t="inlineStr">
        <is>
          <t>Mason Jar</t>
        </is>
      </c>
      <c r="D49" s="43" t="inlineStr">
        <is>
          <t>READY TO REVIEW</t>
        </is>
      </c>
      <c r="E49" s="30" t="inlineStr">
        <is>
          <t>Eight bright, daisy-like chrysanthemums gathered into a sweet little mason jar, full of simple, sunny charm. Cheerful and unfussy, it's a lovely way to brighten a birthday, mark an anniversary or send a small dose of happiness.</t>
        </is>
      </c>
      <c r="F49" s="30" t="inlineStr">
        <is>
          <t>Shopify (28 Sep)</t>
        </is>
      </c>
      <c r="G49" s="30" t="inlineStr">
        <is>
          <t>5 × Carnation Yellow; 2 × Chrysanthemum Daisies Yellow; 1 × Chrysanthemum Button White; 2 × Ruscus Israeli; 1 × Mason Jar</t>
        </is>
      </c>
      <c r="H49" s="30" t="inlineStr">
        <is>
          <t>5 × Carnation Yellow; 2 × Chrysanthemum Daisies Yellow; 1 × Chrysanthemum Button White; 2 × Ruscus Israeli; 1 × Mason Jar</t>
        </is>
      </c>
      <c r="I49" s="30" t="inlineStr">
        <is>
          <t>5 × Carnation Yellow; 2 × Chrysanthemum Daisies Yellow; 1 × Chrysanthemum Button White; 2 × Ruscus Israeli; 1 × Mason Jar</t>
        </is>
      </c>
      <c r="J49" s="30" t="inlineStr">
        <is>
          <t>1 × Chrysanthemum Button White; 1 × Mason Jar; 2 × Ruscus Israeli; 2 × Chrysanthemum Daisies Yellow; 5 × Carnation Yellow</t>
        </is>
      </c>
      <c r="K49" s="30" t="inlineStr">
        <is>
          <t>Y</t>
        </is>
      </c>
      <c r="L49" s="30" t="n"/>
      <c r="M49" s="30" t="inlineStr">
        <is>
          <t>A hand-arranged mason jar bouquet of 5 yellow carnations and 2 yellow chrysanthemum daisies. A warm gift for a birthday, a thank-you or a just-because moment, with a mason jar to keep once the flowers are gone.</t>
        </is>
      </c>
      <c r="N49" s="30">
        <f>LEN(TRIM(SUBSTITUTE(M49,CHAR(10)," ")))-LEN(SUBSTITUTE(TRIM(SUBSTITUTE(M49,CHAR(10)," "))," ",""))+1</f>
        <v/>
      </c>
      <c r="O49" s="30" t="inlineStr">
        <is>
          <t>&lt;p&gt;A hand-arranged mason jar bouquet of 5 yellow carnations and 2 yellow chrysanthemum daisies. A warm gift for a birthday, a thank-you or a just-because moment, with a mason jar to keep once the flowers are gone.&lt;/p&gt;</t>
        </is>
      </c>
      <c r="P49" s="29" t="inlineStr">
        <is>
          <t>ok</t>
        </is>
      </c>
      <c r="Q49" s="30" t="inlineStr">
        <is>
          <t>Daisy Daze Bouquet in Mason Jar brings together 5 yellow carnations and 2 yellow chrysanthemum daisies, presented in a mason jar you can keep. It suits a birthday, a thank-you or a just-because moment.
Yellow tones say friendship and cheer. We hand-arrange each one at Aussie Blooms so it looks the way you pictured it, ready for a Sunday lunch. Stems can vary with the season, while the yellow and white palette stays.</t>
        </is>
      </c>
      <c r="R49" s="30" t="inlineStr">
        <is>
          <t>&lt;p&gt;Daisy Daze Bouquet in Mason Jar brings together 5 yellow carnations and 2 yellow chrysanthemum daisies, presented in a mason jar you can keep. It suits a birthday, a thank-you or a just-because moment.&lt;/p&gt;&lt;p&gt;Yellow tones say friendship and cheer. We hand-arrange each one at Aussie Blooms so it looks the way you pictured it, ready for a Sunday lunch. Stems can vary with the season, while the yellow and white palette stays.&lt;/p&gt;</t>
        </is>
      </c>
      <c r="S49" s="29" t="inlineStr">
        <is>
          <t>ok</t>
        </is>
      </c>
      <c r="T49" s="30" t="inlineStr">
        <is>
          <t>Inside the jar: 5 yellow carnations and 2 yellow chrysanthemum daisies. Bright on purpose, and hard to walk past without smiling.</t>
        </is>
      </c>
      <c r="U49" s="30" t="inlineStr">
        <is>
          <t>&lt;p&gt;Inside the jar: 5 yellow carnations and 2 yellow chrysanthemum daisies. Bright on purpose, and hard to walk past without smiling.&lt;/p&gt;</t>
        </is>
      </c>
      <c r="V49" s="29" t="inlineStr">
        <is>
          <t>ok</t>
        </is>
      </c>
      <c r="W49" s="30" t="inlineStr">
        <is>
          <t>Festive Garden IV</t>
        </is>
      </c>
      <c r="X49" s="30" t="inlineStr">
        <is>
          <t>Festive Garden IV settles 5 yellow carnations and 2 yellow chrysanthemum daisies into a relaxed mason jar. Just right sitting on a bench where everyone can enjoy it. A good fit for a birthday, a thank-you or a just-because moment. A little wild, a little imperfect, the way a jar should be.</t>
        </is>
      </c>
      <c r="Y49" s="30" t="inlineStr">
        <is>
          <t>&lt;p&gt;Festive Garden IV settles 5 yellow carnations and 2 yellow chrysanthemum daisies into a relaxed mason jar. Just right sitting on a bench where everyone can enjoy it. A good fit for a birthday, a thank-you or a just-because moment. A little wild, a little imperfect, the way a jar should be.&lt;/p&gt;</t>
        </is>
      </c>
      <c r="Z49" s="29" t="inlineStr">
        <is>
          <t>ok</t>
        </is>
      </c>
      <c r="AA49" t="n">
        <v>73</v>
      </c>
      <c r="AB49" s="44" t="n">
        <v>28879.87</v>
      </c>
      <c r="AC49" t="n">
        <v>435</v>
      </c>
      <c r="AD49" s="45" t="n">
        <v>0.003308967918037127</v>
      </c>
      <c r="AE49" s="45" t="n">
        <v>0.008337823479201457</v>
      </c>
      <c r="AF49" t="n">
        <v>27</v>
      </c>
    </row>
    <row r="50" ht="109.5" customHeight="1" s="24">
      <c r="A50" s="30" t="inlineStr">
        <is>
          <t>AUMJ-NW-007</t>
        </is>
      </c>
      <c r="B50" s="30" t="inlineStr">
        <is>
          <t>Pick-Me-Up Bouquet in Mason Jar</t>
        </is>
      </c>
      <c r="C50" s="30" t="inlineStr">
        <is>
          <t>Mason Jar</t>
        </is>
      </c>
      <c r="D50" s="43" t="inlineStr">
        <is>
          <t>READY TO REVIEW</t>
        </is>
      </c>
      <c r="E50" s="30" t="inlineStr">
        <is>
          <t>A cheerful gathering of nine carnations, nine alstroemeria and four chrysanthemums, hand-arranged in a rustic mason jar for a relaxed, homespun charm. It's the perfect little lift to brighten someone's day, just because, or to say you're thinking of them.</t>
        </is>
      </c>
      <c r="F50" s="30" t="inlineStr">
        <is>
          <t>Shopify (28 Sep)</t>
        </is>
      </c>
      <c r="G50" s="30" t="inlineStr">
        <is>
          <t>1 × Chrysanthemum Spray White; 3 × Carnation Green; 1 × Baby's Breath; 2 × Ruscus Israeli; 1 × Mason Jar; 3 × Alstroemeria Pink</t>
        </is>
      </c>
      <c r="H50" s="30" t="inlineStr">
        <is>
          <t>1 × Chrysanthemum Spray White; 3 × Carnation Green; 1 × Baby's Breath; 2 × Ruscus Israeli; 1 × Mason Jar; 3 × Alstroemeria Pink</t>
        </is>
      </c>
      <c r="I50" s="30" t="inlineStr">
        <is>
          <t>1 × Chrysanthemum Spray White; 3 × Carnation Green; 1 × Baby's Breath; 2 × Ruscus Israeli; 1 × Mason Jar; 3 × Alstroemeria Pink</t>
        </is>
      </c>
      <c r="J50" s="30" t="inlineStr">
        <is>
          <t>1 × Baby's Breath; 3 × Alstroemeria Pink; 1 × Mason Jar; 2 × Ruscus Israeli; 3 × Carnation Green; 1 × Chrysanthemum Spray White</t>
        </is>
      </c>
      <c r="K50" s="30" t="inlineStr">
        <is>
          <t>Y</t>
        </is>
      </c>
      <c r="L50" s="30" t="n"/>
      <c r="M50" s="30" t="inlineStr">
        <is>
          <t>A mason jar arrangement of 3 green carnations, 3 pink alstroemeria and 1 white spray chrysanthemum. A lovely way to mark a get-well wish or a thank-you, and the mason jar stays useful long after.</t>
        </is>
      </c>
      <c r="N50" s="30">
        <f>LEN(TRIM(SUBSTITUTE(M50,CHAR(10)," ")))-LEN(SUBSTITUTE(TRIM(SUBSTITUTE(M50,CHAR(10)," "))," ",""))+1</f>
        <v/>
      </c>
      <c r="O50" s="30" t="inlineStr">
        <is>
          <t>&lt;p&gt;A mason jar arrangement of 3 green carnations, 3 pink alstroemeria and 1 white spray chrysanthemum. A lovely way to mark a get-well wish or a thank-you, and the mason jar stays useful long after.&lt;/p&gt;</t>
        </is>
      </c>
      <c r="P50" s="29" t="inlineStr">
        <is>
          <t>ok</t>
        </is>
      </c>
      <c r="Q50" s="30" t="inlineStr">
        <is>
          <t>Pick-Me-Up Bouquet in Mason Jar brings together 3 green carnations, 3 pink alstroemeria and 1 white spray chrysanthemum, presented in a mason jar you can keep. It suits a get-well wish or a thank-you.
Green tones say a fresh start. We hand-arrange each one at Aussie Blooms so it looks the way you pictured it, ready for the bedside table. Stems can vary with the season, while the green and pink palette stays.</t>
        </is>
      </c>
      <c r="R50" s="30" t="inlineStr">
        <is>
          <t>&lt;p&gt;Pick-Me-Up Bouquet in Mason Jar brings together 3 green carnations, 3 pink alstroemeria and 1 white spray chrysanthemum, presented in a mason jar you can keep. It suits a get-well wish or a thank-you.&lt;/p&gt;&lt;p&gt;Green tones say a fresh start. We hand-arrange each one at Aussie Blooms so it looks the way you pictured it, ready for the bedside table. Stems can vary with the season, while the green and pink palette stays.&lt;/p&gt;</t>
        </is>
      </c>
      <c r="S50" s="29" t="inlineStr">
        <is>
          <t>ok</t>
        </is>
      </c>
      <c r="T50" s="30" t="inlineStr">
        <is>
          <t>In the jar: 3 green carnations, 3 pink alstroemeria and 1 white spray chrysanthemum. Soft colours that make a quiet room feel looked after.</t>
        </is>
      </c>
      <c r="U50" s="30" t="inlineStr">
        <is>
          <t>&lt;p&gt;In the jar: 3 green carnations, 3 pink alstroemeria and 1 white spray chrysanthemum. Soft colours that make a quiet room feel looked after.&lt;/p&gt;</t>
        </is>
      </c>
      <c r="V50" s="29" t="inlineStr">
        <is>
          <t>ok</t>
        </is>
      </c>
      <c r="W50" s="30" t="inlineStr">
        <is>
          <t>Big Garden Energy</t>
        </is>
      </c>
      <c r="X50" s="30" t="inlineStr">
        <is>
          <t>Big Garden Energy nestles 3 green carnations, 3 pink alstroemeria and 1 white spray chrysanthemum into a relaxed mason jar. Happy on a sunny windowsill. Made for a get-well wish or a thank-you.</t>
        </is>
      </c>
      <c r="Y50" s="30" t="inlineStr">
        <is>
          <t>&lt;p&gt;Big Garden Energy nestles 3 green carnations, 3 pink alstroemeria and 1 white spray chrysanthemum into a relaxed mason jar. Happy on a sunny windowsill. Made for a get-well wish or a thank-you.&lt;/p&gt;</t>
        </is>
      </c>
      <c r="Z50" s="29" t="inlineStr">
        <is>
          <t>ok</t>
        </is>
      </c>
      <c r="AA50" t="n">
        <v>26</v>
      </c>
      <c r="AB50" s="44" t="n">
        <v>82447.10000000001</v>
      </c>
      <c r="AC50" t="n">
        <v>1260</v>
      </c>
      <c r="AD50" s="45" t="n">
        <v>0.00944653777332867</v>
      </c>
      <c r="AE50" s="45" t="n">
        <v>0.02380306077139171</v>
      </c>
      <c r="AF50" t="n">
        <v>13</v>
      </c>
    </row>
    <row r="51" ht="109.5" customHeight="1" s="24">
      <c r="A51" s="30" t="inlineStr">
        <is>
          <t>AUMJ-NW-008</t>
        </is>
      </c>
      <c r="B51" s="30" t="inlineStr">
        <is>
          <t>Golden Hour Bouquet in Mason Jar</t>
        </is>
      </c>
      <c r="C51" s="30" t="inlineStr">
        <is>
          <t>Mason Jar</t>
        </is>
      </c>
      <c r="D51" s="43" t="inlineStr">
        <is>
          <t>READY TO REVIEW</t>
        </is>
      </c>
      <c r="E51" s="30" t="inlineStr">
        <is>
          <t>Warm alstroemeria, sunny gerberas, soft carnations and golden chrysanthemums glow together in a rustic mason jar, capturing all the radiance of a late afternoon. A lovely way to mark an anniversary or birthday, or to lift the spirits of someone who needs a little brightness.</t>
        </is>
      </c>
      <c r="F51" s="30" t="inlineStr">
        <is>
          <t>Shopify (28 Sep)</t>
        </is>
      </c>
      <c r="G51" s="30" t="inlineStr">
        <is>
          <t>3 × Chrysanthemum button bronze; 1 × Limonium Yellow; 2 × Mini Gerbera Orange; 2 × Ruscus Israeli; 1 × Mason Jar; 2 × Alstroemeria Yellow; 2 × Mini Carnations Orange</t>
        </is>
      </c>
      <c r="H51" s="30" t="inlineStr">
        <is>
          <t>3 × Chrysanthemum button bronze; 1 × Limonium Yellow; 2 × Mini Gerbera Orange; 2 × Ruscus Israeli; 1 × Mason Jar; 2 × Alstroemeria Yellow; 2 × Mini Carnations Orange</t>
        </is>
      </c>
      <c r="I51" s="30" t="inlineStr">
        <is>
          <t>3 × Chrysanthemum button bronze; 1 × Limonium Yellow; 2 × Mini Gerbera Orange; 2 × Ruscus Israeli; 1 × Mason Jar; 2 × Alstroemeria Yellow; 2 × Mini Carnations Orange</t>
        </is>
      </c>
      <c r="J51" s="30" t="inlineStr">
        <is>
          <t>2 × Ruscus Israeli; 2 × Mini Carnations Orange; 2 × Alstroemeria Yellow; 1 × Mason Jar; 2 × Mini Gerbera Orange; 1 × Limonium Yellow; 3 × Chrysanthemum button bronze</t>
        </is>
      </c>
      <c r="K51" s="30" t="inlineStr">
        <is>
          <t>Y</t>
        </is>
      </c>
      <c r="L51" s="30" t="n"/>
      <c r="M51" s="30" t="inlineStr">
        <is>
          <t>A hand-arranged mason jar bouquet of 2 yellow alstroemeria. A warm gift for a birthday, a thank-you or a just-because moment, with a mason jar to keep once the flowers are gone.</t>
        </is>
      </c>
      <c r="N51" s="30">
        <f>LEN(TRIM(SUBSTITUTE(M51,CHAR(10)," ")))-LEN(SUBSTITUTE(TRIM(SUBSTITUTE(M51,CHAR(10)," "))," ",""))+1</f>
        <v/>
      </c>
      <c r="O51" s="30" t="inlineStr">
        <is>
          <t>&lt;p&gt;A hand-arranged mason jar bouquet of 2 yellow alstroemeria. A warm gift for a birthday, a thank-you or a just-because moment, with a mason jar to keep once the flowers are gone.&lt;/p&gt;</t>
        </is>
      </c>
      <c r="P51" s="29" t="inlineStr">
        <is>
          <t>ok</t>
        </is>
      </c>
      <c r="Q51" s="30" t="inlineStr">
        <is>
          <t>Golden Hour Bouquet in Mason Jar brings together 2 yellow alstroemeria, presented in a mason jar you can keep. It suits a birthday, a thank-you or a just-because moment.
Orange tones say warmth and energy. We hand-arrange each one at Aussie Blooms so it looks the way you pictured it, ready for a Sunday lunch. Stems can vary with the season, while the orange and bronze palette stays.</t>
        </is>
      </c>
      <c r="R51" s="30" t="inlineStr">
        <is>
          <t>&lt;p&gt;Golden Hour Bouquet in Mason Jar brings together 2 yellow alstroemeria, presented in a mason jar you can keep. It suits a birthday, a thank-you or a just-because moment.&lt;/p&gt;&lt;p&gt;Orange tones say warmth and energy. We hand-arrange each one at Aussie Blooms so it looks the way you pictured it, ready for a Sunday lunch. Stems can vary with the season, while the orange and bronze palette stays.&lt;/p&gt;</t>
        </is>
      </c>
      <c r="S51" s="29" t="inlineStr">
        <is>
          <t>ok</t>
        </is>
      </c>
      <c r="T51" s="30" t="inlineStr">
        <is>
          <t>Inside the jar: 2 yellow alstroemeria. Bright on purpose, and hard to walk past without smiling.</t>
        </is>
      </c>
      <c r="U51" s="30" t="inlineStr">
        <is>
          <t>&lt;p&gt;Inside the jar: 2 yellow alstroemeria. Bright on purpose, and hard to walk past without smiling.&lt;/p&gt;</t>
        </is>
      </c>
      <c r="V51" s="29" t="inlineStr">
        <is>
          <t>ok</t>
        </is>
      </c>
      <c r="W51" s="30" t="inlineStr">
        <is>
          <t>Clean Whites</t>
        </is>
      </c>
      <c r="X51" s="30" t="inlineStr">
        <is>
          <t>Clean Whites settles 2 yellow alstroemeria into a relaxed mason jar. Just right sitting on a bench where everyone can enjoy it. A good fit for a birthday, a thank-you or a just-because moment. A little wild, a little imperfect, the way a jar should be.</t>
        </is>
      </c>
      <c r="Y51" s="30" t="inlineStr">
        <is>
          <t>&lt;p&gt;Clean Whites settles 2 yellow alstroemeria into a relaxed mason jar. Just right sitting on a bench where everyone can enjoy it. A good fit for a birthday, a thank-you or a just-because moment. A little wild, a little imperfect, the way a jar should be.&lt;/p&gt;</t>
        </is>
      </c>
      <c r="Z51" s="29" t="inlineStr">
        <is>
          <t>ok</t>
        </is>
      </c>
      <c r="AA51" t="n">
        <v>59</v>
      </c>
      <c r="AB51" s="44" t="n">
        <v>38091.72</v>
      </c>
      <c r="AC51" t="n">
        <v>417</v>
      </c>
      <c r="AD51" s="45" t="n">
        <v>0.004364433602312601</v>
      </c>
      <c r="AE51" s="45" t="n">
        <v>0.01099734958577785</v>
      </c>
      <c r="AF51" t="n">
        <v>20</v>
      </c>
    </row>
    <row r="52" ht="109.5" customHeight="1" s="24">
      <c r="A52" s="30" t="inlineStr">
        <is>
          <t>AUMJ-NW-009</t>
        </is>
      </c>
      <c r="B52" s="30" t="inlineStr">
        <is>
          <t>Violet Vibes Bouquet in Mason Jar</t>
        </is>
      </c>
      <c r="C52" s="30" t="inlineStr">
        <is>
          <t>Mason Jar</t>
        </is>
      </c>
      <c r="D52" s="43" t="inlineStr">
        <is>
          <t>READY TO REVIEW</t>
        </is>
      </c>
      <c r="E52" s="30" t="n"/>
      <c r="F52" s="30" t="inlineStr">
        <is>
          <t>none</t>
        </is>
      </c>
      <c r="G52" s="30" t="inlineStr">
        <is>
          <t>3 × Roses Lavender; 1 × Roses Spray White; 2 × Limonium Purple; 2 × Baby's Breath; 2 × Ruscus Israeli; 1 × Mason Jar; 2 × Mini Carnations Purple</t>
        </is>
      </c>
      <c r="H52" s="30" t="inlineStr">
        <is>
          <t>3 × Roses Lavender; 1 × Roses Spray White; 2 × Limonium Purple; 2 × Baby's Breath; 2 × Ruscus Israeli; 1 × Mason Jar; 2 × Mini Carnations Purple</t>
        </is>
      </c>
      <c r="I52" s="30" t="inlineStr">
        <is>
          <t>3 × Roses Lavender; 1 × Roses Spray White; 2 × Limonium Purple; 2 × Baby's Breath; 2 × Ruscus Israeli; 1 × Mason Jar; 2 × Mini Carnations Purple</t>
        </is>
      </c>
      <c r="J52" s="30" t="inlineStr">
        <is>
          <t>2 × Baby's Breath; 2 × Mini Carnations Purple; 1 × Mason Jar; 2 × Ruscus Israeli; 2 × Limonium Purple; 1 × Roses Spray White; 3 × Roses Lavender</t>
        </is>
      </c>
      <c r="K52" s="30" t="inlineStr">
        <is>
          <t>N</t>
        </is>
      </c>
      <c r="L52" s="30" t="n"/>
      <c r="M52" s="30" t="inlineStr">
        <is>
          <t>A hand-arranged mason jar bouquet of 3 lavender roses and 1 white spray rose. A lovely way to mark a birthday, a thank-you or a just-because moment, with a mason jar to keep once the flowers are gone.</t>
        </is>
      </c>
      <c r="N52" s="30">
        <f>LEN(TRIM(SUBSTITUTE(M52,CHAR(10)," ")))-LEN(SUBSTITUTE(TRIM(SUBSTITUTE(M52,CHAR(10)," "))," ",""))+1</f>
        <v/>
      </c>
      <c r="O52" s="30" t="inlineStr">
        <is>
          <t>&lt;p&gt;A hand-arranged mason jar bouquet of 3 lavender roses and 1 white spray rose. A lovely way to mark a birthday, a thank-you or a just-because moment, with a mason jar to keep once the flowers are gone.&lt;/p&gt;</t>
        </is>
      </c>
      <c r="P52" s="29" t="inlineStr">
        <is>
          <t>ok</t>
        </is>
      </c>
      <c r="Q52" s="30" t="inlineStr">
        <is>
          <t>Violet Vibes Bouquet in Mason Jar brings together 3 lavender roses and 1 white spray rose, presented in a mason jar you can keep. It suits a birthday, a thank-you or a just-because moment.
Lavender tones say thoughtfulness. We hand-arrange each one at Aussie Blooms so it looks the way you pictured it, ready for a Sunday lunch. Stems can vary with the season, while the lavender and purple palette stays.</t>
        </is>
      </c>
      <c r="R52" s="30" t="inlineStr">
        <is>
          <t>&lt;p&gt;Violet Vibes Bouquet in Mason Jar brings together 3 lavender roses and 1 white spray rose, presented in a mason jar you can keep. It suits a birthday, a thank-you or a just-because moment.&lt;/p&gt;&lt;p&gt;Lavender tones say thoughtfulness. We hand-arrange each one at Aussie Blooms so it looks the way you pictured it, ready for a Sunday lunch. Stems can vary with the season, while the lavender and purple palette stays.&lt;/p&gt;</t>
        </is>
      </c>
      <c r="S52" s="29" t="inlineStr">
        <is>
          <t>ok</t>
        </is>
      </c>
      <c r="T52" s="30" t="inlineStr">
        <is>
          <t>In the jar: 3 lavender roses and 1 white spray rose. Soft colours that make a quiet room feel looked after.</t>
        </is>
      </c>
      <c r="U52" s="30" t="inlineStr">
        <is>
          <t>&lt;p&gt;In the jar: 3 lavender roses and 1 white spray rose. Soft colours that make a quiet room feel looked after.&lt;/p&gt;</t>
        </is>
      </c>
      <c r="V52" s="29" t="inlineStr">
        <is>
          <t>ok</t>
        </is>
      </c>
      <c r="W52" s="30" t="inlineStr">
        <is>
          <t>Happy Hour Gerberas</t>
        </is>
      </c>
      <c r="X52" s="30" t="inlineStr">
        <is>
          <t>Happy Hour Gerberas settles 3 lavender roses and 1 white spray rose into a relaxed mason jar. Just right sitting on a bench where everyone can enjoy it. A good fit for a birthday, a thank-you or a just-because moment. A little wild, a little imperfect, the way a jar should be.</t>
        </is>
      </c>
      <c r="Y52" s="30" t="inlineStr">
        <is>
          <t>&lt;p&gt;Happy Hour Gerberas settles 3 lavender roses and 1 white spray rose into a relaxed mason jar. Just right sitting on a bench where everyone can enjoy it. A good fit for a birthday, a thank-you or a just-because moment. A little wild, a little imperfect, the way a jar should be.&lt;/p&gt;</t>
        </is>
      </c>
      <c r="Z52" s="29" t="inlineStr">
        <is>
          <t>ok</t>
        </is>
      </c>
      <c r="AA52" t="n">
        <v>225</v>
      </c>
      <c r="AB52" s="44" t="n">
        <v>1124.07</v>
      </c>
      <c r="AC52" t="n">
        <v>11</v>
      </c>
      <c r="AD52" s="45" t="n">
        <v>0.0001287925270728527</v>
      </c>
      <c r="AE52" s="45" t="n">
        <v>0.000324526977224586</v>
      </c>
      <c r="AF52" t="n">
        <v>51</v>
      </c>
    </row>
    <row r="53" ht="109.5" customHeight="1" s="24">
      <c r="A53" s="30" t="inlineStr">
        <is>
          <t>AUMJ-NW-010</t>
        </is>
      </c>
      <c r="B53" s="30" t="inlineStr">
        <is>
          <t>Get Well Garden Bouquet in Mason Jar</t>
        </is>
      </c>
      <c r="C53" s="30" t="inlineStr">
        <is>
          <t>Mason Jar</t>
        </is>
      </c>
      <c r="D53" s="43" t="inlineStr">
        <is>
          <t>READY TO REVIEW</t>
        </is>
      </c>
      <c r="E53" s="30" t="inlineStr">
        <is>
          <t>A cheerful gathering of alstroemeria, carnations, roses and chrysanthemums tucked into a charming mason jar, this garden-style bouquet brims with colour and life. It is a heartfelt way to wish someone a speedy recovery, celebrate good news, or welcome a friend into a new home.</t>
        </is>
      </c>
      <c r="F53" s="30" t="inlineStr">
        <is>
          <t>Shopify (28 Sep)</t>
        </is>
      </c>
      <c r="G53" s="30" t="inlineStr">
        <is>
          <t>2 × Roses light pink; 3 × Carnation Peach; 2 × Baby's Breath; 2 × Ruscus Israeli; 1 × Mason Jar; 2 × Alstroemeria Pink; 2 × Chrysanthemum cushion yellow</t>
        </is>
      </c>
      <c r="H53" s="30" t="inlineStr">
        <is>
          <t>2 × Roses light pink; 3 × Carnation Peach; 2 × Baby's Breath; 2 × Ruscus Israeli; 1 × Mason Jar; 2 × Alstroemeria Pink; 2 × Chrysanthemum cushion yellow</t>
        </is>
      </c>
      <c r="I53" s="30" t="inlineStr">
        <is>
          <t>2 × Roses light pink; 3 × Carnation Peach; 2 × Baby's Breath; 2 × Ruscus Israeli; 1 × Mason Jar; 2 × Alstroemeria Pink; 2 × Chrysanthemum cushion yellow</t>
        </is>
      </c>
      <c r="J53" s="30" t="inlineStr">
        <is>
          <t>2 × Ruscus Israeli; 2 × Chrysanthemum cushion yellow; 2 × Alstroemeria Pink; 1 × Mason Jar; 2 × Baby's Breath; 3 × Carnation Peach; 2 × Roses light pink</t>
        </is>
      </c>
      <c r="K53" s="30" t="inlineStr">
        <is>
          <t>Y</t>
        </is>
      </c>
      <c r="L53" s="30" t="n"/>
      <c r="M53" s="30" t="inlineStr">
        <is>
          <t>A mason jar arrangement of 3 peach carnations, 2 light pink roses, 2 pink alstroemeria and 2 yellow cushion chrysanthemums. A warm gift for a get-well wish or a thank-you, and the mason jar stays useful long after.</t>
        </is>
      </c>
      <c r="N53" s="30">
        <f>LEN(TRIM(SUBSTITUTE(M53,CHAR(10)," ")))-LEN(SUBSTITUTE(TRIM(SUBSTITUTE(M53,CHAR(10)," "))," ",""))+1</f>
        <v/>
      </c>
      <c r="O53" s="30" t="inlineStr">
        <is>
          <t>&lt;p&gt;A mason jar arrangement of 3 peach carnations, 2 light pink roses, 2 pink alstroemeria and 2 yellow cushion chrysanthemums. A warm gift for a get-well wish or a thank-you, and the mason jar stays useful long after.&lt;/p&gt;</t>
        </is>
      </c>
      <c r="P53" s="29" t="inlineStr">
        <is>
          <t>ok</t>
        </is>
      </c>
      <c r="Q53" s="30" t="inlineStr">
        <is>
          <t>Get Well Garden Bouquet in Mason Jar brings together 3 peach carnations, 2 light pink roses, 2 pink alstroemeria and 2 yellow cushion chrysanthemums, presented in a mason jar you can keep. It suits a get-well wish or a thank-you.
Peach tones say warmth and gentle affection. We hand-arrange each one at Aussie Blooms so it looks the way you pictured it, ready for the kitchen bench. Stems can vary with the season, while the peach and light pink palette stays.</t>
        </is>
      </c>
      <c r="R53" s="30" t="inlineStr">
        <is>
          <t>&lt;p&gt;Get Well Garden Bouquet in Mason Jar brings together 3 peach carnations, 2 light pink roses, 2 pink alstroemeria and 2 yellow cushion chrysanthemums, presented in a mason jar you can keep. It suits a get-well wish or a thank-you.&lt;/p&gt;&lt;p&gt;Peach tones say warmth and gentle affection. We hand-arrange each one at Aussie Blooms so it looks the way you pictured it, ready for the kitchen bench. Stems can vary with the season, while the peach and light pink palette stays.&lt;/p&gt;</t>
        </is>
      </c>
      <c r="S53" s="29" t="inlineStr">
        <is>
          <t>ok</t>
        </is>
      </c>
      <c r="T53" s="30" t="inlineStr">
        <is>
          <t>Inside the jar: 3 peach carnations, 2 light pink roses, 2 pink alstroemeria and 2 yellow cushion chrysanthemums. Bright on purpose, and hard to walk past without smiling.</t>
        </is>
      </c>
      <c r="U53" s="30" t="inlineStr">
        <is>
          <t>&lt;p&gt;Inside the jar: 3 peach carnations, 2 light pink roses, 2 pink alstroemeria and 2 yellow cushion chrysanthemums. Bright on purpose, and hard to walk past without smiling.&lt;/p&gt;</t>
        </is>
      </c>
      <c r="V53" s="29" t="inlineStr">
        <is>
          <t>ok</t>
        </is>
      </c>
      <c r="W53" s="30" t="inlineStr">
        <is>
          <t>Merry and Bright</t>
        </is>
      </c>
      <c r="X53" s="30" t="inlineStr">
        <is>
          <t>Merry and Bright gathers 3 peach carnations, 2 light pink roses, 2 pink alstroemeria and 2 yellow cushion chrysanthemums into a relaxed mason jar. Right at home on a kitchen bench next to the morning cuppa. Made for a get-well wish or a thank-you.</t>
        </is>
      </c>
      <c r="Y53" s="30" t="inlineStr">
        <is>
          <t>&lt;p&gt;Merry and Bright gathers 3 peach carnations, 2 light pink roses, 2 pink alstroemeria and 2 yellow cushion chrysanthemums into a relaxed mason jar. Right at home on a kitchen bench next to the morning cuppa. Made for a get-well wish or a thank-you.&lt;/p&gt;</t>
        </is>
      </c>
      <c r="Z53" s="29" t="inlineStr">
        <is>
          <t>ok</t>
        </is>
      </c>
      <c r="AA53" t="n">
        <v>83</v>
      </c>
      <c r="AB53" s="44" t="n">
        <v>20444.29</v>
      </c>
      <c r="AC53" t="n">
        <v>268</v>
      </c>
      <c r="AD53" s="45" t="n">
        <v>0.002342444663864574</v>
      </c>
      <c r="AE53" s="45" t="n">
        <v>0.005902411446976463</v>
      </c>
      <c r="AF53" t="n">
        <v>30</v>
      </c>
    </row>
    <row r="54" ht="109.5" customHeight="1" s="24">
      <c r="A54" s="30" t="inlineStr">
        <is>
          <t>AUMJ-NW-011</t>
        </is>
      </c>
      <c r="B54" s="30" t="inlineStr">
        <is>
          <t>Best Birthday Ever Bouquet in Mason Jar</t>
        </is>
      </c>
      <c r="C54" s="30" t="inlineStr">
        <is>
          <t>Mason Jar</t>
        </is>
      </c>
      <c r="D54" s="43" t="inlineStr">
        <is>
          <t>READY TO REVIEW</t>
        </is>
      </c>
      <c r="E54" s="30" t="inlineStr">
        <is>
          <t>Fourteen roses, nine gerberas, nine carnations, four alstroemeria and four hydrangea burst from a charming mason jar in a joyful birthday medley. Cheerful and brimming with colour, it's the perfect way to make a birthday or any happy occasion feel extra special.</t>
        </is>
      </c>
      <c r="F54" s="30" t="inlineStr">
        <is>
          <t>Shopify (28 Sep)</t>
        </is>
      </c>
      <c r="G54" s="30" t="inlineStr">
        <is>
          <t>3 × Roses Yellow; 2 × Carnation Yellow; 2 × Gerbera Daisies Pink; 2 × Ruscus Israeli; 1 × Mason Jar; 1 × Alstroemeria Pink</t>
        </is>
      </c>
      <c r="H54" s="30" t="inlineStr">
        <is>
          <t>3 × Roses Yellow; 2 × Carnation Yellow; 2 × Gerbera Daisies Pink; 2 × Ruscus Israeli; 1 × Mason Jar; 1 × Alstroemeria Pink</t>
        </is>
      </c>
      <c r="I54" s="30" t="inlineStr">
        <is>
          <t>3 × Roses Yellow; 2 × Carnation Yellow; 2 × Gerbera Daisies Pink; 2 × Ruscus Israeli; 1 × Mason Jar; 1 × Alstroemeria Pink</t>
        </is>
      </c>
      <c r="J54" s="30" t="inlineStr">
        <is>
          <t>2 × Gerbera Daisies Pink; 1 × Alstroemeria Pink; 1 × Mason Jar; 2 × Ruscus Israeli; 2 × Carnation Yellow; 3 × Roses Yellow</t>
        </is>
      </c>
      <c r="K54" s="30" t="inlineStr">
        <is>
          <t>Y</t>
        </is>
      </c>
      <c r="L54" s="30" t="n"/>
      <c r="M54" s="30" t="inlineStr">
        <is>
          <t>A hand-arranged mason jar bouquet of 3 yellow roses, 2 pink gerberas, 2 yellow carnations and 1 pink alstroemeria. A warm gift for a birthday or a thank-you, with a mason jar to keep once the flowers are gone.</t>
        </is>
      </c>
      <c r="N54" s="30">
        <f>LEN(TRIM(SUBSTITUTE(M54,CHAR(10)," ")))-LEN(SUBSTITUTE(TRIM(SUBSTITUTE(M54,CHAR(10)," "))," ",""))+1</f>
        <v/>
      </c>
      <c r="O54" s="30" t="inlineStr">
        <is>
          <t>&lt;p&gt;A hand-arranged mason jar bouquet of 3 yellow roses, 2 pink gerberas, 2 yellow carnations and 1 pink alstroemeria. A warm gift for a birthday or a thank-you, with a mason jar to keep once the flowers are gone.&lt;/p&gt;</t>
        </is>
      </c>
      <c r="P54" s="29" t="inlineStr">
        <is>
          <t>ok</t>
        </is>
      </c>
      <c r="Q54" s="30" t="inlineStr">
        <is>
          <t>Best Birthday Ever Bouquet in Mason Jar brings together 3 yellow roses, 2 pink gerberas, 2 yellow carnations and 1 pink alstroemeria, presented in a mason jar you can keep. It suits a birthday or a thank-you.
Yellow tones say friendship and cheer. We hand-arrange each one at Aussie Blooms so it looks the way you pictured it, ready for a summer table. Stems can vary with the season, while the yellow and pink palette stays.</t>
        </is>
      </c>
      <c r="R54" s="30" t="inlineStr">
        <is>
          <t>&lt;p&gt;Best Birthday Ever Bouquet in Mason Jar brings together 3 yellow roses, 2 pink gerberas, 2 yellow carnations and 1 pink alstroemeria, presented in a mason jar you can keep. It suits a birthday or a thank-you.&lt;/p&gt;&lt;p&gt;Yellow tones say friendship and cheer. We hand-arrange each one at Aussie Blooms so it looks the way you pictured it, ready for a summer table. Stems can vary with the season, while the yellow and pink palette stays.&lt;/p&gt;</t>
        </is>
      </c>
      <c r="S54" s="29" t="inlineStr">
        <is>
          <t>ok</t>
        </is>
      </c>
      <c r="T54" s="30" t="inlineStr">
        <is>
          <t>Inside the jar: 3 yellow roses, 2 pink gerberas, 2 yellow carnations and 1 pink alstroemeria. Bright on purpose, and hard to walk past without smiling.</t>
        </is>
      </c>
      <c r="U54" s="30" t="inlineStr">
        <is>
          <t>&lt;p&gt;Inside the jar: 3 yellow roses, 2 pink gerberas, 2 yellow carnations and 1 pink alstroemeria. Bright on purpose, and hard to walk past without smiling.&lt;/p&gt;</t>
        </is>
      </c>
      <c r="V54" s="29" t="inlineStr">
        <is>
          <t>ok</t>
        </is>
      </c>
      <c r="W54" s="30" t="inlineStr">
        <is>
          <t>Iced Rose</t>
        </is>
      </c>
      <c r="X54" s="30" t="inlineStr">
        <is>
          <t>Iced Rose tucks 3 yellow roses, 2 pink gerberas, 2 yellow carnations and 1 pink alstroemeria into a relaxed mason jar. Lovely on a bedside table, or anywhere it can be seen. A good fit for a birthday or a thank-you. A little wild, a little imperfect, the way a jar should be.</t>
        </is>
      </c>
      <c r="Y54" s="30" t="inlineStr">
        <is>
          <t>&lt;p&gt;Iced Rose tucks 3 yellow roses, 2 pink gerberas, 2 yellow carnations and 1 pink alstroemeria into a relaxed mason jar. Lovely on a bedside table, or anywhere it can be seen. A good fit for a birthday or a thank-you. A little wild, a little imperfect, the way a jar should be.&lt;/p&gt;</t>
        </is>
      </c>
      <c r="Z54" s="29" t="inlineStr">
        <is>
          <t>ok</t>
        </is>
      </c>
      <c r="AA54" t="n">
        <v>9</v>
      </c>
      <c r="AB54" s="44" t="n">
        <v>186776.55</v>
      </c>
      <c r="AC54" t="n">
        <v>2294</v>
      </c>
      <c r="AD54" s="45" t="n">
        <v>0.02140028978947619</v>
      </c>
      <c r="AE54" s="45" t="n">
        <v>0.05392371370413745</v>
      </c>
      <c r="AF54" t="n">
        <v>5</v>
      </c>
    </row>
    <row r="55" ht="109.5" customHeight="1" s="24">
      <c r="A55" s="30" t="inlineStr">
        <is>
          <t>AUMJ-NW-014</t>
        </is>
      </c>
      <c r="B55" s="30" t="inlineStr">
        <is>
          <t>Peach Beach Paradise Bouquet in Mason Jar</t>
        </is>
      </c>
      <c r="C55" s="30" t="inlineStr">
        <is>
          <t>Mason Jar</t>
        </is>
      </c>
      <c r="D55" s="43" t="inlineStr">
        <is>
          <t>READY TO REVIEW</t>
        </is>
      </c>
      <c r="E55" s="30" t="inlineStr">
        <is>
          <t>Warm peach roses, alstroemeria and bold gerberas come together in a sun-kissed mason jar arrangement. Peach Beach Paradise radiates a relaxed, holiday warmth that brings instant cheer to any space and any occasion.</t>
        </is>
      </c>
      <c r="F55" s="30" t="inlineStr">
        <is>
          <t>Shopify (28 Sep)</t>
        </is>
      </c>
      <c r="G55" s="30" t="inlineStr">
        <is>
          <t>4 × Roses Peach; 1 × Roses Spray Peach; 1 × Limonium White; 3 × Mini Gerbera Peach; 2 × Ruscus Israeli; 1 × Mason Jar; 1 × Alstroemeria Pink/White</t>
        </is>
      </c>
      <c r="H55" s="30" t="inlineStr">
        <is>
          <t>4 × Roses Peach; 1 × Roses Spray Peach; 1 × Limonium White; 3 × Mini Gerbera Peach; 2 × Ruscus Israeli; 1 × Mason Jar; 1 × Alstroemeria Pink/White</t>
        </is>
      </c>
      <c r="I55" s="30" t="inlineStr">
        <is>
          <t>4 × Roses Peach; 1 × Roses Spray Peach; 1 × Limonium White; 3 × Mini Gerbera Peach; 2 × Ruscus Israeli; 1 × Mason Jar; 1 × Alstroemeria Pink/White</t>
        </is>
      </c>
      <c r="J55" s="30" t="inlineStr">
        <is>
          <t>3 × Mini Gerbera Peach; 1 × Alstroemeria Pink/White; 1 × Mason Jar; 2 × Ruscus Israeli; 1 × Limonium White; 1 × Roses Spray Peach; 4 × Roses Peach</t>
        </is>
      </c>
      <c r="K55" s="30" t="inlineStr">
        <is>
          <t>Y</t>
        </is>
      </c>
      <c r="L55" s="30" t="n"/>
      <c r="M55" s="30" t="inlineStr">
        <is>
          <t>A hand-arranged mason jar bouquet of 4 peach roses, 1 peach spray rose and 1 pink and white alstroemeria. A thoughtful choice for a birthday, a thank-you or a just-because moment, with a mason jar to keep once the flowers are gone.</t>
        </is>
      </c>
      <c r="N55" s="30">
        <f>LEN(TRIM(SUBSTITUTE(M55,CHAR(10)," ")))-LEN(SUBSTITUTE(TRIM(SUBSTITUTE(M55,CHAR(10)," "))," ",""))+1</f>
        <v/>
      </c>
      <c r="O55" s="30" t="inlineStr">
        <is>
          <t>&lt;p&gt;A hand-arranged mason jar bouquet of 4 peach roses, 1 peach spray rose and 1 pink and white alstroemeria. A thoughtful choice for a birthday, a thank-you or a just-because moment, with a mason jar to keep once the flowers are gone.&lt;/p&gt;</t>
        </is>
      </c>
      <c r="P55" s="29" t="inlineStr">
        <is>
          <t>ok</t>
        </is>
      </c>
      <c r="Q55" s="30" t="inlineStr">
        <is>
          <t>Peach Beach Paradise Bouquet in Mason Jar brings together 4 peach roses, 1 peach spray rose and 1 pink and white alstroemeria, presented in a mason jar you can keep. It suits a birthday, a thank-you or a just-because moment.
Peach tones say warmth and gentle affection. We hand-arrange each one at Aussie Blooms so it looks the way you pictured it, ready for a summer table. Stems can vary with the season, while the peach and pink and white palette stays.</t>
        </is>
      </c>
      <c r="R55" s="30" t="inlineStr">
        <is>
          <t>&lt;p&gt;Peach Beach Paradise Bouquet in Mason Jar brings together 4 peach roses, 1 peach spray rose and 1 pink and white alstroemeria, presented in a mason jar you can keep. It suits a birthday, a thank-you or a just-because moment.&lt;/p&gt;&lt;p&gt;Peach tones say warmth and gentle affection. We hand-arrange each one at Aussie Blooms so it looks the way you pictured it, ready for a summer table. Stems can vary with the season, while the peach and pink and white palette stays.&lt;/p&gt;</t>
        </is>
      </c>
      <c r="S55" s="29" t="inlineStr">
        <is>
          <t>ok</t>
        </is>
      </c>
      <c r="T55" s="30" t="inlineStr">
        <is>
          <t>The jar holds: 4 peach roses, 1 peach spray rose and 1 pink and white alstroemeria. Gentle, easy on the eye, and ready for any table you give it.</t>
        </is>
      </c>
      <c r="U55" s="30" t="inlineStr">
        <is>
          <t>&lt;p&gt;The jar holds: 4 peach roses, 1 peach spray rose and 1 pink and white alstroemeria. Gentle, easy on the eye, and ready for any table you give it.&lt;/p&gt;</t>
        </is>
      </c>
      <c r="V55" s="29" t="inlineStr">
        <is>
          <t>ok</t>
        </is>
      </c>
      <c r="W55" s="30" t="inlineStr">
        <is>
          <t>That December Feeling</t>
        </is>
      </c>
      <c r="X55" s="30" t="inlineStr">
        <is>
          <t>That December Feeling tucks 4 peach roses, 1 peach spray rose and 1 pink and white alstroemeria into a relaxed mason jar. Lovely on a bedside table, or anywhere it can be seen. A good fit for a birthday, a thank-you or a just-because moment. A little wild, a little imperfect, the way a jar should be.</t>
        </is>
      </c>
      <c r="Y55" s="30" t="inlineStr">
        <is>
          <t>&lt;p&gt;That December Feeling tucks 4 peach roses, 1 peach spray rose and 1 pink and white alstroemeria into a relaxed mason jar. Lovely on a bedside table, or anywhere it can be seen. A good fit for a birthday, a thank-you or a just-because moment. A little wild, a little imperfect, the way a jar should be.&lt;/p&gt;</t>
        </is>
      </c>
      <c r="Z55" s="29" t="inlineStr">
        <is>
          <t>ok</t>
        </is>
      </c>
      <c r="AA55" t="n">
        <v>86</v>
      </c>
      <c r="AB55" s="44" t="n">
        <v>18729.84</v>
      </c>
      <c r="AC55" t="n">
        <v>180</v>
      </c>
      <c r="AD55" s="45" t="n">
        <v>0.002146008189232165</v>
      </c>
      <c r="AE55" s="45" t="n">
        <v>0.005407437578709636</v>
      </c>
      <c r="AF55" t="n">
        <v>31</v>
      </c>
    </row>
    <row r="56" ht="109.5" customHeight="1" s="24">
      <c r="A56" s="30" t="inlineStr">
        <is>
          <t>AUMJ-NW-015</t>
        </is>
      </c>
      <c r="B56" s="30" t="inlineStr">
        <is>
          <t>Walking on Sunshine Bouquet in Mason Jar</t>
        </is>
      </c>
      <c r="C56" s="30" t="inlineStr">
        <is>
          <t>Mason Jar</t>
        </is>
      </c>
      <c r="D56" s="43" t="inlineStr">
        <is>
          <t>READY TO REVIEW</t>
        </is>
      </c>
      <c r="E56" s="30" t="inlineStr">
        <is>
          <t>Cheerful alstroemeria, bright gerberas and classic roses spill from a charming mason jar, radiating pure sunshine. This joyful bouquet lifts the spirits and brings a burst of colour to any room, ready to make someone smile the moment it arrives.</t>
        </is>
      </c>
      <c r="F56" s="30" t="inlineStr">
        <is>
          <t>Shopify (28 Sep)</t>
        </is>
      </c>
      <c r="G56" s="30" t="inlineStr">
        <is>
          <t>3 × Roses Peach; 3 × Gerbera Daisies Yellow; 1 × Baby's Breath; 1 × Ruscus Israeli; 1 × Mason Jar; 1 × Alstroemeria Yellow; 1 × Alstroemeria orange</t>
        </is>
      </c>
      <c r="H56" s="30" t="inlineStr">
        <is>
          <t>3 × Roses Peach; 3 × Gerbera Daisies Yellow; 1 × Baby's Breath; 1 × Ruscus Israeli; 1 × Mason Jar; 1 × Alstroemeria Yellow; 1 × Alstroemeria orange</t>
        </is>
      </c>
      <c r="I56" s="30" t="inlineStr">
        <is>
          <t>3 × Roses Peach; 3 × Gerbera Daisies Yellow; 1 × Baby's Breath; 1 × Ruscus Israeli; 1 × Mason Jar; 1 × Alstroemeria Yellow; 1 × Alstroemeria orange</t>
        </is>
      </c>
      <c r="J56" s="30" t="inlineStr">
        <is>
          <t>1 × Baby's Breath; 1 × Alstroemeria orange; 1 × Alstroemeria Yellow; 1 × Mason Jar; 1 × Ruscus Israeli; 3 × Gerbera Daisies Yellow; 3 × Roses Peach</t>
        </is>
      </c>
      <c r="K56" s="30" t="inlineStr">
        <is>
          <t>Y</t>
        </is>
      </c>
      <c r="L56" s="30" t="n"/>
      <c r="M56" s="30" t="inlineStr">
        <is>
          <t>A hand-arranged mason jar bouquet of 3 peach roses, 3 yellow gerberas, 1 orange alstroemeria and 1 yellow alstroemeria. A lovely way to mark a get-well wish or a thank-you, with a mason jar to keep once the flowers are gone.</t>
        </is>
      </c>
      <c r="N56" s="30">
        <f>LEN(TRIM(SUBSTITUTE(M56,CHAR(10)," ")))-LEN(SUBSTITUTE(TRIM(SUBSTITUTE(M56,CHAR(10)," "))," ",""))+1</f>
        <v/>
      </c>
      <c r="O56" s="30" t="inlineStr">
        <is>
          <t>&lt;p&gt;A hand-arranged mason jar bouquet of 3 peach roses, 3 yellow gerberas, 1 orange alstroemeria and 1 yellow alstroemeria. A lovely way to mark a get-well wish or a thank-you, with a mason jar to keep once the flowers are gone.&lt;/p&gt;</t>
        </is>
      </c>
      <c r="P56" s="29" t="inlineStr">
        <is>
          <t>ok</t>
        </is>
      </c>
      <c r="Q56" s="30" t="inlineStr">
        <is>
          <t>Walking on Sunshine Bouquet in Mason Jar brings together 3 peach roses, 3 yellow gerberas, 1 orange alstroemeria and 1 yellow alstroemeria, presented in a mason jar you can keep. It suits a get-well wish or a thank-you.
Yellow tones say friendship and cheer. We hand-arrange each one at Aussie Blooms so it looks the way you pictured it, ready for a summer table. Stems can vary with the season, while the yellow and peach palette stays.</t>
        </is>
      </c>
      <c r="R56" s="30" t="inlineStr">
        <is>
          <t>&lt;p&gt;Walking on Sunshine Bouquet in Mason Jar brings together 3 peach roses, 3 yellow gerberas, 1 orange alstroemeria and 1 yellow alstroemeria, presented in a mason jar you can keep. It suits a get-well wish or a thank-you.&lt;/p&gt;&lt;p&gt;Yellow tones say friendship and cheer. We hand-arrange each one at Aussie Blooms so it looks the way you pictured it, ready for a summer table. Stems can vary with the season, while the yellow and peach palette stays.&lt;/p&gt;</t>
        </is>
      </c>
      <c r="S56" s="29" t="inlineStr">
        <is>
          <t>ok</t>
        </is>
      </c>
      <c r="T56" s="30" t="inlineStr">
        <is>
          <t>In the jar: 3 peach roses, 3 yellow gerberas, 1 orange alstroemeria and 1 yellow alstroemeria. Brings the colour in before anyone has said hello.</t>
        </is>
      </c>
      <c r="U56" s="30" t="inlineStr">
        <is>
          <t>&lt;p&gt;In the jar: 3 peach roses, 3 yellow gerberas, 1 orange alstroemeria and 1 yellow alstroemeria. Brings the colour in before anyone has said hello.&lt;/p&gt;</t>
        </is>
      </c>
      <c r="V56" s="29" t="inlineStr">
        <is>
          <t>ok</t>
        </is>
      </c>
      <c r="W56" s="30" t="inlineStr">
        <is>
          <t>White Christmas Rose</t>
        </is>
      </c>
      <c r="X56" s="30" t="inlineStr">
        <is>
          <t>White Christmas Rose tucks 3 peach roses, 3 yellow gerberas, 1 orange alstroemeria and 1 yellow alstroemeria into a relaxed mason jar. Lovely on a bedside table, or anywhere it can be seen. A good fit for a get-well wish or a thank-you.</t>
        </is>
      </c>
      <c r="Y56" s="30" t="inlineStr">
        <is>
          <t>&lt;p&gt;White Christmas Rose tucks 3 peach roses, 3 yellow gerberas, 1 orange alstroemeria and 1 yellow alstroemeria into a relaxed mason jar. Lovely on a bedside table, or anywhere it can be seen. A good fit for a get-well wish or a thank-you.&lt;/p&gt;</t>
        </is>
      </c>
      <c r="Z56" s="29" t="inlineStr">
        <is>
          <t>ok</t>
        </is>
      </c>
      <c r="AA56" t="n">
        <v>63</v>
      </c>
      <c r="AB56" s="44" t="n">
        <v>34082.49</v>
      </c>
      <c r="AC56" t="n">
        <v>448</v>
      </c>
      <c r="AD56" s="45" t="n">
        <v>0.00390506820396882</v>
      </c>
      <c r="AE56" s="45" t="n">
        <v>0.009839856464443658</v>
      </c>
      <c r="AF56" t="n">
        <v>23</v>
      </c>
    </row>
    <row r="57" ht="109.5" customHeight="1" s="24">
      <c r="A57" s="30" t="inlineStr">
        <is>
          <t>AUMJ-NW-016</t>
        </is>
      </c>
      <c r="B57" s="30" t="inlineStr">
        <is>
          <t>Grandeur Bouquet in Mason Jar</t>
        </is>
      </c>
      <c r="C57" s="30" t="inlineStr">
        <is>
          <t>Mason Jar</t>
        </is>
      </c>
      <c r="D57" s="43" t="inlineStr">
        <is>
          <t>READY TO REVIEW</t>
        </is>
      </c>
      <c r="E57" s="30" t="inlineStr">
        <is>
          <t>Generous alstroemeria, soft carnations and an abundance of roses fill this mason jar with romance and richness. The Grandeur Bouquet makes a memorable statement for an anniversary, a milestone birthday, or a heartfelt note of congratulations.</t>
        </is>
      </c>
      <c r="F57" s="30" t="inlineStr">
        <is>
          <t>Shopify (28 Sep)</t>
        </is>
      </c>
      <c r="G57" s="30" t="inlineStr">
        <is>
          <t>2 × Roses Spray Pink; 2 × Roses White; 1 × Carnation Yellow; 2 × Ruscus Israeli; 1 × Mason Jar; 2 × Alstroemeria Pink</t>
        </is>
      </c>
      <c r="H57" s="30" t="inlineStr">
        <is>
          <t>2 × Roses Spray Pink; 2 × Roses White; 1 × Carnation Yellow; 2 × Ruscus Israeli; 1 × Mason Jar; 2 × Alstroemeria Pink</t>
        </is>
      </c>
      <c r="I57" s="30" t="inlineStr">
        <is>
          <t>2 × Roses Spray Pink; 2 × Roses White; 1 × Carnation Yellow; 2 × Ruscus Israeli; 1 × Mason Jar; 2 × Alstroemeria Pink</t>
        </is>
      </c>
      <c r="J57" s="30" t="inlineStr">
        <is>
          <t>1 × Carnation Yellow; 2 × Alstroemeria Pink; 1 × Mason Jar; 2 × Ruscus Israeli; 2 × Roses White; 2 × Roses Spray Pink</t>
        </is>
      </c>
      <c r="K57" s="30" t="inlineStr">
        <is>
          <t>Y</t>
        </is>
      </c>
      <c r="L57" s="30" t="n"/>
      <c r="M57" s="30" t="inlineStr">
        <is>
          <t>A hand-arranged mason jar bouquet of 2 pink alstroemeria, 2 pink spray roses, 2 white roses and 1 yellow carnation. A lovely way to mark a birthday, a thank-you or a just-because moment, with a mason jar to keep once the flowers are gone.</t>
        </is>
      </c>
      <c r="N57" s="30">
        <f>LEN(TRIM(SUBSTITUTE(M57,CHAR(10)," ")))-LEN(SUBSTITUTE(TRIM(SUBSTITUTE(M57,CHAR(10)," "))," ",""))+1</f>
        <v/>
      </c>
      <c r="O57" s="30" t="inlineStr">
        <is>
          <t>&lt;p&gt;A hand-arranged mason jar bouquet of 2 pink alstroemeria, 2 pink spray roses, 2 white roses and 1 yellow carnation. A lovely way to mark a birthday, a thank-you or a just-because moment, with a mason jar to keep once the flowers are gone.&lt;/p&gt;</t>
        </is>
      </c>
      <c r="P57" s="29" t="inlineStr">
        <is>
          <t>ok</t>
        </is>
      </c>
      <c r="Q57" s="30" t="inlineStr">
        <is>
          <t>Grandeur Bouquet in Mason Jar brings together 2 pink alstroemeria, 2 pink spray roses, 2 white roses and 1 yellow carnation, presented in a mason jar you can keep. It suits a birthday, a thank-you or a just-because moment.
Pink tones say affection. We hand-arrange each one at Aussie Blooms so it looks the way you pictured it, ready for a summer table. Stems can vary with the season, while the pink and white palette stays.</t>
        </is>
      </c>
      <c r="R57" s="30" t="inlineStr">
        <is>
          <t>&lt;p&gt;Grandeur Bouquet in Mason Jar brings together 2 pink alstroemeria, 2 pink spray roses, 2 white roses and 1 yellow carnation, presented in a mason jar you can keep. It suits a birthday, a thank-you or a just-because moment.&lt;/p&gt;&lt;p&gt;Pink tones say affection. We hand-arrange each one at Aussie Blooms so it looks the way you pictured it, ready for a summer table. Stems can vary with the season, while the pink and white palette stays.&lt;/p&gt;</t>
        </is>
      </c>
      <c r="S57" s="29" t="inlineStr">
        <is>
          <t>ok</t>
        </is>
      </c>
      <c r="T57" s="30" t="inlineStr">
        <is>
          <t>In the jar: 2 pink alstroemeria, 2 pink spray roses, 2 white roses and 1 yellow carnation. Brings the colour in before anyone has said hello.</t>
        </is>
      </c>
      <c r="U57" s="30" t="inlineStr">
        <is>
          <t>&lt;p&gt;In the jar: 2 pink alstroemeria, 2 pink spray roses, 2 white roses and 1 yellow carnation. Brings the colour in before anyone has said hello.&lt;/p&gt;</t>
        </is>
      </c>
      <c r="V57" s="29" t="inlineStr">
        <is>
          <t>ok</t>
        </is>
      </c>
      <c r="W57" s="30" t="inlineStr">
        <is>
          <t>Southern Stars</t>
        </is>
      </c>
      <c r="X57" s="30" t="inlineStr">
        <is>
          <t>Southern Stars tucks 2 pink alstroemeria, 2 pink spray roses, 2 white roses and 1 yellow carnation into a relaxed mason jar. Lovely on a bedside table, or anywhere it can be seen. A good fit for a birthday, a thank-you or a just-because moment.</t>
        </is>
      </c>
      <c r="Y57" s="30" t="inlineStr">
        <is>
          <t>&lt;p&gt;Southern Stars tucks 2 pink alstroemeria, 2 pink spray roses, 2 white roses and 1 yellow carnation into a relaxed mason jar. Lovely on a bedside table, or anywhere it can be seen. A good fit for a birthday, a thank-you or a just-because moment.&lt;/p&gt;</t>
        </is>
      </c>
      <c r="Z57" s="29" t="inlineStr">
        <is>
          <t>ok</t>
        </is>
      </c>
      <c r="AA57" t="n">
        <v>46</v>
      </c>
      <c r="AB57" s="44" t="n">
        <v>48675.56</v>
      </c>
      <c r="AC57" t="n">
        <v>523</v>
      </c>
      <c r="AD57" s="45" t="n">
        <v>0.005577098078119085</v>
      </c>
      <c r="AE57" s="45" t="n">
        <v>0.01405297979713712</v>
      </c>
      <c r="AF57" t="n">
        <v>17</v>
      </c>
    </row>
    <row r="58" ht="109.5" customHeight="1" s="24">
      <c r="A58" s="30" t="inlineStr">
        <is>
          <t>AUMJ-NW-017</t>
        </is>
      </c>
      <c r="B58" s="30" t="inlineStr">
        <is>
          <t>Pastel Buttercup Bouquet in Mason Jar</t>
        </is>
      </c>
      <c r="C58" s="30" t="inlineStr">
        <is>
          <t>Mason Jar</t>
        </is>
      </c>
      <c r="D58" s="43" t="inlineStr">
        <is>
          <t>READY TO REVIEW</t>
        </is>
      </c>
      <c r="E58" s="30" t="inlineStr">
        <is>
          <t>An abundance of soft pastel roses with a touch of alstroemeria, gathered in a rustic mason jar for a look that is gentle and pretty. The Pastel Buttercup Bouquet is a charming way to celebrate an anniversary, a birthday, or to send warm congratulations.</t>
        </is>
      </c>
      <c r="F58" s="30" t="inlineStr">
        <is>
          <t>Shopify (28 Sep)</t>
        </is>
      </c>
      <c r="G58" s="30" t="inlineStr">
        <is>
          <t>3 × Roses White; 2 × Roses Peach; 2 × Roses light pink; 1 × Baby's Breath; 1 × Ruscus Israeli; 1 × Mason Jar; 1 × Alstroemeria Pink; 1 × Alstroemeria Pink/White</t>
        </is>
      </c>
      <c r="H58" s="30" t="inlineStr">
        <is>
          <t>3 × Roses White; 2 × Roses Peach; 2 × Roses light pink; 1 × Baby's Breath; 1 × Ruscus Israeli; 1 × Mason Jar; 1 × Alstroemeria Pink; 1 × Alstroemeria Pink/White</t>
        </is>
      </c>
      <c r="I58" s="30" t="inlineStr">
        <is>
          <t>3 × Roses White; 2 × Roses Peach; 2 × Roses light pink; 1 × Baby's Breath; 1 × Ruscus Israeli; 1 × Mason Jar; 1 × Alstroemeria Pink; 1 × Alstroemeria Pink/White</t>
        </is>
      </c>
      <c r="J58" s="30" t="inlineStr">
        <is>
          <t>1 × Baby's Breath; 1 × Alstroemeria Pink/White; 1 × Alstroemeria Pink; 1 × Mason Jar; 1 × Ruscus Israeli; 2 × Roses light pink; 2 × Roses Peach; 3 × Roses White</t>
        </is>
      </c>
      <c r="K58" s="30" t="inlineStr">
        <is>
          <t>Y</t>
        </is>
      </c>
      <c r="L58" s="30" t="n"/>
      <c r="M58" s="30" t="inlineStr">
        <is>
          <t>A mason jar arrangement of 3 white roses, 2 light pink roses, 2 peach roses, 1 pink alstroemeria and 1 pink and white alstroemeria. A lovely way to mark a birthday, a thank-you or a just-because moment, and the mason jar stays useful long after.</t>
        </is>
      </c>
      <c r="N58" s="30">
        <f>LEN(TRIM(SUBSTITUTE(M58,CHAR(10)," ")))-LEN(SUBSTITUTE(TRIM(SUBSTITUTE(M58,CHAR(10)," "))," ",""))+1</f>
        <v/>
      </c>
      <c r="O58" s="30" t="inlineStr">
        <is>
          <t>&lt;p&gt;A mason jar arrangement of 3 white roses, 2 light pink roses, 2 peach roses, 1 pink alstroemeria and 1 pink and white alstroemeria. A lovely way to mark a birthday, a thank-you or a just-because moment, and the mason jar stays useful long after.&lt;/p&gt;</t>
        </is>
      </c>
      <c r="P58" s="29" t="inlineStr">
        <is>
          <t>ok</t>
        </is>
      </c>
      <c r="Q58" s="30" t="inlineStr">
        <is>
          <t>Pastel Buttercup Bouquet in Mason Jar brings together 3 white roses, 2 light pink roses, 2 peach roses, 1 pink alstroemeria and 1 pink and white alstroemeria, presented in a mason jar you can keep. It suits a birthday, a thank-you or a just-because moment.
White tones say calm and a fresh start. We hand-arrange each one at Aussie Blooms so it looks the way you pictured it, ready for the kitchen bench. Stems can vary with the season, while the white and light pink palette stays.</t>
        </is>
      </c>
      <c r="R58" s="30" t="inlineStr">
        <is>
          <t>&lt;p&gt;Pastel Buttercup Bouquet in Mason Jar brings together 3 white roses, 2 light pink roses, 2 peach roses, 1 pink alstroemeria and 1 pink and white alstroemeria, presented in a mason jar you can keep. It suits a birthday, a thank-you or a just-because moment.&lt;/p&gt;&lt;p&gt;White tones say calm and a fresh start. We hand-arrange each one at Aussie Blooms so it looks the way you pictured it, ready for the kitchen bench. Stems can vary with the season, while the white and light pink palette stays.&lt;/p&gt;</t>
        </is>
      </c>
      <c r="S58" s="29" t="inlineStr">
        <is>
          <t>ok</t>
        </is>
      </c>
      <c r="T58" s="30" t="inlineStr">
        <is>
          <t>In the jar: 3 white roses, 2 light pink roses, 2 peach roses, 1 pink alstroemeria and 1 pink and white alstroemeria. Soft colours that make a quiet room feel looked after.</t>
        </is>
      </c>
      <c r="U58" s="30" t="inlineStr">
        <is>
          <t>&lt;p&gt;In the jar: 3 white roses, 2 light pink roses, 2 peach roses, 1 pink alstroemeria and 1 pink and white alstroemeria. Soft colours that make a quiet room feel looked after.&lt;/p&gt;</t>
        </is>
      </c>
      <c r="V58" s="29" t="inlineStr">
        <is>
          <t>ok</t>
        </is>
      </c>
      <c r="W58" s="30" t="inlineStr">
        <is>
          <t>100 Festive Peruvian Lilies</t>
        </is>
      </c>
      <c r="X58" s="30" t="inlineStr">
        <is>
          <t>100 Festive Peruvian Lilies gathers 3 white roses, 2 light pink roses, 2 peach roses, 1 pink alstroemeria and 1 pink and white alstroemeria into a relaxed mason jar. Right at home on a kitchen bench next to the morning cuppa. Made for a birthday, a thank-you or a just-because moment. A little wild, a little imperfect, the way a jar should be.</t>
        </is>
      </c>
      <c r="Y58" s="30" t="inlineStr">
        <is>
          <t>&lt;p&gt;100 Festive Peruvian Lilies gathers 3 white roses, 2 light pink roses, 2 peach roses, 1 pink alstroemeria and 1 pink and white alstroemeria into a relaxed mason jar. Right at home on a kitchen bench next to the morning cuppa. Made for a birthday, a thank-you or a just-because moment. A little wild, a little imperfect, the way a jar should be.&lt;/p&gt;</t>
        </is>
      </c>
      <c r="Z58" s="29" t="inlineStr">
        <is>
          <t>ok</t>
        </is>
      </c>
      <c r="AA58" t="n">
        <v>3</v>
      </c>
      <c r="AB58" s="44" t="n">
        <v>328366.32</v>
      </c>
      <c r="AC58" t="n">
        <v>3810</v>
      </c>
      <c r="AD58" s="45" t="n">
        <v>0.03762321623527282</v>
      </c>
      <c r="AE58" s="45" t="n">
        <v>0.09480168543780107</v>
      </c>
      <c r="AF58" t="n">
        <v>2</v>
      </c>
    </row>
    <row r="59" ht="109.5" customHeight="1" s="24">
      <c r="A59" s="30" t="inlineStr">
        <is>
          <t>AUMJ-NW-018</t>
        </is>
      </c>
      <c r="B59" s="30" t="inlineStr">
        <is>
          <t>Summer Lovin’ Bouquet in Mason Jar</t>
        </is>
      </c>
      <c r="C59" s="30" t="inlineStr">
        <is>
          <t>Mason Jar</t>
        </is>
      </c>
      <c r="D59" s="43" t="inlineStr">
        <is>
          <t>READY TO REVIEW</t>
        </is>
      </c>
      <c r="E59" s="30" t="inlineStr">
        <is>
          <t>Sixteen chrysanthemums, thirteen roses, nine alstroemeria, nine carnations and nine gerberas overflow from a charming mason jar in a riot of summer colour. Summer Lovin' is pure, joyful abundance, perfect for celebrating life's happy moments.</t>
        </is>
      </c>
      <c r="F59" s="30" t="inlineStr">
        <is>
          <t>Shopify (28 Sep)</t>
        </is>
      </c>
      <c r="G59" s="30" t="inlineStr">
        <is>
          <t>2 × Roses Peach; 1 × Chrysanthemum button Yellow; 2 × Gerbera Daisies Orange; 1 × Chrysanthemum Spray White; 2 × Ruscus Israeli; 1 × Mason Jar; 1 × Alstroemeria Yellow; 1 × Mini Carnations Pink</t>
        </is>
      </c>
      <c r="H59" s="30" t="inlineStr">
        <is>
          <t>2 × Roses Peach; 1 × Chrysanthemum button Yellow; 2 × Gerbera Daisies Orange; 1 × Chrysanthemum Spray White; 2 × Ruscus Israeli; 1 × Mason Jar; 1 × Alstroemeria Yellow; 1 × Mini Carnations Pink</t>
        </is>
      </c>
      <c r="I59" s="30" t="inlineStr">
        <is>
          <t>2 × Roses Peach; 1 × Chrysanthemum button Yellow; 2 × Gerbera Daisies Orange; 1 × Chrysanthemum Spray White; 2 × Ruscus Israeli; 1 × Mason Jar; 1 × Alstroemeria Yellow; 1 × Mini Carnations Pink</t>
        </is>
      </c>
      <c r="J59" s="30" t="inlineStr">
        <is>
          <t>1 × Chrysanthemum Spray White; 1 × Mini Carnations Pink; 1 × Alstroemeria Yellow; 1 × Mason Jar; 2 × Ruscus Israeli; 2 × Gerbera Daisies Orange; 1 × Chrysanthemum button Yellow; 2 × Roses Peach</t>
        </is>
      </c>
      <c r="K59" s="30" t="inlineStr">
        <is>
          <t>Y</t>
        </is>
      </c>
      <c r="L59" s="30" t="n"/>
      <c r="M59" s="30" t="inlineStr">
        <is>
          <t>A mason jar arrangement of 2 orange gerberas, 2 peach roses, 1 white spray chrysanthemum and 1 yellow alstroemeria. A warm gift for a birthday, a thank-you or a just-because moment, and the mason jar stays useful long after.</t>
        </is>
      </c>
      <c r="N59" s="30">
        <f>LEN(TRIM(SUBSTITUTE(M59,CHAR(10)," ")))-LEN(SUBSTITUTE(TRIM(SUBSTITUTE(M59,CHAR(10)," "))," ",""))+1</f>
        <v/>
      </c>
      <c r="O59" s="30" t="inlineStr">
        <is>
          <t>&lt;p&gt;A mason jar arrangement of 2 orange gerberas, 2 peach roses, 1 white spray chrysanthemum and 1 yellow alstroemeria. A warm gift for a birthday, a thank-you or a just-because moment, and the mason jar stays useful long after.&lt;/p&gt;</t>
        </is>
      </c>
      <c r="P59" s="29" t="inlineStr">
        <is>
          <t>ok</t>
        </is>
      </c>
      <c r="Q59" s="30" t="inlineStr">
        <is>
          <t>Summer Lovin’ Bouquet in Mason Jar brings together 2 orange gerberas, 2 peach roses, 1 white spray chrysanthemum and 1 yellow alstroemeria, presented in a mason jar you can keep. It suits a birthday, a thank-you or a just-because moment.
Orange tones say warmth and energy. We hand-arrange each one at Aussie Blooms so it looks the way you pictured it, ready for the kitchen bench. Stems can vary with the season, while the orange and peach palette stays.</t>
        </is>
      </c>
      <c r="R59" s="30" t="inlineStr">
        <is>
          <t>&lt;p&gt;Summer Lovin’ Bouquet in Mason Jar brings together 2 orange gerberas, 2 peach roses, 1 white spray chrysanthemum and 1 yellow alstroemeria, presented in a mason jar you can keep. It suits a birthday, a thank-you or a just-because moment.&lt;/p&gt;&lt;p&gt;Orange tones say warmth and energy. We hand-arrange each one at Aussie Blooms so it looks the way you pictured it, ready for the kitchen bench. Stems can vary with the season, while the orange and peach palette stays.&lt;/p&gt;</t>
        </is>
      </c>
      <c r="S59" s="29" t="inlineStr">
        <is>
          <t>ok</t>
        </is>
      </c>
      <c r="T59" s="30" t="inlineStr">
        <is>
          <t>Inside the jar: 2 orange gerberas, 2 peach roses, 1 white spray chrysanthemum and 1 yellow alstroemeria. Bright on purpose, and hard to walk past without smiling.</t>
        </is>
      </c>
      <c r="U59" s="30" t="inlineStr">
        <is>
          <t>&lt;p&gt;Inside the jar: 2 orange gerberas, 2 peach roses, 1 white spray chrysanthemum and 1 yellow alstroemeria. Bright on purpose, and hard to walk past without smiling.&lt;/p&gt;</t>
        </is>
      </c>
      <c r="V59" s="29" t="inlineStr">
        <is>
          <t>ok</t>
        </is>
      </c>
      <c r="W59" s="30" t="inlineStr">
        <is>
          <t>Violet Garden</t>
        </is>
      </c>
      <c r="X59" s="30" t="inlineStr">
        <is>
          <t>Violet Garden gathers 2 orange gerberas, 2 peach roses, 1 white spray chrysanthemum and 1 yellow alstroemeria into a relaxed mason jar. Right at home on a kitchen bench next to the morning cuppa. Made for a birthday, a thank-you or a just-because moment.</t>
        </is>
      </c>
      <c r="Y59" s="30" t="inlineStr">
        <is>
          <t>&lt;p&gt;Violet Garden gathers 2 orange gerberas, 2 peach roses, 1 white spray chrysanthemum and 1 yellow alstroemeria into a relaxed mason jar. Right at home on a kitchen bench next to the morning cuppa. Made for a birthday, a thank-you or a just-because moment.&lt;/p&gt;</t>
        </is>
      </c>
      <c r="Z59" s="29" t="inlineStr">
        <is>
          <t>ok</t>
        </is>
      </c>
      <c r="AA59" t="n">
        <v>162</v>
      </c>
      <c r="AB59" s="44" t="n">
        <v>4818.21</v>
      </c>
      <c r="AC59" t="n">
        <v>54</v>
      </c>
      <c r="AD59" s="45" t="n">
        <v>0.0005520558700683139</v>
      </c>
      <c r="AE59" s="45" t="n">
        <v>0.001391051381972006</v>
      </c>
      <c r="AF59" t="n">
        <v>45</v>
      </c>
    </row>
    <row r="60" ht="109.5" customHeight="1" s="24">
      <c r="A60" s="30" t="inlineStr">
        <is>
          <t>AUMJ-NW-019</t>
        </is>
      </c>
      <c r="B60" s="30" t="inlineStr">
        <is>
          <t>Garden Party Bouquet in Mason Jar</t>
        </is>
      </c>
      <c r="C60" s="30" t="inlineStr">
        <is>
          <t>Mason Jar</t>
        </is>
      </c>
      <c r="D60" s="43" t="inlineStr">
        <is>
          <t>READY TO REVIEW</t>
        </is>
      </c>
      <c r="E60" s="30" t="inlineStr">
        <is>
          <t>Nineteen carnations, seventeen gerberas, fourteen alstroemeria, twelve roses and twelve daisies spill from a charming mason jar in true garden-party style. Fresh and joyful, it's a delightful way to celebrate a birthday, an anniversary or a heartfelt congratulations.</t>
        </is>
      </c>
      <c r="F60" s="30" t="inlineStr">
        <is>
          <t>Shopify (28 Sep)</t>
        </is>
      </c>
      <c r="G60" s="30" t="inlineStr">
        <is>
          <t>2 × Roses Yellow; 2 × Gerbera Daisies Hot Pink; 2 × Carnation Purple; 2 × Daisy poms purple; 1 × Ruscus Israeli; 1 × Mason Jar; 1 × Alstroemeria Pink; 1 × Alstroemeria orange; 1 × Mini Carnations Hot Pink</t>
        </is>
      </c>
      <c r="H60" s="30" t="inlineStr">
        <is>
          <t>2 × Roses Yellow; 2 × Gerbera Daisies Hot Pink; 2 × Carnation Purple; 2 × Daisy poms purple; 1 × Ruscus Israeli; 1 × Mason Jar; 1 × Alstroemeria Pink; 1 × Alstroemeria orange; 1 × Mini Carnations Hot Pink</t>
        </is>
      </c>
      <c r="I60" s="30" t="inlineStr">
        <is>
          <t>2 × Roses Yellow; 2 × Gerbera Daisies Hot Pink; 2 × Carnation Purple; 2 × Daisy poms purple; 1 × Ruscus Israeli; 1 × Mason Jar; 1 × Alstroemeria Pink; 1 × Alstroemeria orange; 1 × Mini Carnations Hot Pink</t>
        </is>
      </c>
      <c r="J60" s="30" t="inlineStr">
        <is>
          <t>2 × Daisy poms purple; 1 × Mini Carnations Hot Pink; 1 × Alstroemeria orange; 1 × Alstroemeria Pink; 1 × Mason Jar; 1 × Ruscus Israeli; 2 × Carnation Purple; 2 × Gerbera Daisies Hot Pink; 2 × Roses Yellow</t>
        </is>
      </c>
      <c r="K60" s="30" t="inlineStr">
        <is>
          <t>Y</t>
        </is>
      </c>
      <c r="L60" s="30" t="n"/>
      <c r="M60" s="30" t="inlineStr">
        <is>
          <t>A mason jar arrangement of 2 hot pink gerberas, 2 purple carnations, 2 yellow roses, 1 orange alstroemeria and 1 pink alstroemeria. A warm gift for a birthday, a thank-you or a just-because moment, and the mason jar stays useful long after.</t>
        </is>
      </c>
      <c r="N60" s="30">
        <f>LEN(TRIM(SUBSTITUTE(M60,CHAR(10)," ")))-LEN(SUBSTITUTE(TRIM(SUBSTITUTE(M60,CHAR(10)," "))," ",""))+1</f>
        <v/>
      </c>
      <c r="O60" s="30" t="inlineStr">
        <is>
          <t>&lt;p&gt;A mason jar arrangement of 2 hot pink gerberas, 2 purple carnations, 2 yellow roses, 1 orange alstroemeria and 1 pink alstroemeria. A warm gift for a birthday, a thank-you or a just-because moment, and the mason jar stays useful long after.&lt;/p&gt;</t>
        </is>
      </c>
      <c r="P60" s="29" t="inlineStr">
        <is>
          <t>ok</t>
        </is>
      </c>
      <c r="Q60" s="30" t="inlineStr">
        <is>
          <t>Garden Party Bouquet in Mason Jar brings together 2 hot pink gerberas, 2 purple carnations, 2 yellow roses, 1 orange alstroemeria and 1 pink alstroemeria, presented in a mason jar you can keep. It suits a birthday, a thank-you or a just-because moment.
Purple tones say admiration. We hand-arrange each one at Aussie Blooms so it looks the way you pictured it, ready for the bedside table. Stems can vary with the season, while the purple and hot pink palette stays.</t>
        </is>
      </c>
      <c r="R60" s="30" t="inlineStr">
        <is>
          <t>&lt;p&gt;Garden Party Bouquet in Mason Jar brings together 2 hot pink gerberas, 2 purple carnations, 2 yellow roses, 1 orange alstroemeria and 1 pink alstroemeria, presented in a mason jar you can keep. It suits a birthday, a thank-you or a just-because moment.&lt;/p&gt;&lt;p&gt;Purple tones say admiration. We hand-arrange each one at Aussie Blooms so it looks the way you pictured it, ready for the bedside table. Stems can vary with the season, while the purple and hot pink palette stays.&lt;/p&gt;</t>
        </is>
      </c>
      <c r="S60" s="29" t="inlineStr">
        <is>
          <t>ok</t>
        </is>
      </c>
      <c r="T60" s="30" t="inlineStr">
        <is>
          <t>Inside the jar: 2 hot pink gerberas, 2 purple carnations, 2 yellow roses, 1 orange alstroemeria and 1 pink alstroemeria. Bright on purpose, and hard to walk past without smiling.</t>
        </is>
      </c>
      <c r="U60" s="30" t="inlineStr">
        <is>
          <t>&lt;p&gt;Inside the jar: 2 hot pink gerberas, 2 purple carnations, 2 yellow roses, 1 orange alstroemeria and 1 pink alstroemeria. Bright on purpose, and hard to walk past without smiling.&lt;/p&gt;</t>
        </is>
      </c>
      <c r="V60" s="29" t="inlineStr">
        <is>
          <t>ok</t>
        </is>
      </c>
      <c r="W60" s="30" t="inlineStr">
        <is>
          <t>Pure Delight</t>
        </is>
      </c>
      <c r="X60" s="30" t="inlineStr">
        <is>
          <t>Pure Delight nestles 2 hot pink gerberas, 2 purple carnations, 2 yellow roses, 1 orange alstroemeria and 1 pink alstroemeria into a relaxed mason jar. Happy on a sunny windowsill. Made for a birthday, a thank-you or a just-because moment. A little wild, a little imperfect, the way a jar should be.</t>
        </is>
      </c>
      <c r="Y60" s="30" t="inlineStr">
        <is>
          <t>&lt;p&gt;Pure Delight nestles 2 hot pink gerberas, 2 purple carnations, 2 yellow roses, 1 orange alstroemeria and 1 pink alstroemeria into a relaxed mason jar. Happy on a sunny windowsill. Made for a birthday, a thank-you or a just-because moment. A little wild, a little imperfect, the way a jar should be.&lt;/p&gt;</t>
        </is>
      </c>
      <c r="Z60" s="29" t="inlineStr">
        <is>
          <t>ok</t>
        </is>
      </c>
      <c r="AA60" t="n">
        <v>19</v>
      </c>
      <c r="AB60" s="44" t="n">
        <v>128753.98</v>
      </c>
      <c r="AC60" t="n">
        <v>1226</v>
      </c>
      <c r="AD60" s="45" t="n">
        <v>0.01475223980472967</v>
      </c>
      <c r="AE60" s="45" t="n">
        <v>0.03717218615031168</v>
      </c>
      <c r="AF60" t="n">
        <v>10</v>
      </c>
    </row>
    <row r="61" ht="109.5" customHeight="1" s="24">
      <c r="A61" s="30" t="inlineStr">
        <is>
          <t>AUMJ-NW-020</t>
        </is>
      </c>
      <c r="B61" s="30" t="inlineStr">
        <is>
          <t>Spring Fling Bouquet in Mason Jar</t>
        </is>
      </c>
      <c r="C61" s="30" t="inlineStr">
        <is>
          <t>Mason Jar</t>
        </is>
      </c>
      <c r="D61" s="43" t="inlineStr">
        <is>
          <t>READY TO REVIEW</t>
        </is>
      </c>
      <c r="E61" s="30" t="inlineStr">
        <is>
          <t>Twenty-two roses join eighteen alstroemeria and eighteen chrysanthemums in a fresh, free-spirited mason jar bouquet. Spring Fling bursts with the bright optimism of the season, a lovely lift for any day or happy occasion.</t>
        </is>
      </c>
      <c r="F61" s="30" t="inlineStr">
        <is>
          <t>Shopify (28 Sep)</t>
        </is>
      </c>
      <c r="G61" s="30" t="inlineStr">
        <is>
          <t>4 × Roses Pink; 3 × Chrysanthemum Spray White; 1 × Baby's Breath; 2 × Ruscus Israeli; 1 × Mason Jar; 3 × Alstroemeria Pink</t>
        </is>
      </c>
      <c r="H61" s="30" t="inlineStr">
        <is>
          <t>4 × Roses Pink; 3 × Chrysanthemum Spray White; 1 × Baby's Breath; 2 × Ruscus Israeli; 1 × Mason Jar; 3 × Alstroemeria Pink</t>
        </is>
      </c>
      <c r="I61" s="30" t="inlineStr">
        <is>
          <t>4 × Roses Pink; 3 × Chrysanthemum Spray White; 1 × Baby's Breath; 2 × Ruscus Israeli; 1 × Mason Jar; 3 × Alstroemeria Pink</t>
        </is>
      </c>
      <c r="J61" s="30" t="inlineStr">
        <is>
          <t>1 × Baby's Breath; 3 × Alstroemeria Pink; 1 × Mason Jar; 2 × Ruscus Israeli; 3 × Chrysanthemum Spray White; 4 × Roses Pink</t>
        </is>
      </c>
      <c r="K61" s="30" t="inlineStr">
        <is>
          <t>Y</t>
        </is>
      </c>
      <c r="L61" s="30" t="n"/>
      <c r="M61" s="30" t="inlineStr">
        <is>
          <t>A hand-arranged mason jar bouquet of 4 pink roses, 3 pink alstroemeria and 3 white spray chrysanthemums. A thoughtful choice for a birthday, a thank-you or a just-because moment, with a mason jar to keep once the flowers are gone.</t>
        </is>
      </c>
      <c r="N61" s="30">
        <f>LEN(TRIM(SUBSTITUTE(M61,CHAR(10)," ")))-LEN(SUBSTITUTE(TRIM(SUBSTITUTE(M61,CHAR(10)," "))," ",""))+1</f>
        <v/>
      </c>
      <c r="O61" s="30" t="inlineStr">
        <is>
          <t>&lt;p&gt;A hand-arranged mason jar bouquet of 4 pink roses, 3 pink alstroemeria and 3 white spray chrysanthemums. A thoughtful choice for a birthday, a thank-you or a just-because moment, with a mason jar to keep once the flowers are gone.&lt;/p&gt;</t>
        </is>
      </c>
      <c r="P61" s="29" t="inlineStr">
        <is>
          <t>ok</t>
        </is>
      </c>
      <c r="Q61" s="30" t="inlineStr">
        <is>
          <t>Spring Fling Bouquet in Mason Jar brings together 4 pink roses, 3 pink alstroemeria and 3 white spray chrysanthemums, presented in a mason jar you can keep. It suits a birthday, a thank-you or a just-because moment.
Pink tones say affection. We hand-arrange each one at Aussie Blooms so it looks the way you pictured it, ready for a Sunday lunch. Stems can vary with the season, while the pink and white palette stays.</t>
        </is>
      </c>
      <c r="R61" s="30" t="inlineStr">
        <is>
          <t>&lt;p&gt;Spring Fling Bouquet in Mason Jar brings together 4 pink roses, 3 pink alstroemeria and 3 white spray chrysanthemums, presented in a mason jar you can keep. It suits a birthday, a thank-you or a just-because moment.&lt;/p&gt;&lt;p&gt;Pink tones say affection. We hand-arrange each one at Aussie Blooms so it looks the way you pictured it, ready for a Sunday lunch. Stems can vary with the season, while the pink and white palette stays.&lt;/p&gt;</t>
        </is>
      </c>
      <c r="S61" s="29" t="inlineStr">
        <is>
          <t>ok</t>
        </is>
      </c>
      <c r="T61" s="30" t="inlineStr">
        <is>
          <t>The jar holds: 4 pink roses, 3 pink alstroemeria and 3 white spray chrysanthemums. Gentle, easy on the eye, and ready for any table you give it.</t>
        </is>
      </c>
      <c r="U61" s="30" t="inlineStr">
        <is>
          <t>&lt;p&gt;The jar holds: 4 pink roses, 3 pink alstroemeria and 3 white spray chrysanthemums. Gentle, easy on the eye, and ready for any table you give it.&lt;/p&gt;</t>
        </is>
      </c>
      <c r="V61" s="29" t="inlineStr">
        <is>
          <t>ok</t>
        </is>
      </c>
      <c r="W61" s="30" t="inlineStr">
        <is>
          <t>50 Surprise Roses</t>
        </is>
      </c>
      <c r="X61" s="30" t="inlineStr">
        <is>
          <t>50 Surprise Roses settles 4 pink roses, 3 pink alstroemeria and 3 white spray chrysanthemums into a relaxed mason jar. Just right sitting on a bench where everyone can enjoy it. A good fit for a birthday, a thank-you or a just-because moment.</t>
        </is>
      </c>
      <c r="Y61" s="30" t="inlineStr">
        <is>
          <t>&lt;p&gt;50 Surprise Roses settles 4 pink roses, 3 pink alstroemeria and 3 white spray chrysanthemums into a relaxed mason jar. Just right sitting on a bench where everyone can enjoy it. A good fit for a birthday, a thank-you or a just-because moment.&lt;/p&gt;</t>
        </is>
      </c>
      <c r="Z61" s="29" t="inlineStr">
        <is>
          <t>ok</t>
        </is>
      </c>
      <c r="AA61" t="n">
        <v>47</v>
      </c>
      <c r="AB61" s="44" t="n">
        <v>47876.54</v>
      </c>
      <c r="AC61" t="n">
        <v>451</v>
      </c>
      <c r="AD61" s="45" t="n">
        <v>0.005485548563794528</v>
      </c>
      <c r="AE61" s="45" t="n">
        <v>0.01382229648168885</v>
      </c>
      <c r="AF61" t="n">
        <v>18</v>
      </c>
    </row>
    <row r="62" ht="109.5" customHeight="1" s="24">
      <c r="A62" s="30" t="inlineStr">
        <is>
          <t>AUMJ-NW-021</t>
        </is>
      </c>
      <c r="B62" s="30" t="inlineStr">
        <is>
          <t>Mum's for Mum Bouquet in Mason Jar</t>
        </is>
      </c>
      <c r="C62" s="30" t="inlineStr">
        <is>
          <t>Mason Jar</t>
        </is>
      </c>
      <c r="D62" s="43" t="inlineStr">
        <is>
          <t>READY TO REVIEW</t>
        </is>
      </c>
      <c r="E62" s="30" t="inlineStr">
        <is>
          <t>A lavish bunch of thirty-eight chrysanthemums, arranged in a charming mason jar, makes Mum's for Mum a heartfelt classic. Full of texture and colour, it is a lovely way to honour an anniversary, celebrate a birthday, or simply say thank you.</t>
        </is>
      </c>
      <c r="F62" s="30" t="inlineStr">
        <is>
          <t>Shopify (28 Sep)</t>
        </is>
      </c>
      <c r="G62" s="30" t="inlineStr">
        <is>
          <t>3 × Chrysanthemum button Pink; 2 × Chrysanthemum Daisies White; 2 × Ruscus Israeli; 1 × Mason Jar; 3 × Purple Disbuds</t>
        </is>
      </c>
      <c r="H62" s="30" t="inlineStr">
        <is>
          <t>3 × Chrysanthemum button Pink; 2 × Chrysanthemum Daisies White; 2 × Ruscus Israeli; 1 × Mason Jar; 3 × Purple Disbuds</t>
        </is>
      </c>
      <c r="I62" s="30" t="inlineStr">
        <is>
          <t>3 × Chrysanthemum button Pink; 2 × Chrysanthemum Daisies White; 2 × Ruscus Israeli; 1 × Mason Jar; 3 × Purple Disbuds</t>
        </is>
      </c>
      <c r="J62" s="30" t="inlineStr">
        <is>
          <t>2 × Ruscus Israeli; 3 × Purple Disbuds; 1 × Mason Jar; 2 × Chrysanthemum Daisies White; 3 × Chrysanthemum button Pink</t>
        </is>
      </c>
      <c r="K62" s="30" t="inlineStr">
        <is>
          <t>Y</t>
        </is>
      </c>
      <c r="L62" s="30" t="n"/>
      <c r="M62" s="30" t="inlineStr">
        <is>
          <t>A mason jar arrangement of 2 white chrysanthemum daisies. A lovely way to mark Mother's Day or a thank-you, and a bright moment when the door opens.</t>
        </is>
      </c>
      <c r="N62" s="30">
        <f>LEN(TRIM(SUBSTITUTE(M62,CHAR(10)," ")))-LEN(SUBSTITUTE(TRIM(SUBSTITUTE(M62,CHAR(10)," "))," ",""))+1</f>
        <v/>
      </c>
      <c r="O62" s="30" t="inlineStr">
        <is>
          <t>&lt;p&gt;A mason jar arrangement of 2 white chrysanthemum daisies. A lovely way to mark Mother's Day or a thank-you, and a bright moment when the door opens.&lt;/p&gt;</t>
        </is>
      </c>
      <c r="P62" s="29" t="inlineStr">
        <is>
          <t>ok</t>
        </is>
      </c>
      <c r="Q62" s="30" t="inlineStr">
        <is>
          <t>Mum's for Mum Bouquet in Mason Jar brings together 2 white chrysanthemum daisies, presented in a mason jar you can keep. It suits Mother's Day or a thank-you.
Pink tones say affection. We hand-arrange each one at Aussie Blooms so it looks the way you pictured it, ready for the bedside table. Stems can vary with the season, while the pink and white palette stays.</t>
        </is>
      </c>
      <c r="R62" s="30" t="inlineStr">
        <is>
          <t>&lt;p&gt;Mum's for Mum Bouquet in Mason Jar brings together 2 white chrysanthemum daisies, presented in a mason jar you can keep. It suits Mother's Day or a thank-you.&lt;/p&gt;&lt;p&gt;Pink tones say affection. We hand-arrange each one at Aussie Blooms so it looks the way you pictured it, ready for the bedside table. Stems can vary with the season, while the pink and white palette stays.&lt;/p&gt;</t>
        </is>
      </c>
      <c r="S62" s="29" t="inlineStr">
        <is>
          <t>ok</t>
        </is>
      </c>
      <c r="T62" s="30" t="inlineStr">
        <is>
          <t>Inside the jar: 2 white chrysanthemum daisies. Calm colour for the kind of day that deserves a pause.</t>
        </is>
      </c>
      <c r="U62" s="30" t="inlineStr">
        <is>
          <t>&lt;p&gt;Inside the jar: 2 white chrysanthemum daisies. Calm colour for the kind of day that deserves a pause.&lt;/p&gt;</t>
        </is>
      </c>
      <c r="V62" s="29" t="inlineStr">
        <is>
          <t>ok</t>
        </is>
      </c>
      <c r="W62" s="30" t="inlineStr">
        <is>
          <t>Quiet Comfort</t>
        </is>
      </c>
      <c r="X62" s="30" t="inlineStr">
        <is>
          <t>Quiet Comfort nestles 2 white chrysanthemum daisies into a relaxed mason jar. Happy on a sunny windowsill. Made for Mother's Day or a thank-you. A little wild, a little imperfect, the way a jar should be.</t>
        </is>
      </c>
      <c r="Y62" s="30" t="inlineStr">
        <is>
          <t>&lt;p&gt;Quiet Comfort nestles 2 white chrysanthemum daisies into a relaxed mason jar. Happy on a sunny windowsill. Made for Mother's Day or a thank-you. A little wild, a little imperfect, the way a jar should be.&lt;/p&gt;</t>
        </is>
      </c>
      <c r="Z62" s="29" t="inlineStr">
        <is>
          <t>ok</t>
        </is>
      </c>
      <c r="AA62" t="n">
        <v>34</v>
      </c>
      <c r="AB62" s="44" t="n">
        <v>61573.15</v>
      </c>
      <c r="AC62" t="n">
        <v>688</v>
      </c>
      <c r="AD62" s="45" t="n">
        <v>0.007054864773475739</v>
      </c>
      <c r="AE62" s="45" t="n">
        <v>0.01777660545762273</v>
      </c>
      <c r="AF62" t="n">
        <v>15</v>
      </c>
    </row>
    <row r="63" ht="109.5" customHeight="1" s="24">
      <c r="A63" s="30" t="inlineStr">
        <is>
          <t>AUMJ-NW-022</t>
        </is>
      </c>
      <c r="B63" s="30" t="inlineStr">
        <is>
          <t>Green with Envy Bouquet in Mason Jar</t>
        </is>
      </c>
      <c r="C63" s="30" t="inlineStr">
        <is>
          <t>Mason Jar</t>
        </is>
      </c>
      <c r="D63" s="43" t="inlineStr">
        <is>
          <t>READY TO REVIEW</t>
        </is>
      </c>
      <c r="E63" s="30" t="inlineStr">
        <is>
          <t>Fresh chrysanthemums, ruffled carnations and bright daisies come together in a lively green-and-white display, full of crisp, garden-fresh charm. Presented in a rustic mason jar, Green with Envy is a stylish choice for an anniversary, birthday or a well-earned congratulations.</t>
        </is>
      </c>
      <c r="F63" s="30" t="inlineStr">
        <is>
          <t>Shopify (28 Sep)</t>
        </is>
      </c>
      <c r="G63" s="30" t="inlineStr">
        <is>
          <t>2 × Fuji Spider Mums Green; 2 × Chrysanthemum Button Green; 1 × Limonium Yellow; 4 × Carnation Green; 1 × Chrysanthemum spray green; 2 × Daisy poms green; 2 × Ruscus Israeli; 1 × Mason Jar</t>
        </is>
      </c>
      <c r="H63" s="30" t="inlineStr">
        <is>
          <t>2 × Fuji Spider Mums Green; 2 × Chrysanthemum Button Green; 1 × Limonium Yellow; 4 × Carnation Green; 1 × Chrysanthemum spray green; 2 × Daisy poms green; 2 × Ruscus Israeli; 1 × Mason Jar</t>
        </is>
      </c>
      <c r="I63" s="30" t="inlineStr">
        <is>
          <t>2 × Fuji Spider Mums Green; 2 × Chrysanthemum Button Green; 1 × Limonium Yellow; 4 × Carnation Green; 1 × Chrysanthemum spray green; 2 × Daisy poms green; 2 × Ruscus Israeli; 1 × Mason Jar</t>
        </is>
      </c>
      <c r="J63" s="30" t="inlineStr">
        <is>
          <t>4 × Carnation Green; 1 × Mason Jar; 2 × Ruscus Israeli; 2 × Daisy poms green; 1 × Chrysanthemum spray green; 1 × Limonium Yellow; 2 × Chrysanthemum Button Green; 2 × Fuji Spider Mums Green</t>
        </is>
      </c>
      <c r="K63" s="30" t="inlineStr">
        <is>
          <t>Y</t>
        </is>
      </c>
      <c r="L63" s="30" t="n"/>
      <c r="M63" s="30" t="inlineStr">
        <is>
          <t>A hand-arranged mason jar bouquet of 4 green carnations, 2 green Fuji spider chrysanthemums and 1 green spray chrysanthemum. A thoughtful choice for a birthday, a thank-you or a just-because moment, with a mason jar to keep once the flowers are gone.</t>
        </is>
      </c>
      <c r="N63" s="30">
        <f>LEN(TRIM(SUBSTITUTE(M63,CHAR(10)," ")))-LEN(SUBSTITUTE(TRIM(SUBSTITUTE(M63,CHAR(10)," "))," ",""))+1</f>
        <v/>
      </c>
      <c r="O63" s="30" t="inlineStr">
        <is>
          <t>&lt;p&gt;A hand-arranged mason jar bouquet of 4 green carnations, 2 green Fuji spider chrysanthemums and 1 green spray chrysanthemum. A thoughtful choice for a birthday, a thank-you or a just-because moment, with a mason jar to keep once the flowers are gone.&lt;/p&gt;</t>
        </is>
      </c>
      <c r="P63" s="29" t="inlineStr">
        <is>
          <t>ok</t>
        </is>
      </c>
      <c r="Q63" s="30" t="inlineStr">
        <is>
          <t>Green with Envy Bouquet in Mason Jar brings together 4 green carnations, 2 green Fuji spider chrysanthemums and 1 green spray chrysanthemum, presented in a mason jar you can keep. It suits a birthday, a thank-you or a just-because moment.
Green tones say a fresh start. We hand-arrange each one at Aussie Blooms so it looks the way you pictured it, ready for a summer table. Stems can vary with the season, while the green palette stays.</t>
        </is>
      </c>
      <c r="R63" s="30" t="inlineStr">
        <is>
          <t>&lt;p&gt;Green with Envy Bouquet in Mason Jar brings together 4 green carnations, 2 green Fuji spider chrysanthemums and 1 green spray chrysanthemum, presented in a mason jar you can keep. It suits a birthday, a thank-you or a just-because moment.&lt;/p&gt;&lt;p&gt;Green tones say a fresh start. We hand-arrange each one at Aussie Blooms so it looks the way you pictured it, ready for a summer table. Stems can vary with the season, while the green palette stays.&lt;/p&gt;</t>
        </is>
      </c>
      <c r="S63" s="29" t="inlineStr">
        <is>
          <t>ok</t>
        </is>
      </c>
      <c r="T63" s="30" t="inlineStr">
        <is>
          <t>The jar holds: 4 green carnations, 2 green Fuji spider chrysanthemums and 1 green spray chrysanthemum. A simple good turn for a birthday, a thank-you or no reason at all.</t>
        </is>
      </c>
      <c r="U63" s="30" t="inlineStr">
        <is>
          <t>&lt;p&gt;The jar holds: 4 green carnations, 2 green Fuji spider chrysanthemums and 1 green spray chrysanthemum. A simple good turn for a birthday, a thank-you or no reason at all.&lt;/p&gt;</t>
        </is>
      </c>
      <c r="V63" s="29" t="inlineStr">
        <is>
          <t>ok</t>
        </is>
      </c>
      <c r="W63" s="30" t="inlineStr">
        <is>
          <t>Backyard Natives</t>
        </is>
      </c>
      <c r="X63" s="30" t="inlineStr">
        <is>
          <t>Backyard Natives tucks 4 green carnations, 2 green Fuji spider chrysanthemums and 1 green spray chrysanthemum into a relaxed mason jar. Lovely on a bedside table, or anywhere it can be seen. A good fit for a birthday, a thank-you or a just-because moment. A little wild, a little imperfect, the way a jar should be.</t>
        </is>
      </c>
      <c r="Y63" s="30" t="inlineStr">
        <is>
          <t>&lt;p&gt;Backyard Natives tucks 4 green carnations, 2 green Fuji spider chrysanthemums and 1 green spray chrysanthemum into a relaxed mason jar. Lovely on a bedside table, or anywhere it can be seen. A good fit for a birthday, a thank-you or a just-because moment. A little wild, a little imperfect, the way a jar should be.&lt;/p&gt;</t>
        </is>
      </c>
      <c r="Z63" s="29" t="inlineStr">
        <is>
          <t>ok</t>
        </is>
      </c>
      <c r="AA63" t="n">
        <v>67</v>
      </c>
      <c r="AB63" s="44" t="n">
        <v>30632.45</v>
      </c>
      <c r="AC63" t="n">
        <v>327</v>
      </c>
      <c r="AD63" s="45" t="n">
        <v>0.003509772868547112</v>
      </c>
      <c r="AE63" s="45" t="n">
        <v>0.008843804882640152</v>
      </c>
      <c r="AF63" t="n">
        <v>25</v>
      </c>
    </row>
    <row r="64" ht="109.5" customHeight="1" s="24">
      <c r="A64" s="30" t="inlineStr">
        <is>
          <t>AUMJ-NW-023</t>
        </is>
      </c>
      <c r="B64" s="30" t="inlineStr">
        <is>
          <t>Cure the Blues Bouquet in Mason Jar</t>
        </is>
      </c>
      <c r="C64" s="30" t="inlineStr">
        <is>
          <t>Mason Jar</t>
        </is>
      </c>
      <c r="D64" s="43" t="inlineStr">
        <is>
          <t>READY TO REVIEW</t>
        </is>
      </c>
      <c r="E64" s="30" t="inlineStr">
        <is>
          <t>Sixty-two soft carnations and six lush hydrangea blooms fill a charming mason jar with gentle, soothing colour. Tender and uplifting, it's the perfect pick-me-up to chase away the blues, celebrate a birthday or mark a happy anniversary.</t>
        </is>
      </c>
      <c r="F64" s="30" t="inlineStr">
        <is>
          <t>Shopify (28 Sep)</t>
        </is>
      </c>
      <c r="G64" s="30" t="inlineStr">
        <is>
          <t>1 × Limonium Yellow; 2 × Carnation Green; 2 × Carnation White; 2 × Ruscus Israeli; 1 × Mason Jar; 2 × Eryngium; 3 × Carnations Blue; 1 × Mini Carnations White</t>
        </is>
      </c>
      <c r="H64" s="30" t="inlineStr">
        <is>
          <t>1 × Limonium Yellow; 2 × Carnation Green; 2 × Carnation White; 2 × Ruscus Israeli; 1 × Mason Jar; 2 × Eryngium; 3 × Carnations Blue; 1 × Mini Carnations White</t>
        </is>
      </c>
      <c r="I64" s="30" t="inlineStr">
        <is>
          <t>1 × Limonium Yellow; 2 × Carnation Green; 2 × Carnation White; 2 × Ruscus Israeli; 1 × Mason Jar; 2 × Eryngium; 3 × Carnations Blue; 1 × Mini Carnations White</t>
        </is>
      </c>
      <c r="J64" s="30" t="inlineStr">
        <is>
          <t>2 × Ruscus Israeli; 1 × Mini Carnations White; 3 × Carnations Blue; 2 × Eryngium; 1 × Mason Jar; 2 × Carnation White; 2 × Carnation Green; 1 × Limonium Yellow</t>
        </is>
      </c>
      <c r="K64" s="30" t="inlineStr">
        <is>
          <t>Y</t>
        </is>
      </c>
      <c r="L64" s="30" t="n"/>
      <c r="M64" s="30" t="inlineStr">
        <is>
          <t>A mason jar arrangement of 3 blue carnations, 2 green carnations and 2 white carnations. A thoughtful choice for a get-well wish or a thank-you, and the mason jar stays useful long after.</t>
        </is>
      </c>
      <c r="N64" s="30">
        <f>LEN(TRIM(SUBSTITUTE(M64,CHAR(10)," ")))-LEN(SUBSTITUTE(TRIM(SUBSTITUTE(M64,CHAR(10)," "))," ",""))+1</f>
        <v/>
      </c>
      <c r="O64" s="30" t="inlineStr">
        <is>
          <t>&lt;p&gt;A mason jar arrangement of 3 blue carnations, 2 green carnations and 2 white carnations. A thoughtful choice for a get-well wish or a thank-you, and the mason jar stays useful long after.&lt;/p&gt;</t>
        </is>
      </c>
      <c r="P64" s="29" t="inlineStr">
        <is>
          <t>ok</t>
        </is>
      </c>
      <c r="Q64" s="30" t="inlineStr">
        <is>
          <t>Cure the Blues Bouquet in Mason Jar brings together 3 blue carnations, 2 green carnations and 2 white carnations, presented in a mason jar you can keep. It suits a get-well wish or a thank-you.
Blue tones say calm. We hand-arrange each one at Aussie Blooms so it looks the way you pictured it, ready for the bedside table. Stems can vary with the season, while the blue and white palette stays.</t>
        </is>
      </c>
      <c r="R64" s="30" t="inlineStr">
        <is>
          <t>&lt;p&gt;Cure the Blues Bouquet in Mason Jar brings together 3 blue carnations, 2 green carnations and 2 white carnations, presented in a mason jar you can keep. It suits a get-well wish or a thank-you.&lt;/p&gt;&lt;p&gt;Blue tones say calm. We hand-arrange each one at Aussie Blooms so it looks the way you pictured it, ready for the bedside table. Stems can vary with the season, while the blue and white palette stays.&lt;/p&gt;</t>
        </is>
      </c>
      <c r="S64" s="29" t="inlineStr">
        <is>
          <t>ok</t>
        </is>
      </c>
      <c r="T64" s="30" t="inlineStr">
        <is>
          <t>The jar holds: 3 blue carnations, 2 green carnations and 2 white carnations. Gentle, easy on the eye, and ready for any table you give it.</t>
        </is>
      </c>
      <c r="U64" s="30" t="inlineStr">
        <is>
          <t>&lt;p&gt;The jar holds: 3 blue carnations, 2 green carnations and 2 white carnations. Gentle, easy on the eye, and ready for any table you give it.&lt;/p&gt;</t>
        </is>
      </c>
      <c r="V64" s="29" t="inlineStr">
        <is>
          <t>ok</t>
        </is>
      </c>
      <c r="W64" s="30" t="inlineStr">
        <is>
          <t>The Daisy Patch</t>
        </is>
      </c>
      <c r="X64" s="30" t="inlineStr">
        <is>
          <t>The Daisy Patch nestles 3 blue carnations, 2 green carnations and 2 white carnations into a relaxed mason jar. Happy on a sunny windowsill. Made for a get-well wish or a thank-you. A little wild, a little imperfect, the way a jar should be.</t>
        </is>
      </c>
      <c r="Y64" s="30" t="inlineStr">
        <is>
          <t>&lt;p&gt;The Daisy Patch nestles 3 blue carnations, 2 green carnations and 2 white carnations into a relaxed mason jar. Happy on a sunny windowsill. Made for a get-well wish or a thank-you. A little wild, a little imperfect, the way a jar should be.&lt;/p&gt;</t>
        </is>
      </c>
      <c r="Z64" s="29" t="inlineStr">
        <is>
          <t>ok</t>
        </is>
      </c>
      <c r="AA64" t="n">
        <v>104</v>
      </c>
      <c r="AB64" s="44" t="n">
        <v>13990.12</v>
      </c>
      <c r="AC64" t="n">
        <v>130</v>
      </c>
      <c r="AD64" s="45" t="n">
        <v>0.001602945465008815</v>
      </c>
      <c r="AE64" s="45" t="n">
        <v>0.004039046816131759</v>
      </c>
      <c r="AF64" t="n">
        <v>33</v>
      </c>
    </row>
    <row r="65" ht="109.5" customHeight="1" s="24">
      <c r="A65" s="30" t="inlineStr">
        <is>
          <t>AUMJ-NW-025</t>
        </is>
      </c>
      <c r="B65" s="30" t="inlineStr">
        <is>
          <t>New Baby Girl Bouquet in Mason Jar</t>
        </is>
      </c>
      <c r="C65" s="30" t="inlineStr">
        <is>
          <t>Mason Jar</t>
        </is>
      </c>
      <c r="D65" s="43" t="inlineStr">
        <is>
          <t>READY TO REVIEW</t>
        </is>
      </c>
      <c r="E65" s="30" t="inlineStr">
        <is>
          <t>A sweet abundance of soft roses with a few delicate alstroemeria, presented in a charming mason jar to welcome a precious little one. The New Baby Girl Bouquet is a tender way to congratulate new parents and celebrate the joy of a new arrival.</t>
        </is>
      </c>
      <c r="F65" s="30" t="inlineStr">
        <is>
          <t>Shopify (28 Sep)</t>
        </is>
      </c>
      <c r="G65" s="30" t="inlineStr">
        <is>
          <t>4 × Roses light pink; 2 × Roses Spray Pink; 1 × Limonium Pink; 1 × Baby's Breath; 2 × Ruscus Israeli; 1 × Mason Jar; 1 × Alstroemeria Pink</t>
        </is>
      </c>
      <c r="H65" s="30" t="inlineStr">
        <is>
          <t>4 × Roses light pink; 2 × Roses Spray Pink; 1 × Limonium Pink; 1 × Baby's Breath; 2 × Ruscus Israeli; 1 × Mason Jar; 1 × Alstroemeria Pink</t>
        </is>
      </c>
      <c r="I65" s="30" t="inlineStr">
        <is>
          <t>4 × Roses light pink; 2 × Roses Spray Pink; 1 × Limonium Pink; 1 × Baby's Breath; 2 × Ruscus Israeli; 1 × Mason Jar; 1 × Alstroemeria Pink</t>
        </is>
      </c>
      <c r="J65" s="30" t="inlineStr">
        <is>
          <t>1 × Baby's Breath; 1 × Alstroemeria Pink; 1 × Mason Jar; 2 × Ruscus Israeli; 1 × Limonium Pink; 2 × Roses Spray Pink; 4 × Roses light pink</t>
        </is>
      </c>
      <c r="K65" s="30" t="inlineStr">
        <is>
          <t>Y</t>
        </is>
      </c>
      <c r="L65" s="30" t="n"/>
      <c r="M65" s="30" t="inlineStr">
        <is>
          <t>A hand-arranged mason jar bouquet of 4 light pink roses, 2 pink spray roses and 1 pink alstroemeria. A thoughtful choice for a new baby or a thank-you, with a mason jar to keep once the flowers are gone.</t>
        </is>
      </c>
      <c r="N65" s="30">
        <f>LEN(TRIM(SUBSTITUTE(M65,CHAR(10)," ")))-LEN(SUBSTITUTE(TRIM(SUBSTITUTE(M65,CHAR(10)," "))," ",""))+1</f>
        <v/>
      </c>
      <c r="O65" s="30" t="inlineStr">
        <is>
          <t>&lt;p&gt;A hand-arranged mason jar bouquet of 4 light pink roses, 2 pink spray roses and 1 pink alstroemeria. A thoughtful choice for a new baby or a thank-you, with a mason jar to keep once the flowers are gone.&lt;/p&gt;</t>
        </is>
      </c>
      <c r="P65" s="29" t="inlineStr">
        <is>
          <t>ok</t>
        </is>
      </c>
      <c r="Q65" s="30" t="inlineStr">
        <is>
          <t>New Baby Girl Bouquet in Mason Jar brings together 4 light pink roses, 2 pink spray roses and 1 pink alstroemeria, presented in a mason jar you can keep. It suits a new baby or a thank-you.
Light pink tones say tenderness. We hand-arrange each one at Aussie Blooms so it looks the way you pictured it, ready for a Sunday lunch. Stems can vary with the season, while the light pink and pink palette stays.</t>
        </is>
      </c>
      <c r="R65" s="30" t="inlineStr">
        <is>
          <t>&lt;p&gt;New Baby Girl Bouquet in Mason Jar brings together 4 light pink roses, 2 pink spray roses and 1 pink alstroemeria, presented in a mason jar you can keep. It suits a new baby or a thank-you.&lt;/p&gt;&lt;p&gt;Light pink tones say tenderness. We hand-arrange each one at Aussie Blooms so it looks the way you pictured it, ready for a Sunday lunch. Stems can vary with the season, while the light pink and pink palette stays.&lt;/p&gt;</t>
        </is>
      </c>
      <c r="S65" s="29" t="inlineStr">
        <is>
          <t>ok</t>
        </is>
      </c>
      <c r="T65" s="30" t="inlineStr">
        <is>
          <t>The jar holds: 4 light pink roses, 2 pink spray roses and 1 pink alstroemeria. Gentle, easy on the eye, and ready for any table you give it.</t>
        </is>
      </c>
      <c r="U65" s="30" t="inlineStr">
        <is>
          <t>&lt;p&gt;The jar holds: 4 light pink roses, 2 pink spray roses and 1 pink alstroemeria. Gentle, easy on the eye, and ready for any table you give it.&lt;/p&gt;</t>
        </is>
      </c>
      <c r="V65" s="29" t="inlineStr">
        <is>
          <t>ok</t>
        </is>
      </c>
      <c r="W65" s="30" t="inlineStr">
        <is>
          <t>Bright Side</t>
        </is>
      </c>
      <c r="X65" s="30" t="inlineStr">
        <is>
          <t>Bright Side settles 4 light pink roses, 2 pink spray roses and 1 pink alstroemeria into a relaxed mason jar. Just right sitting on a bench where everyone can enjoy it. A good fit for a new baby or a thank-you. A little wild, a little imperfect, the way a jar should be.</t>
        </is>
      </c>
      <c r="Y65" s="30" t="inlineStr">
        <is>
          <t>&lt;p&gt;Bright Side settles 4 light pink roses, 2 pink spray roses and 1 pink alstroemeria into a relaxed mason jar. Just right sitting on a bench where everyone can enjoy it. A good fit for a new baby or a thank-you. A little wild, a little imperfect, the way a jar should be.&lt;/p&gt;</t>
        </is>
      </c>
      <c r="Z65" s="29" t="inlineStr">
        <is>
          <t>ok</t>
        </is>
      </c>
      <c r="AA65" t="n">
        <v>23</v>
      </c>
      <c r="AB65" s="44" t="n">
        <v>95203.89</v>
      </c>
      <c r="AC65" t="n">
        <v>960</v>
      </c>
      <c r="AD65" s="45" t="n">
        <v>0.01090817237599156</v>
      </c>
      <c r="AE65" s="45" t="n">
        <v>0.02748603733990591</v>
      </c>
      <c r="AF65" t="n">
        <v>11</v>
      </c>
    </row>
    <row r="66" ht="109.5" customHeight="1" s="24">
      <c r="A66" s="30" t="inlineStr">
        <is>
          <t>AUMJ-NW-026</t>
        </is>
      </c>
      <c r="B66" s="30" t="inlineStr">
        <is>
          <t>New Baby Boy Bouquet in Mason Jar</t>
        </is>
      </c>
      <c r="C66" s="30" t="inlineStr">
        <is>
          <t>Mason Jar</t>
        </is>
      </c>
      <c r="D66" s="43" t="inlineStr">
        <is>
          <t>READY TO REVIEW</t>
        </is>
      </c>
      <c r="E66" s="30" t="n"/>
      <c r="F66" s="30" t="inlineStr">
        <is>
          <t>none</t>
        </is>
      </c>
      <c r="G66" s="30" t="inlineStr">
        <is>
          <t>2 × Eryngium; 1 × Limonium Lavender; 2 × Baby's Breath; 2 × Ruscus Israeli; 1 × Mason Jar; 3 × Carnations Blue</t>
        </is>
      </c>
      <c r="H66" s="30" t="inlineStr">
        <is>
          <t>2 × Eryngium; 1 × Limonium Lavender; 2 × Baby's Breath; 2 × Ruscus Israeli; 1 × Mason Jar; 3 × Carnations Blue</t>
        </is>
      </c>
      <c r="I66" s="30" t="inlineStr">
        <is>
          <t>2 × Eryngium; 1 × Limonium Lavender; 2 × Baby's Breath; 2 × Ruscus Israeli; 1 × Mason Jar; 3 × Carnations Blue</t>
        </is>
      </c>
      <c r="J66" s="30" t="inlineStr">
        <is>
          <t>2 × Baby's Breath; 3 × Carnations Blue; 1 × Mason Jar; 2 × Ruscus Israeli; 1 × Limonium Lavender; 2 × Eryngium</t>
        </is>
      </c>
      <c r="K66" s="30" t="inlineStr">
        <is>
          <t>N</t>
        </is>
      </c>
      <c r="L66" s="30" t="n"/>
      <c r="M66" s="30" t="inlineStr">
        <is>
          <t>A hand-arranged mason jar bouquet of 3 blue carnations. A lovely way to mark a new baby or a thank-you, with a mason jar to keep once the flowers are gone.</t>
        </is>
      </c>
      <c r="N66" s="30">
        <f>LEN(TRIM(SUBSTITUTE(M66,CHAR(10)," ")))-LEN(SUBSTITUTE(TRIM(SUBSTITUTE(M66,CHAR(10)," "))," ",""))+1</f>
        <v/>
      </c>
      <c r="O66" s="30" t="inlineStr">
        <is>
          <t>&lt;p&gt;A hand-arranged mason jar bouquet of 3 blue carnations. A lovely way to mark a new baby or a thank-you, with a mason jar to keep once the flowers are gone.&lt;/p&gt;</t>
        </is>
      </c>
      <c r="P66" s="29" t="inlineStr">
        <is>
          <t>ok</t>
        </is>
      </c>
      <c r="Q66" s="30" t="inlineStr">
        <is>
          <t>New Baby Boy Bouquet in Mason Jar brings together 3 blue carnations, presented in a mason jar you can keep. It suits a new baby or a thank-you.
Blue tones say calm. We hand-arrange each one at Aussie Blooms so it looks the way you pictured it, ready for a Sunday lunch. Stems can vary with the season, while the blue palette stays.</t>
        </is>
      </c>
      <c r="R66" s="30" t="inlineStr">
        <is>
          <t>&lt;p&gt;New Baby Boy Bouquet in Mason Jar brings together 3 blue carnations, presented in a mason jar you can keep. It suits a new baby or a thank-you.&lt;/p&gt;&lt;p&gt;Blue tones say calm. We hand-arrange each one at Aussie Blooms so it looks the way you pictured it, ready for a Sunday lunch. Stems can vary with the season, while the blue palette stays.&lt;/p&gt;</t>
        </is>
      </c>
      <c r="S66" s="29" t="inlineStr">
        <is>
          <t>ok</t>
        </is>
      </c>
      <c r="T66" s="30" t="inlineStr">
        <is>
          <t>In the jar: 3 blue carnations. Hand it over and watch the day get a little better.</t>
        </is>
      </c>
      <c r="U66" s="30" t="inlineStr">
        <is>
          <t>&lt;p&gt;In the jar: 3 blue carnations. Hand it over and watch the day get a little better.&lt;/p&gt;</t>
        </is>
      </c>
      <c r="V66" s="29" t="inlineStr">
        <is>
          <t>ok</t>
        </is>
      </c>
      <c r="W66" s="30" t="inlineStr">
        <is>
          <t>Afternoon Light</t>
        </is>
      </c>
      <c r="X66" s="30" t="inlineStr">
        <is>
          <t>Afternoon Light settles 3 blue carnations into a relaxed mason jar. Just right sitting on a bench where everyone can enjoy it. A good fit for a new baby or a thank-you.</t>
        </is>
      </c>
      <c r="Y66" s="30" t="inlineStr">
        <is>
          <t>&lt;p&gt;Afternoon Light settles 3 blue carnations into a relaxed mason jar. Just right sitting on a bench where everyone can enjoy it. A good fit for a new baby or a thank-you.&lt;/p&gt;</t>
        </is>
      </c>
      <c r="Z66" s="29" t="inlineStr">
        <is>
          <t>ok</t>
        </is>
      </c>
      <c r="AA66" t="n">
        <v>117</v>
      </c>
      <c r="AB66" s="44" t="n">
        <v>10788.8</v>
      </c>
      <c r="AC66" t="n">
        <v>119</v>
      </c>
      <c r="AD66" s="45" t="n">
        <v>0.001236147941038897</v>
      </c>
      <c r="AE66" s="45" t="n">
        <v>0.00311480303885044</v>
      </c>
      <c r="AF66" t="n">
        <v>37</v>
      </c>
    </row>
    <row r="67" ht="109.5" customHeight="1" s="24">
      <c r="A67" s="30" t="inlineStr">
        <is>
          <t>AUMJ-NW-027</t>
        </is>
      </c>
      <c r="B67" s="30" t="inlineStr">
        <is>
          <t>Beach Day Blooms Bouquet in Mason Jar</t>
        </is>
      </c>
      <c r="C67" s="30" t="inlineStr">
        <is>
          <t>Mason Jar</t>
        </is>
      </c>
      <c r="D67" s="43" t="inlineStr">
        <is>
          <t>READY TO REVIEW</t>
        </is>
      </c>
      <c r="E67" s="30" t="inlineStr">
        <is>
          <t>Thirty-one roses, 18 sunny gerberas and 22 carnations spill from a charming mason jar in a relaxed, carefree mix. Bright and breezy as a day by the sea, Beach Day Blooms is perfect for a birthday, a housewarming, or celebrating good news.</t>
        </is>
      </c>
      <c r="F67" s="30" t="inlineStr">
        <is>
          <t>Shopify (28 Sep)</t>
        </is>
      </c>
      <c r="G67" s="30" t="inlineStr">
        <is>
          <t>1 × Roses Spray Cream; 2 × Roses Lavender; 1 × Limonium Purple; 2 × Gerbera Daisies White; 1 × Baby's Breath; 2 × Ruscus Israeli; 1 × Mason Jar; 3 × Carnations Blue; 1 × Eryngium</t>
        </is>
      </c>
      <c r="H67" s="30" t="inlineStr">
        <is>
          <t>1 × Roses Spray Cream; 2 × Roses Lavender; 1 × Limonium Purple; 2 × Gerbera Daisies White; 1 × Baby's Breath; 2 × Ruscus Israeli; 1 × Mason Jar; 3 × Carnations Blue; 1 × Eryngium</t>
        </is>
      </c>
      <c r="I67" s="30" t="inlineStr">
        <is>
          <t>1 × Roses Spray Cream; 2 × Roses Lavender; 1 × Limonium Purple; 2 × Gerbera Daisies White; 1 × Baby's Breath; 2 × Ruscus Israeli; 1 × Mason Jar; 3 × Carnations Blue; 1 × Eryngium</t>
        </is>
      </c>
      <c r="J67" s="30" t="inlineStr">
        <is>
          <t>2 × Gerbera Daisies White; 1 × Eryngium; 3 × Carnations Blue; 1 × Mason Jar; 2 × Ruscus Israeli; 1 × Baby's Breath; 1 × Limonium Purple; 2 × Roses Lavender; 1 × Roses Spray Cream</t>
        </is>
      </c>
      <c r="K67" s="30" t="inlineStr">
        <is>
          <t>Y</t>
        </is>
      </c>
      <c r="L67" s="30" t="n"/>
      <c r="M67" s="30" t="inlineStr">
        <is>
          <t>A hand-arranged mason jar bouquet of 3 blue carnations, 2 lavender roses, 2 white gerberas and 1 cream spray rose. A thoughtful choice for a birthday, a thank-you or a just-because moment, with a mason jar to keep once the flowers are gone.</t>
        </is>
      </c>
      <c r="N67" s="30">
        <f>LEN(TRIM(SUBSTITUTE(M67,CHAR(10)," ")))-LEN(SUBSTITUTE(TRIM(SUBSTITUTE(M67,CHAR(10)," "))," ",""))+1</f>
        <v/>
      </c>
      <c r="O67" s="30" t="inlineStr">
        <is>
          <t>&lt;p&gt;A hand-arranged mason jar bouquet of 3 blue carnations, 2 lavender roses, 2 white gerberas and 1 cream spray rose. A thoughtful choice for a birthday, a thank-you or a just-because moment, with a mason jar to keep once the flowers are gone.&lt;/p&gt;</t>
        </is>
      </c>
      <c r="P67" s="29" t="inlineStr">
        <is>
          <t>ok</t>
        </is>
      </c>
      <c r="Q67" s="30" t="inlineStr">
        <is>
          <t>Beach Day Blooms Bouquet in Mason Jar brings together 3 blue carnations, 2 lavender roses, 2 white gerberas and 1 cream spray rose, presented in a mason jar you can keep. It suits a birthday, a thank-you or a just-because moment.
Blue tones say calm. We hand-arrange each one at Aussie Blooms so it looks the way you pictured it, ready for a summer table. Stems can vary with the season, while the blue and lavender palette stays.</t>
        </is>
      </c>
      <c r="R67" s="30" t="inlineStr">
        <is>
          <t>&lt;p&gt;Beach Day Blooms Bouquet in Mason Jar brings together 3 blue carnations, 2 lavender roses, 2 white gerberas and 1 cream spray rose, presented in a mason jar you can keep. It suits a birthday, a thank-you or a just-because moment.&lt;/p&gt;&lt;p&gt;Blue tones say calm. We hand-arrange each one at Aussie Blooms so it looks the way you pictured it, ready for a summer table. Stems can vary with the season, while the blue and lavender palette stays.&lt;/p&gt;</t>
        </is>
      </c>
      <c r="S67" s="29" t="inlineStr">
        <is>
          <t>ok</t>
        </is>
      </c>
      <c r="T67" s="30" t="inlineStr">
        <is>
          <t>The jar holds: 3 blue carnations, 2 lavender roses, 2 white gerberas and 1 cream spray rose. Gentle, easy on the eye, and ready for any table you give it.</t>
        </is>
      </c>
      <c r="U67" s="30" t="inlineStr">
        <is>
          <t>&lt;p&gt;The jar holds: 3 blue carnations, 2 lavender roses, 2 white gerberas and 1 cream spray rose. Gentle, easy on the eye, and ready for any table you give it.&lt;/p&gt;</t>
        </is>
      </c>
      <c r="V67" s="29" t="inlineStr">
        <is>
          <t>ok</t>
        </is>
      </c>
      <c r="W67" s="30" t="inlineStr">
        <is>
          <t>The Violet Bunch</t>
        </is>
      </c>
      <c r="X67" s="30" t="inlineStr">
        <is>
          <t>The Violet Bunch tucks 3 blue carnations, 2 lavender roses, 2 white gerberas and 1 cream spray rose into a relaxed mason jar. Lovely on a bedside table, or anywhere it can be seen. A good fit for a birthday, a thank-you or a just-because moment. A little wild, a little imperfect, the way a jar should be.</t>
        </is>
      </c>
      <c r="Y67" s="30" t="inlineStr">
        <is>
          <t>&lt;p&gt;The Violet Bunch tucks 3 blue carnations, 2 lavender roses, 2 white gerberas and 1 cream spray rose into a relaxed mason jar. Lovely on a bedside table, or anywhere it can be seen. A good fit for a birthday, a thank-you or a just-because moment. A little wild, a little imperfect, the way a jar should be.&lt;/p&gt;</t>
        </is>
      </c>
      <c r="Z67" s="29" t="inlineStr">
        <is>
          <t>ok</t>
        </is>
      </c>
      <c r="AA67" t="n">
        <v>154</v>
      </c>
      <c r="AB67" s="44" t="n">
        <v>5962.69</v>
      </c>
      <c r="AC67" t="n">
        <v>57</v>
      </c>
      <c r="AD67" s="45" t="n">
        <v>0.0006831869129609616</v>
      </c>
      <c r="AE67" s="45" t="n">
        <v>0.001721470870877496</v>
      </c>
      <c r="AF67" t="n">
        <v>43</v>
      </c>
    </row>
    <row r="68" ht="109.5" customHeight="1" s="24">
      <c r="A68" s="30" t="inlineStr">
        <is>
          <t>AUMJ-NW-028</t>
        </is>
      </c>
      <c r="B68" s="30" t="inlineStr">
        <is>
          <t>Mellow Yellow Bouquet in Mason Jar</t>
        </is>
      </c>
      <c r="C68" s="30" t="inlineStr">
        <is>
          <t>Mason Jar</t>
        </is>
      </c>
      <c r="D68" s="43" t="inlineStr">
        <is>
          <t>READY TO REVIEW</t>
        </is>
      </c>
      <c r="E68" s="30" t="inlineStr">
        <is>
          <t>Sunny alstroemeria, bold gerberas, golden roses and soft carnations fill this mason jar with warmth and light. Mellow Yellow is a radiant pick for a birthday or anniversary, or for sending a little sunshine to someone on the mend.</t>
        </is>
      </c>
      <c r="F68" s="30" t="inlineStr">
        <is>
          <t>Shopify (28 Sep)</t>
        </is>
      </c>
      <c r="G68" s="30" t="inlineStr">
        <is>
          <t>2 × Roses Spray Yellow; 2 × Roses Cream; 1 × Limonium Yellow; 2 × Gerbera Daisies Yellow; 1 × Gerbera Daisies White; 1 × Carnation White; 1 × Baby's Breath; 2 × Ruscus Israeli; 1 × Mason Jar; 1 × Alstroemeria White; 1 × Alstroemeria Yellow</t>
        </is>
      </c>
      <c r="H68" s="30" t="inlineStr">
        <is>
          <t>2 × Roses Spray Yellow; 2 × Roses Cream; 1 × Limonium Yellow; 2 × Gerbera Daisies Yellow; 1 × Gerbera Daisies White; 1 × Carnation White; 1 × Baby's Breath; 2 × Ruscus Israeli; 1 × Mason Jar; 1 × Alstroemeria White; 1 × Alstroemeria Yellow</t>
        </is>
      </c>
      <c r="I68" s="30" t="inlineStr">
        <is>
          <t>2 × Roses Spray Yellow; 2 × Roses Cream; 1 × Limonium Yellow; 2 × Gerbera Daisies Yellow; 1 × Gerbera Daisies White; 1 × Carnation White; 1 × Baby's Breath; 2 × Ruscus Israeli; 1 × Mason Jar; 1 × Alstroemeria White; 1 × Alstroemeria Yellow</t>
        </is>
      </c>
      <c r="J68" s="30" t="inlineStr">
        <is>
          <t>1 × Gerbera Daisies White; 1 × Alstroemeria Yellow; 1 × Alstroemeria White; 1 × Mason Jar; 2 × Ruscus Israeli; 1 × Baby's Breath; 1 × Carnation White; 2 × Gerbera Daisies Yellow; 1 × Limonium Yellow; 2 × Roses Cream; 2 × Roses Spray Yellow</t>
        </is>
      </c>
      <c r="K68" s="30" t="inlineStr">
        <is>
          <t>Y</t>
        </is>
      </c>
      <c r="L68" s="30" t="n"/>
      <c r="M68" s="30" t="inlineStr">
        <is>
          <t>A mason jar arrangement of 2 cream roses, 2 yellow gerberas, 2 yellow spray roses, 1 white alstroemeria, 1 white carnation, 1 white gerbera and 1 yellow alstroemeria. Chosen for a birthday, a thank-you or a just-because moment, it says you were thinking of them.</t>
        </is>
      </c>
      <c r="N68" s="30">
        <f>LEN(TRIM(SUBSTITUTE(M68,CHAR(10)," ")))-LEN(SUBSTITUTE(TRIM(SUBSTITUTE(M68,CHAR(10)," "))," ",""))+1</f>
        <v/>
      </c>
      <c r="O68" s="30" t="inlineStr">
        <is>
          <t>&lt;p&gt;A mason jar arrangement of 2 cream roses, 2 yellow gerberas, 2 yellow spray roses, 1 white alstroemeria, 1 white carnation, 1 white gerbera and 1 yellow alstroemeria. Chosen for a birthday, a thank-you or a just-because moment, it says you were thinking of them.&lt;/p&gt;</t>
        </is>
      </c>
      <c r="P68" s="29" t="inlineStr">
        <is>
          <t>ok</t>
        </is>
      </c>
      <c r="Q68" s="30" t="inlineStr">
        <is>
          <t>Mellow Yellow Bouquet in Mason Jar brings together 2 cream roses, 2 yellow gerberas, 2 yellow spray roses, 1 white alstroemeria, 1 white carnation, 1 white gerbera and 1 yellow alstroemeria, presented in a mason jar you can keep. It suits a birthday, a thank-you or a just-because moment.
Yellow tones say friendship and cheer. We hand-arrange each one at Aussie Blooms so it looks the way you pictured it, ready for the bedside table. Stems can vary with the season, while the yellow and white palette stays.</t>
        </is>
      </c>
      <c r="R68" s="30" t="inlineStr">
        <is>
          <t>&lt;p&gt;Mellow Yellow Bouquet in Mason Jar brings together 2 cream roses, 2 yellow gerberas, 2 yellow spray roses, 1 white alstroemeria, 1 white carnation, 1 white gerbera and 1 yellow alstroemeria, presented in a mason jar you can keep. It suits a birthday, a thank-you or a just-because moment.&lt;/p&gt;&lt;p&gt;Yellow tones say friendship and cheer. We hand-arrange each one at Aussie Blooms so it looks the way you pictured it, ready for the bedside table. Stems can vary with the season, while the yellow and white palette stays.&lt;/p&gt;</t>
        </is>
      </c>
      <c r="S68" s="29" t="inlineStr">
        <is>
          <t>ok</t>
        </is>
      </c>
      <c r="T68" s="30" t="inlineStr">
        <is>
          <t>Inside the jar: 2 cream roses, 2 yellow gerberas, 2 yellow spray roses, 1 white alstroemeria, 1 white carnation, 1 white gerbera and 1 yellow alstroemeria. Bright on purpose, and hard to walk past without smiling.</t>
        </is>
      </c>
      <c r="U68" s="30" t="inlineStr">
        <is>
          <t>&lt;p&gt;Inside the jar: 2 cream roses, 2 yellow gerberas, 2 yellow spray roses, 1 white alstroemeria, 1 white carnation, 1 white gerbera and 1 yellow alstroemeria. Bright on purpose, and hard to walk past without smiling.&lt;/p&gt;</t>
        </is>
      </c>
      <c r="V68" s="29" t="inlineStr">
        <is>
          <t>ok</t>
        </is>
      </c>
      <c r="W68" s="30" t="inlineStr">
        <is>
          <t>Good Days Ahead</t>
        </is>
      </c>
      <c r="X68" s="30" t="inlineStr">
        <is>
          <t>Good Days Ahead nestles 2 cream roses, 2 yellow gerberas, 2 yellow spray roses, 1 white alstroemeria, 1 white carnation, 1 white gerbera and 1 yellow alstroemeria into a relaxed mason jar. Happy on a sunny windowsill. Made for a birthday, a thank-you or a just-because moment.</t>
        </is>
      </c>
      <c r="Y68" s="30" t="inlineStr">
        <is>
          <t>&lt;p&gt;Good Days Ahead nestles 2 cream roses, 2 yellow gerberas, 2 yellow spray roses, 1 white alstroemeria, 1 white carnation, 1 white gerbera and 1 yellow alstroemeria into a relaxed mason jar. Happy on a sunny windowsill. Made for a birthday, a thank-you or a just-because moment.&lt;/p&gt;</t>
        </is>
      </c>
      <c r="Z68" s="29" t="inlineStr">
        <is>
          <t>ok</t>
        </is>
      </c>
      <c r="AA68" t="n">
        <v>54</v>
      </c>
      <c r="AB68" s="44" t="n">
        <v>41086.56</v>
      </c>
      <c r="AC68" t="n">
        <v>368</v>
      </c>
      <c r="AD68" s="45" t="n">
        <v>0.004707573733219902</v>
      </c>
      <c r="AE68" s="45" t="n">
        <v>0.01186198227820731</v>
      </c>
      <c r="AF68" t="n">
        <v>19</v>
      </c>
    </row>
    <row r="69" ht="109.5" customHeight="1" s="24">
      <c r="A69" s="30" t="inlineStr">
        <is>
          <t>AUMJ-NW-029</t>
        </is>
      </c>
      <c r="B69" s="30" t="inlineStr">
        <is>
          <t>The Sunday Market Bouquet in Mason Jar</t>
        </is>
      </c>
      <c r="C69" s="30" t="inlineStr">
        <is>
          <t>Mason Jar</t>
        </is>
      </c>
      <c r="D69" s="43" t="inlineStr">
        <is>
          <t>READY TO REVIEW</t>
        </is>
      </c>
      <c r="E69" s="30" t="inlineStr">
        <is>
          <t>Nineteen gerberas, eighteen roses and twelve carnations gathered with farmers'-market freshness in a homely mason jar. The Sunday Market Bouquet has a relaxed, gathered-just-for-you charm that brings everyday joy to any room.</t>
        </is>
      </c>
      <c r="F69" s="30" t="inlineStr">
        <is>
          <t>Shopify (28 Sep)</t>
        </is>
      </c>
      <c r="G69" s="30" t="inlineStr">
        <is>
          <t>3 × Roses Spray Hot Pink; 1 × Gerbera Daisies Red; 1 × Gerbera Daisies Hot Pink; 2 × Limonium Yellow; 2 × Carnation Green; 1 × Gerbera Daisies Orange; 1 × Gerbera Daisies White; 3 × Ruscus Israeli; 1 × Mason Jar</t>
        </is>
      </c>
      <c r="H69" s="30" t="inlineStr">
        <is>
          <t>3 × Roses Spray Hot Pink; 1 × Gerbera Daisies Red; 1 × Gerbera Daisies Hot Pink; 2 × Limonium Yellow; 2 × Carnation Green; 1 × Gerbera Daisies Orange; 1 × Gerbera Daisies White; 3 × Ruscus Israeli; 1 × Mason Jar</t>
        </is>
      </c>
      <c r="I69" s="30" t="inlineStr">
        <is>
          <t>3 × Roses Spray Hot Pink; 1 × Gerbera Daisies Red; 1 × Gerbera Daisies Hot Pink; 2 × Limonium Yellow; 2 × Carnation Green; 1 × Gerbera Daisies Orange; 1 × Gerbera Daisies White; 3 × Ruscus Israeli; 1 × Mason Jar</t>
        </is>
      </c>
      <c r="J69" s="30" t="inlineStr">
        <is>
          <t>2 × Limonium Yellow; 1 × Mason Jar; 3 × Ruscus Israeli; 1 × Gerbera Daisies White; 1 × Gerbera Daisies Orange; 2 × Carnation Green; 1 × Gerbera Daisies Hot Pink; 1 × Gerbera Daisies Red; 3 × Roses Spray Hot Pink</t>
        </is>
      </c>
      <c r="K69" s="30" t="inlineStr">
        <is>
          <t>Y</t>
        </is>
      </c>
      <c r="L69" s="30" t="n"/>
      <c r="M69" s="30" t="inlineStr">
        <is>
          <t>A mason jar arrangement of 3 hot pink spray roses, 2 green carnations, 1 hot pink gerbera, 1 orange gerbera, 1 red gerbera and 1 white gerbera. A warm gift for a birthday, a thank-you or a just-because moment.</t>
        </is>
      </c>
      <c r="N69" s="30">
        <f>LEN(TRIM(SUBSTITUTE(M69,CHAR(10)," ")))-LEN(SUBSTITUTE(TRIM(SUBSTITUTE(M69,CHAR(10)," "))," ",""))+1</f>
        <v/>
      </c>
      <c r="O69" s="30" t="inlineStr">
        <is>
          <t>&lt;p&gt;A mason jar arrangement of 3 hot pink spray roses, 2 green carnations, 1 hot pink gerbera, 1 orange gerbera, 1 red gerbera and 1 white gerbera. A warm gift for a birthday, a thank-you or a just-because moment.&lt;/p&gt;</t>
        </is>
      </c>
      <c r="P69" s="29" t="inlineStr">
        <is>
          <t>ok</t>
        </is>
      </c>
      <c r="Q69" s="30" t="inlineStr">
        <is>
          <t>The Sunday Market Bouquet in Mason Jar brings together 3 hot pink spray roses, 2 green carnations, 1 hot pink gerbera, 1 orange gerbera, 1 red gerbera and 1 white gerbera, presented in a mason jar you can keep. It suits a birthday, a thank-you or a just-because moment.
Hot pink tones say a bold, happy affection. We hand-arrange each one at Aussie Blooms so it looks the way you pictured it, ready for the bedside table. Stems can vary with the season, while the hot pink and green palette stays.</t>
        </is>
      </c>
      <c r="R69" s="30" t="inlineStr">
        <is>
          <t>&lt;p&gt;The Sunday Market Bouquet in Mason Jar brings together 3 hot pink spray roses, 2 green carnations, 1 hot pink gerbera, 1 orange gerbera, 1 red gerbera and 1 white gerbera, presented in a mason jar you can keep. It suits a birthday, a thank-you or a just-because moment.&lt;/p&gt;&lt;p&gt;Hot pink tones say a bold, happy affection. We hand-arrange each one at Aussie Blooms so it looks the way you pictured it, ready for the bedside table. Stems can vary with the season, while the hot pink and green palette stays.&lt;/p&gt;</t>
        </is>
      </c>
      <c r="S69" s="29" t="inlineStr">
        <is>
          <t>ok</t>
        </is>
      </c>
      <c r="T69" s="30" t="inlineStr">
        <is>
          <t>Inside the jar: 3 hot pink spray roses, 2 green carnations, 1 hot pink gerbera, 1 orange gerbera, 1 red gerbera and 1 white gerbera. Bright on purpose, and hard to walk past without smiling.</t>
        </is>
      </c>
      <c r="U69" s="30" t="inlineStr">
        <is>
          <t>&lt;p&gt;Inside the jar: 3 hot pink spray roses, 2 green carnations, 1 hot pink gerbera, 1 orange gerbera, 1 red gerbera and 1 white gerbera. Bright on purpose, and hard to walk past without smiling.&lt;/p&gt;</t>
        </is>
      </c>
      <c r="V69" s="29" t="inlineStr">
        <is>
          <t>ok</t>
        </is>
      </c>
      <c r="W69" s="30" t="inlineStr">
        <is>
          <t>The Birthday Garden</t>
        </is>
      </c>
      <c r="X69" s="30" t="inlineStr">
        <is>
          <t>The Birthday Garden nestles 3 hot pink spray roses, 2 green carnations, 1 hot pink gerbera, 1 orange gerbera, 1 red gerbera and 1 white gerbera into a relaxed mason jar. Happy on a sunny windowsill. Made for a birthday, a thank-you or a just-because moment. A little wild, a little imperfect, the way a jar should be.</t>
        </is>
      </c>
      <c r="Y69" s="30" t="inlineStr">
        <is>
          <t>&lt;p&gt;The Birthday Garden nestles 3 hot pink spray roses, 2 green carnations, 1 hot pink gerbera, 1 orange gerbera, 1 red gerbera and 1 white gerbera into a relaxed mason jar. Happy on a sunny windowsill. Made for a birthday, a thank-you or a just-because moment. A little wild, a little imperfect, the way a jar should be.&lt;/p&gt;</t>
        </is>
      </c>
      <c r="Z69" s="29" t="inlineStr">
        <is>
          <t>ok</t>
        </is>
      </c>
      <c r="AA69" t="n">
        <v>76</v>
      </c>
      <c r="AB69" s="44" t="n">
        <v>26906.39</v>
      </c>
      <c r="AC69" t="n">
        <v>296</v>
      </c>
      <c r="AD69" s="45" t="n">
        <v>0.003082852458038853</v>
      </c>
      <c r="AE69" s="45" t="n">
        <v>0.007768065525034767</v>
      </c>
      <c r="AF69" t="n">
        <v>28</v>
      </c>
    </row>
    <row r="70" ht="109.5" customHeight="1" s="24">
      <c r="A70" s="30" t="inlineStr">
        <is>
          <t>AUMJ-NW-030</t>
        </is>
      </c>
      <c r="B70" s="30" t="inlineStr">
        <is>
          <t>Cloud Nine Bouquet in Mason Jar</t>
        </is>
      </c>
      <c r="C70" s="30" t="inlineStr">
        <is>
          <t>Mason Jar</t>
        </is>
      </c>
      <c r="D70" s="43" t="inlineStr">
        <is>
          <t>READY TO REVIEW</t>
        </is>
      </c>
      <c r="E70" s="30" t="inlineStr">
        <is>
          <t>Eighteen gerberas, sixteen alstroemeria, thirteen roses, thirteen chrysanthemums and ten carnations brim over a charming mason jar in a cloud of happy colour. Cheerful and abundant, it's a wonderful way to mark a birthday, an anniversary or a heartfelt congratulations.</t>
        </is>
      </c>
      <c r="F70" s="30" t="inlineStr">
        <is>
          <t>Shopify (28 Sep)</t>
        </is>
      </c>
      <c r="G70" s="30" t="inlineStr">
        <is>
          <t>2 × Roses Spray White; 2 × Gerbera Daisies White; 2 × Chrysanthemum Spray White; 2 × Baby's Breath; 2 × Ruscus Israeli; 1 × Mason Jar; 1 × Mini Carnations White; 1 × Alstroemeria White</t>
        </is>
      </c>
      <c r="H70" s="30" t="inlineStr">
        <is>
          <t>2 × Roses Spray White; 2 × Gerbera Daisies White; 2 × Chrysanthemum Spray White; 2 × Baby's Breath; 2 × Ruscus Israeli; 1 × Mason Jar; 1 × Mini Carnations White; 1 × Alstroemeria White</t>
        </is>
      </c>
      <c r="I70" s="30" t="inlineStr">
        <is>
          <t>2 × Roses Spray White; 2 × Gerbera Daisies White; 2 × Chrysanthemum Spray White; 2 × Baby's Breath; 2 × Ruscus Israeli; 1 × Mason Jar; 1 × Mini Carnations White; 1 × Alstroemeria White</t>
        </is>
      </c>
      <c r="J70" s="30" t="inlineStr">
        <is>
          <t>2 × Baby's Breath; 1 × Alstroemeria White; 1 × Mini Carnations White; 1 × Mason Jar; 2 × Ruscus Israeli; 2 × Chrysanthemum Spray White; 2 × Gerbera Daisies White; 2 × Roses Spray White</t>
        </is>
      </c>
      <c r="K70" s="30" t="inlineStr">
        <is>
          <t>Y</t>
        </is>
      </c>
      <c r="L70" s="30" t="n"/>
      <c r="M70" s="30" t="inlineStr">
        <is>
          <t>A mason jar arrangement of 2 white gerberas, 2 white spray chrysanthemums, 2 white spray roses and 1 white alstroemeria. A lovely way to mark a thank-you, a new home or a thinking-of-you gesture, and the mason jar stays useful long after.</t>
        </is>
      </c>
      <c r="N70" s="30">
        <f>LEN(TRIM(SUBSTITUTE(M70,CHAR(10)," ")))-LEN(SUBSTITUTE(TRIM(SUBSTITUTE(M70,CHAR(10)," "))," ",""))+1</f>
        <v/>
      </c>
      <c r="O70" s="30" t="inlineStr">
        <is>
          <t>&lt;p&gt;A mason jar arrangement of 2 white gerberas, 2 white spray chrysanthemums, 2 white spray roses and 1 white alstroemeria. A lovely way to mark a thank-you, a new home or a thinking-of-you gesture, and the mason jar stays useful long after.&lt;/p&gt;</t>
        </is>
      </c>
      <c r="P70" s="29" t="inlineStr">
        <is>
          <t>ok</t>
        </is>
      </c>
      <c r="Q70" s="30" t="inlineStr">
        <is>
          <t>Cloud Nine Bouquet in Mason Jar brings together 2 white gerberas, 2 white spray chrysanthemums, 2 white spray roses and 1 white alstroemeria, presented in a mason jar you can keep. It suits a thank-you, a new home or a thinking-of-you gesture.
White tones say calm and a fresh start. We hand-arrange each one at Aussie Blooms so it looks the way you pictured it, ready for the bedside table. Stems can vary with the season, while the white palette stays.</t>
        </is>
      </c>
      <c r="R70" s="30" t="inlineStr">
        <is>
          <t>&lt;p&gt;Cloud Nine Bouquet in Mason Jar brings together 2 white gerberas, 2 white spray chrysanthemums, 2 white spray roses and 1 white alstroemeria, presented in a mason jar you can keep. It suits a thank-you, a new home or a thinking-of-you gesture.&lt;/p&gt;&lt;p&gt;White tones say calm and a fresh start. We hand-arrange each one at Aussie Blooms so it looks the way you pictured it, ready for the bedside table. Stems can vary with the season, while the white palette stays.&lt;/p&gt;</t>
        </is>
      </c>
      <c r="S70" s="29" t="inlineStr">
        <is>
          <t>ok</t>
        </is>
      </c>
      <c r="T70" s="30" t="inlineStr">
        <is>
          <t>In the jar: 2 white gerberas, 2 white spray chrysanthemums, 2 white spray roses and 1 white alstroemeria. Soft colours that make a quiet room feel looked after.</t>
        </is>
      </c>
      <c r="U70" s="30" t="inlineStr">
        <is>
          <t>&lt;p&gt;In the jar: 2 white gerberas, 2 white spray chrysanthemums, 2 white spray roses and 1 white alstroemeria. Soft colours that make a quiet room feel looked after.&lt;/p&gt;</t>
        </is>
      </c>
      <c r="V70" s="29" t="inlineStr">
        <is>
          <t>ok</t>
        </is>
      </c>
      <c r="W70" s="30" t="inlineStr">
        <is>
          <t>Fresh Romance</t>
        </is>
      </c>
      <c r="X70" s="30" t="inlineStr">
        <is>
          <t>Fresh Romance nestles 2 white gerberas, 2 white spray chrysanthemums, 2 white spray roses and 1 white alstroemeria into a relaxed mason jar. Happy on a sunny windowsill. Made for a thank-you, a new home or a thinking-of-you gesture.</t>
        </is>
      </c>
      <c r="Y70" s="30" t="inlineStr">
        <is>
          <t>&lt;p&gt;Fresh Romance nestles 2 white gerberas, 2 white spray chrysanthemums, 2 white spray roses and 1 white alstroemeria into a relaxed mason jar. Happy on a sunny windowsill. Made for a thank-you, a new home or a thinking-of-you gesture.&lt;/p&gt;</t>
        </is>
      </c>
      <c r="Z70" s="29" t="inlineStr">
        <is>
          <t>ok</t>
        </is>
      </c>
      <c r="AA70" t="n">
        <v>12</v>
      </c>
      <c r="AB70" s="44" t="n">
        <v>162420.12</v>
      </c>
      <c r="AC70" t="n">
        <v>1577</v>
      </c>
      <c r="AD70" s="45" t="n">
        <v>0.01860960457751394</v>
      </c>
      <c r="AE70" s="45" t="n">
        <v>0.04689184115060666</v>
      </c>
      <c r="AF70" t="n">
        <v>6</v>
      </c>
    </row>
    <row r="71" ht="109.5" customHeight="1" s="24">
      <c r="A71" s="30" t="inlineStr">
        <is>
          <t>AU11-14</t>
        </is>
      </c>
      <c r="B71" s="30" t="inlineStr">
        <is>
          <t>Two Dozen Pink Roses</t>
        </is>
      </c>
      <c r="C71" s="30" t="inlineStr">
        <is>
          <t>Roses</t>
        </is>
      </c>
      <c r="D71" s="46" t="inlineStr">
        <is>
          <t>CONFIRM STATUS</t>
        </is>
      </c>
      <c r="E71" s="30" t="inlineStr">
        <is>
          <t>Two dozen blush-pink roses, gathered into one generous bouquet that speaks the language of love without saying a word. A timeless gesture for an anniversary, birthday or a heartfelt get-well wish, these roses bring softness and warmth to any moment.</t>
        </is>
      </c>
      <c r="F71" s="30" t="inlineStr">
        <is>
          <t>Shopify (28 Sep)</t>
        </is>
      </c>
      <c r="G71" s="30" t="inlineStr">
        <is>
          <t>24 × Roses Pink; 3 × Baby's Breath; 4 × Ruscus Israeli</t>
        </is>
      </c>
      <c r="H71" s="30" t="inlineStr">
        <is>
          <t>24 × Roses Pink; 3 × Baby's Breath; 4 × Ruscus Israeli</t>
        </is>
      </c>
      <c r="I71" s="30" t="inlineStr">
        <is>
          <t>24 × Roses Pink; 3 × Baby's Breath; 4 × Ruscus Israeli</t>
        </is>
      </c>
      <c r="J71" s="30" t="inlineStr">
        <is>
          <t>4 × Ruscus Israeli; 3 × Baby's Breath; 24 × Roses Pink</t>
        </is>
      </c>
      <c r="K71" s="30" t="inlineStr">
        <is>
          <t>N</t>
        </is>
      </c>
      <c r="L71" s="30" t="n"/>
      <c r="M71" s="30" t="inlineStr">
        <is>
          <t>A hand-arranged bouquet of 24 pink roses. A lovely way to mark a birthday, a thank-you or a just-because moment, and a bright moment when the door opens.</t>
        </is>
      </c>
      <c r="N71" s="30">
        <f>LEN(TRIM(SUBSTITUTE(M71,CHAR(10)," ")))-LEN(SUBSTITUTE(TRIM(SUBSTITUTE(M71,CHAR(10)," "))," ",""))+1</f>
        <v/>
      </c>
      <c r="O71" s="30" t="inlineStr">
        <is>
          <t>&lt;p&gt;A hand-arranged bouquet of 24 pink roses. A lovely way to mark a birthday, a thank-you or a just-because moment, and a bright moment when the door opens.&lt;/p&gt;</t>
        </is>
      </c>
      <c r="P71" s="29" t="inlineStr">
        <is>
          <t>ok</t>
        </is>
      </c>
      <c r="Q71" s="30" t="inlineStr">
        <is>
          <t>Two Dozen Pink Roses brings together 24 pink roses. It suits a birthday, a thank-you or a just-because moment.
Pink tones say affection. We hand-arrange each one at Aussie Blooms so it looks the way you pictured it, ready for a summer table.</t>
        </is>
      </c>
      <c r="R71" s="30" t="inlineStr">
        <is>
          <t>&lt;p&gt;Two Dozen Pink Roses brings together 24 pink roses. It suits a birthday, a thank-you or a just-because moment.&lt;/p&gt;&lt;p&gt;Pink tones say affection. We hand-arrange each one at Aussie Blooms so it looks the way you pictured it, ready for a summer table.&lt;/p&gt;</t>
        </is>
      </c>
      <c r="S71" s="29" t="inlineStr">
        <is>
          <t>ok</t>
        </is>
      </c>
      <c r="T71" s="30" t="inlineStr">
        <is>
          <t>In this bunch: 24 pink roses. Soft colours that make a quiet room feel looked after.</t>
        </is>
      </c>
      <c r="U71" s="30" t="inlineStr">
        <is>
          <t>&lt;p&gt;In this bunch: 24 pink roses. Soft colours that make a quiet room feel looked after.&lt;/p&gt;</t>
        </is>
      </c>
      <c r="V71" s="29" t="inlineStr">
        <is>
          <t>ok</t>
        </is>
      </c>
      <c r="W71" s="30" t="n"/>
      <c r="X71" s="30" t="inlineStr">
        <is>
          <t>n/a (Mel's: mason jar products only)</t>
        </is>
      </c>
      <c r="Y71" s="30" t="n"/>
      <c r="Z71" s="48" t="inlineStr">
        <is>
          <t>-</t>
        </is>
      </c>
      <c r="AA71" t="n">
        <v>222</v>
      </c>
      <c r="AB71" s="44" t="n">
        <v>1309.68</v>
      </c>
      <c r="AC71" t="n">
        <v>8</v>
      </c>
      <c r="AD71" s="45" t="n">
        <v>0.0001500591572204344</v>
      </c>
      <c r="AE71" s="45" t="n">
        <v>0.007377571286497961</v>
      </c>
      <c r="AF71" t="n">
        <v>12</v>
      </c>
    </row>
    <row r="72" ht="109.5" customHeight="1" s="24">
      <c r="A72" s="30" t="inlineStr">
        <is>
          <t>AU11-56</t>
        </is>
      </c>
      <c r="B72" s="30" t="inlineStr">
        <is>
          <t>Dozen Red Roses</t>
        </is>
      </c>
      <c r="C72" s="30" t="inlineStr">
        <is>
          <t>Roses</t>
        </is>
      </c>
      <c r="D72" s="43" t="inlineStr">
        <is>
          <t>READY TO REVIEW</t>
        </is>
      </c>
      <c r="E72" s="30" t="inlineStr">
        <is>
          <t>A dozen velvety red roses, deep and luxurious, tied into the timeless symbol of love. Romantic and unmistakable, they're the perfect way to mark an anniversary or share a moment of pure romance.</t>
        </is>
      </c>
      <c r="F72" s="30" t="inlineStr">
        <is>
          <t>Shopify (28 Sep)</t>
        </is>
      </c>
      <c r="G72" s="30" t="inlineStr">
        <is>
          <t>12 × Roses Red; 2 × Baby's Breath; 3 × Ruscus Israeli</t>
        </is>
      </c>
      <c r="H72" s="30" t="inlineStr">
        <is>
          <t>12 × Roses Red; 2 × Baby's Breath; 3 × Ruscus Israeli</t>
        </is>
      </c>
      <c r="I72" s="30" t="inlineStr">
        <is>
          <t>12 × Roses Red; 2 × Baby's Breath; 3 × Ruscus Israeli</t>
        </is>
      </c>
      <c r="J72" s="30" t="inlineStr">
        <is>
          <t>3 × Ruscus Israeli; 2 × Baby's Breath; 12 × Roses Red</t>
        </is>
      </c>
      <c r="K72" s="30" t="inlineStr">
        <is>
          <t>Y</t>
        </is>
      </c>
      <c r="L72" s="30" t="n"/>
      <c r="M72" s="30" t="inlineStr">
        <is>
          <t>A fresh arrangement of 12 red roses. Chosen for an anniversary or a thank-you, it is a gift that says you care.</t>
        </is>
      </c>
      <c r="N72" s="30">
        <f>LEN(TRIM(SUBSTITUTE(M72,CHAR(10)," ")))-LEN(SUBSTITUTE(TRIM(SUBSTITUTE(M72,CHAR(10)," "))," ",""))+1</f>
        <v/>
      </c>
      <c r="O72" s="30" t="inlineStr">
        <is>
          <t>&lt;p&gt;A fresh arrangement of 12 red roses. Chosen for an anniversary or a thank-you, it is a gift that says you care.&lt;/p&gt;</t>
        </is>
      </c>
      <c r="P72" s="29" t="inlineStr">
        <is>
          <t>ok</t>
        </is>
      </c>
      <c r="Q72" s="30" t="inlineStr">
        <is>
          <t>Dozen Red Roses brings together 12 red roses. It suits an anniversary or a thank-you.
Red tones say love and devotion. We hand-arrange each one at Aussie Blooms so it looks the way you pictured it, ready for a summer table.</t>
        </is>
      </c>
      <c r="R72" s="30" t="inlineStr">
        <is>
          <t>&lt;p&gt;Dozen Red Roses brings together 12 red roses. It suits an anniversary or a thank-you.&lt;/p&gt;&lt;p&gt;Red tones say love and devotion. We hand-arrange each one at Aussie Blooms so it looks the way you pictured it, ready for a summer table.&lt;/p&gt;</t>
        </is>
      </c>
      <c r="S72" s="29" t="inlineStr">
        <is>
          <t>ok</t>
        </is>
      </c>
      <c r="T72" s="30" t="inlineStr">
        <is>
          <t>The bunch holds: 12 red roses. The classic, handed over without a single word of explanation.</t>
        </is>
      </c>
      <c r="U72" s="30" t="inlineStr">
        <is>
          <t>&lt;p&gt;The bunch holds: 12 red roses. The classic, handed over without a single word of explanation.&lt;/p&gt;</t>
        </is>
      </c>
      <c r="V72" s="29" t="inlineStr">
        <is>
          <t>ok</t>
        </is>
      </c>
      <c r="W72" s="30" t="n"/>
      <c r="X72" s="30" t="inlineStr">
        <is>
          <t>n/a (Mel's: mason jar products only)</t>
        </is>
      </c>
      <c r="Y72" s="30" t="n"/>
      <c r="Z72" s="48" t="inlineStr">
        <is>
          <t>-</t>
        </is>
      </c>
      <c r="AA72" t="n">
        <v>58</v>
      </c>
      <c r="AB72" s="44" t="n">
        <v>38135.01</v>
      </c>
      <c r="AC72" t="n">
        <v>323</v>
      </c>
      <c r="AD72" s="45" t="n">
        <v>0.004369393066166585</v>
      </c>
      <c r="AE72" s="45" t="n">
        <v>0.2148186716590741</v>
      </c>
      <c r="AF72" t="n">
        <v>2</v>
      </c>
    </row>
    <row r="73" ht="109.5" customHeight="1" s="24">
      <c r="A73" s="30" t="inlineStr">
        <is>
          <t>AU1111-20</t>
        </is>
      </c>
      <c r="B73" s="30" t="inlineStr">
        <is>
          <t>Half Dozen Red Roses</t>
        </is>
      </c>
      <c r="C73" s="30" t="inlineStr">
        <is>
          <t>Roses</t>
        </is>
      </c>
      <c r="D73" s="43" t="inlineStr">
        <is>
          <t>READY TO REVIEW</t>
        </is>
      </c>
      <c r="E73" s="30" t="inlineStr">
        <is>
          <t>Half Dozen Red Roses offers a classic cluster of rich red blooms, perfectly judged for a heartfelt moment. A timeless gesture for an anniversary, a birthday or warm congratulations.</t>
        </is>
      </c>
      <c r="F73" s="30" t="inlineStr">
        <is>
          <t>Shopify (28 Sep)</t>
        </is>
      </c>
      <c r="G73" s="30" t="inlineStr">
        <is>
          <t>6 × Roses Red; 1 × Baby's Breath; 2 × Ruscus Israeli</t>
        </is>
      </c>
      <c r="H73" s="30" t="inlineStr">
        <is>
          <t>6 × Roses Red; 1 × Baby's Breath; 2 × Ruscus Israeli</t>
        </is>
      </c>
      <c r="I73" s="30" t="inlineStr">
        <is>
          <t>6 × Roses Red; 1 × Baby's Breath; 2 × Ruscus Israeli</t>
        </is>
      </c>
      <c r="J73" s="30" t="inlineStr">
        <is>
          <t>2 × Ruscus Israeli; 1 × Baby's Breath; 6 × Roses Red</t>
        </is>
      </c>
      <c r="K73" s="30" t="inlineStr">
        <is>
          <t>Y</t>
        </is>
      </c>
      <c r="L73" s="30" t="n"/>
      <c r="M73" s="30" t="inlineStr">
        <is>
          <t>A florist-designed bouquet of 6 red roses. Chosen for an anniversary or a thank-you, it says you were thinking of them.</t>
        </is>
      </c>
      <c r="N73" s="30">
        <f>LEN(TRIM(SUBSTITUTE(M73,CHAR(10)," ")))-LEN(SUBSTITUTE(TRIM(SUBSTITUTE(M73,CHAR(10)," "))," ",""))+1</f>
        <v/>
      </c>
      <c r="O73" s="30" t="inlineStr">
        <is>
          <t>&lt;p&gt;A florist-designed bouquet of 6 red roses. Chosen for an anniversary or a thank-you, it says you were thinking of them.&lt;/p&gt;</t>
        </is>
      </c>
      <c r="P73" s="29" t="inlineStr">
        <is>
          <t>ok</t>
        </is>
      </c>
      <c r="Q73" s="30" t="inlineStr">
        <is>
          <t>Half Dozen Red Roses brings together 6 red roses. It suits an anniversary or a thank-you.
Red tones say love and devotion. We hand-arrange each one at Aussie Blooms so it looks the way you pictured it, ready for the kitchen bench.</t>
        </is>
      </c>
      <c r="R73" s="30" t="inlineStr">
        <is>
          <t>&lt;p&gt;Half Dozen Red Roses brings together 6 red roses. It suits an anniversary or a thank-you.&lt;/p&gt;&lt;p&gt;Red tones say love and devotion. We hand-arrange each one at Aussie Blooms so it looks the way you pictured it, ready for the kitchen bench.&lt;/p&gt;</t>
        </is>
      </c>
      <c r="S73" s="29" t="inlineStr">
        <is>
          <t>ok</t>
        </is>
      </c>
      <c r="T73" s="30" t="inlineStr">
        <is>
          <t>Inside the bunch: 6 red roses. Say it with flowers, and let the flowers do the talking.</t>
        </is>
      </c>
      <c r="U73" s="30" t="inlineStr">
        <is>
          <t>&lt;p&gt;Inside the bunch: 6 red roses. Say it with flowers, and let the flowers do the talking.&lt;/p&gt;</t>
        </is>
      </c>
      <c r="V73" s="29" t="inlineStr">
        <is>
          <t>ok</t>
        </is>
      </c>
      <c r="W73" s="30" t="n"/>
      <c r="X73" s="30" t="inlineStr">
        <is>
          <t>n/a (Mel's: mason jar products only)</t>
        </is>
      </c>
      <c r="Y73" s="30" t="n"/>
      <c r="Z73" s="48" t="inlineStr">
        <is>
          <t>-</t>
        </is>
      </c>
      <c r="AA73" t="n">
        <v>40</v>
      </c>
      <c r="AB73" s="44" t="n">
        <v>54146.16</v>
      </c>
      <c r="AC73" t="n">
        <v>781</v>
      </c>
      <c r="AD73" s="45" t="n">
        <v>0.00620390212577589</v>
      </c>
      <c r="AE73" s="45" t="n">
        <v>0.3050112437998895</v>
      </c>
      <c r="AF73" t="n">
        <v>1</v>
      </c>
    </row>
    <row r="74" ht="109.5" customHeight="1" s="24">
      <c r="A74" s="30" t="inlineStr">
        <is>
          <t>AU1211-03</t>
        </is>
      </c>
      <c r="B74" s="30" t="inlineStr">
        <is>
          <t>Two Dozen Yellow Roses</t>
        </is>
      </c>
      <c r="C74" s="30" t="inlineStr">
        <is>
          <t>Roses</t>
        </is>
      </c>
      <c r="D74" s="43" t="inlineStr">
        <is>
          <t>READY TO REVIEW</t>
        </is>
      </c>
      <c r="E74" s="30" t="inlineStr">
        <is>
          <t>Two dozen sun-drenched yellow roses, arranged in radiant abundance for a gift that simply glows. Cheerful and uplifting, they're a wonderful way to mark a birthday, celebrate a hard-earned congratulations or wish someone joy in a brand-new home.</t>
        </is>
      </c>
      <c r="F74" s="30" t="inlineStr">
        <is>
          <t>Shopify (28 Sep)</t>
        </is>
      </c>
      <c r="G74" s="30" t="inlineStr">
        <is>
          <t>24 × Roses Yellow; 3 × Baby's Breath; 4 × Ruscus Israeli</t>
        </is>
      </c>
      <c r="H74" s="30" t="inlineStr">
        <is>
          <t>24 × Roses Yellow; 3 × Baby's Breath; 4 × Ruscus Israeli</t>
        </is>
      </c>
      <c r="I74" s="30" t="inlineStr">
        <is>
          <t>24 × Roses Yellow; 3 × Baby's Breath; 4 × Ruscus Israeli</t>
        </is>
      </c>
      <c r="J74" s="30" t="inlineStr">
        <is>
          <t>4 × Ruscus Israeli; 3 × Baby's Breath; 24 × Roses Yellow</t>
        </is>
      </c>
      <c r="K74" s="30" t="inlineStr">
        <is>
          <t>Y</t>
        </is>
      </c>
      <c r="L74" s="30" t="n"/>
      <c r="M74" s="30" t="inlineStr">
        <is>
          <t>A fresh arrangement of 24 yellow roses. Chosen for a birthday, a thank-you or a just-because moment, it is a gift that says you care.</t>
        </is>
      </c>
      <c r="N74" s="30">
        <f>LEN(TRIM(SUBSTITUTE(M74,CHAR(10)," ")))-LEN(SUBSTITUTE(TRIM(SUBSTITUTE(M74,CHAR(10)," "))," ",""))+1</f>
        <v/>
      </c>
      <c r="O74" s="30" t="inlineStr">
        <is>
          <t>&lt;p&gt;A fresh arrangement of 24 yellow roses. Chosen for a birthday, a thank-you or a just-because moment, it is a gift that says you care.&lt;/p&gt;</t>
        </is>
      </c>
      <c r="P74" s="29" t="inlineStr">
        <is>
          <t>ok</t>
        </is>
      </c>
      <c r="Q74" s="30" t="inlineStr">
        <is>
          <t>Two Dozen Yellow Roses brings together 24 yellow roses. It suits a birthday, a thank-you or a just-because moment.
Yellow tones say friendship and cheer. We hand-arrange each one at Aussie Blooms so it looks the way you pictured it, ready for the bedside table.</t>
        </is>
      </c>
      <c r="R74" s="30" t="inlineStr">
        <is>
          <t>&lt;p&gt;Two Dozen Yellow Roses brings together 24 yellow roses. It suits a birthday, a thank-you or a just-because moment.&lt;/p&gt;&lt;p&gt;Yellow tones say friendship and cheer. We hand-arrange each one at Aussie Blooms so it looks the way you pictured it, ready for the bedside table.&lt;/p&gt;</t>
        </is>
      </c>
      <c r="S74" s="29" t="inlineStr">
        <is>
          <t>ok</t>
        </is>
      </c>
      <c r="T74" s="30" t="inlineStr">
        <is>
          <t>The bunch holds: 24 yellow roses. Enough colour to turn an ordinary bench into the best spot in the house.</t>
        </is>
      </c>
      <c r="U74" s="30" t="inlineStr">
        <is>
          <t>&lt;p&gt;The bunch holds: 24 yellow roses. Enough colour to turn an ordinary bench into the best spot in the house.&lt;/p&gt;</t>
        </is>
      </c>
      <c r="V74" s="29" t="inlineStr">
        <is>
          <t>ok</t>
        </is>
      </c>
      <c r="W74" s="30" t="n"/>
      <c r="X74" s="30" t="inlineStr">
        <is>
          <t>n/a (Mel's: mason jar products only)</t>
        </is>
      </c>
      <c r="Y74" s="30" t="n"/>
      <c r="Z74" s="48" t="inlineStr">
        <is>
          <t>-</t>
        </is>
      </c>
      <c r="AA74" t="n">
        <v>213</v>
      </c>
      <c r="AB74" s="44" t="n">
        <v>2184.82</v>
      </c>
      <c r="AC74" t="n">
        <v>13</v>
      </c>
      <c r="AD74" s="45" t="n">
        <v>0.0002503300408331421</v>
      </c>
      <c r="AE74" s="45" t="n">
        <v>0.01230733102602657</v>
      </c>
      <c r="AF74" t="n">
        <v>10</v>
      </c>
    </row>
    <row r="75" ht="109.5" customHeight="1" s="24">
      <c r="A75" s="30" t="inlineStr">
        <is>
          <t>AU1211-04</t>
        </is>
      </c>
      <c r="B75" s="30" t="inlineStr">
        <is>
          <t>24 Red and Yellow Roses</t>
        </is>
      </c>
      <c r="C75" s="30" t="inlineStr">
        <is>
          <t>Roses</t>
        </is>
      </c>
      <c r="D75" s="46" t="inlineStr">
        <is>
          <t>READY - NOTIFY JARROD</t>
        </is>
      </c>
      <c r="E75" s="30" t="inlineStr">
        <is>
          <t>Twenty-four roses in vivid red and golden yellow, blended for a bouquet that balances passion with warmth. Striking and full of life, this bold pairing brings cheer and heartfelt sentiment to any occasion worth celebrating.</t>
        </is>
      </c>
      <c r="F75" s="30" t="inlineStr">
        <is>
          <t>Shopify (28 Sep)</t>
        </is>
      </c>
      <c r="G75" s="30" t="inlineStr">
        <is>
          <t>24 × Roses Yellow; 3 × Baby's Breath; 4 × Ruscus Israeli</t>
        </is>
      </c>
      <c r="H75" s="30" t="inlineStr">
        <is>
          <t>24 × Roses Yellow; 3 × Baby's Breath; 4 × Ruscus Israeli</t>
        </is>
      </c>
      <c r="I75" s="31" t="inlineStr">
        <is>
          <t>4 × Ruscus Israeli; 3 × Baby's Breath; 12 × Roses Yellow; 12 × Roses Red</t>
        </is>
      </c>
      <c r="J75" s="30" t="inlineStr">
        <is>
          <t>4 × Ruscus Israeli; 3 × Baby's Breath; 24 × Roses Yellow</t>
        </is>
      </c>
      <c r="K75" s="30" t="inlineStr">
        <is>
          <t>Y</t>
        </is>
      </c>
      <c r="L75" s="30" t="n"/>
      <c r="M75" s="30" t="inlineStr">
        <is>
          <t>A florist-designed bouquet of 12 red roses and 12 yellow roses. Chosen for an anniversary or a thank-you, it says you were thinking of them.</t>
        </is>
      </c>
      <c r="N75" s="30">
        <f>LEN(TRIM(SUBSTITUTE(M75,CHAR(10)," ")))-LEN(SUBSTITUTE(TRIM(SUBSTITUTE(M75,CHAR(10)," "))," ",""))+1</f>
        <v/>
      </c>
      <c r="O75" s="30" t="inlineStr">
        <is>
          <t>&lt;p&gt;A florist-designed bouquet of 12 red roses and 12 yellow roses. Chosen for an anniversary or a thank-you, it says you were thinking of them.&lt;/p&gt;</t>
        </is>
      </c>
      <c r="P75" s="29" t="inlineStr">
        <is>
          <t>ok</t>
        </is>
      </c>
      <c r="Q75" s="30" t="inlineStr">
        <is>
          <t>24 Red and Yellow Roses brings together 12 red roses and 12 yellow roses. It suits an anniversary or a thank-you.
Red tones say love and devotion. We hand-arrange each one at Aussie Blooms so it looks the way you pictured it, ready for a summer table.</t>
        </is>
      </c>
      <c r="R75" s="30" t="inlineStr">
        <is>
          <t>&lt;p&gt;24 Red and Yellow Roses brings together 12 red roses and 12 yellow roses. It suits an anniversary or a thank-you.&lt;/p&gt;&lt;p&gt;Red tones say love and devotion. We hand-arrange each one at Aussie Blooms so it looks the way you pictured it, ready for a summer table.&lt;/p&gt;</t>
        </is>
      </c>
      <c r="S75" s="29" t="inlineStr">
        <is>
          <t>ok</t>
        </is>
      </c>
      <c r="T75" s="30" t="inlineStr">
        <is>
          <t>Inside the bunch: 12 red roses and 12 yellow roses. Say it with flowers, and let the flowers do the talking.</t>
        </is>
      </c>
      <c r="U75" s="30" t="inlineStr">
        <is>
          <t>&lt;p&gt;Inside the bunch: 12 red roses and 12 yellow roses. Say it with flowers, and let the flowers do the talking.&lt;/p&gt;</t>
        </is>
      </c>
      <c r="V75" s="29" t="inlineStr">
        <is>
          <t>ok</t>
        </is>
      </c>
      <c r="W75" s="30" t="n"/>
      <c r="X75" s="30" t="inlineStr">
        <is>
          <t>n/a (Mel's: mason jar products only)</t>
        </is>
      </c>
      <c r="Y75" s="30" t="n"/>
      <c r="Z75" s="48" t="inlineStr">
        <is>
          <t>-</t>
        </is>
      </c>
      <c r="AA75" t="n">
        <v>235</v>
      </c>
      <c r="AB75" s="44" t="n">
        <v>457.63</v>
      </c>
      <c r="AC75" t="n">
        <v>2</v>
      </c>
      <c r="AD75" s="45" t="n">
        <v>5.243385568901366e-05</v>
      </c>
      <c r="AE75" s="45" t="n">
        <v>0.002577880053020632</v>
      </c>
      <c r="AF75" t="n">
        <v>14</v>
      </c>
    </row>
    <row r="76" ht="109.5" customHeight="1" s="24">
      <c r="A76" s="30" t="inlineStr">
        <is>
          <t>AU115-12</t>
        </is>
      </c>
      <c r="B76" s="30" t="inlineStr">
        <is>
          <t>12 Red Roses, Chocolates, Card &amp; Wine</t>
        </is>
      </c>
      <c r="C76" s="30" t="inlineStr">
        <is>
          <t>Roses</t>
        </is>
      </c>
      <c r="D76" s="43" t="inlineStr">
        <is>
          <t>READY TO REVIEW</t>
        </is>
      </c>
      <c r="E76" s="30" t="inlineStr">
        <is>
          <t>A dozen deep red roses arranged with sumptuous chocolates, a personalised card and a fine bottle of wine. An unmistakably romantic gift to celebrate an anniversary or express your deepest affection. 
 Disclaimer – Purchaser must be 18 years old or over to purchase this product. The recipient, by law, must be at least 18 years of age, with proof of age.</t>
        </is>
      </c>
      <c r="F76" s="30" t="inlineStr">
        <is>
          <t>Shopify (28 Sep)</t>
        </is>
      </c>
      <c r="G76" s="30" t="inlineStr">
        <is>
          <t>12 × Roses Red; 2 × Baby's Breath; 3 × Ruscus Israeli; 1 × Greeting Card; 1 × Small Chocolates; 1 × Regular White Wine</t>
        </is>
      </c>
      <c r="H76" s="30" t="inlineStr">
        <is>
          <t>12 × Roses Red; 2 × Baby's Breath; 3 × Ruscus Israeli; 1 × Greeting Card; 1 × Small Chocolates; 1 × Regular White Wine</t>
        </is>
      </c>
      <c r="I76" s="30" t="inlineStr">
        <is>
          <t>12 × Roses Red; 2 × Baby's Breath; 3 × Ruscus Israeli; 1 × Greeting Card; 1 × Small Chocolates; 1 × Regular White Wine</t>
        </is>
      </c>
      <c r="J76" s="30" t="inlineStr">
        <is>
          <t>3 × Ruscus Israeli; 1 × Regular White Wine; 1 × Small Chocolates; 1 × Greeting Card; 2 × Baby's Breath; 12 × Roses Red</t>
        </is>
      </c>
      <c r="K76" s="30" t="inlineStr">
        <is>
          <t>Y</t>
        </is>
      </c>
      <c r="L76" s="30" t="n"/>
      <c r="M76" s="30" t="inlineStr">
        <is>
          <t>A hand-arranged bouquet of 12 red roses, plus a greeting card, a box of small chocolates and a bottle of white wine. A warm gift for an anniversary or a thank-you.
Purchaser must be 18 years old or over to purchase this product. The recipient, by law, must be at least 18 years of age, with proof of age.</t>
        </is>
      </c>
      <c r="N76" s="30">
        <f>LEN(TRIM(SUBSTITUTE(M76,CHAR(10)," ")))-LEN(SUBSTITUTE(TRIM(SUBSTITUTE(M76,CHAR(10)," "))," ",""))+1</f>
        <v/>
      </c>
      <c r="O76" s="30" t="inlineStr">
        <is>
          <t>&lt;p&gt;A hand-arranged bouquet of 12 red roses, plus a greeting card, a box of small chocolates and a bottle of white wine. A warm gift for an anniversary or a thank-you.&lt;/p&gt;&lt;p&gt;Purchaser must be 18 years old or over to purchase this product. The recipient, by law, must be at least 18 years of age, with proof of age.&lt;/p&gt;</t>
        </is>
      </c>
      <c r="P76" s="29" t="inlineStr">
        <is>
          <t>ok</t>
        </is>
      </c>
      <c r="Q76" s="30" t="inlineStr">
        <is>
          <t>12 Red Roses, Chocolates, Card &amp; Wine brings together 12 red roses, plus a greeting card, a box of small chocolates and a bottle of white wine. It suits an anniversary or a thank-you.
Red tones say love and devotion. We hand-arrange each one at Aussie Blooms so it looks the way you pictured it, ready for the bedside table.
Purchaser must be 18 years old or over to purchase this product. The recipient, by law, must be at least 18 years of age, with proof of age.</t>
        </is>
      </c>
      <c r="R76" s="30" t="inlineStr">
        <is>
          <t>&lt;p&gt;12 Red Roses, Chocolates, Card &amp;amp; Wine brings together 12 red roses, plus a greeting card, a box of small chocolates and a bottle of white wine. It suits an anniversary or a thank-you.&lt;/p&gt;&lt;p&gt;Red tones say love and devotion. We hand-arrange each one at Aussie Blooms so it looks the way you pictured it, ready for the bedside table.&lt;/p&gt;&lt;p&gt;Purchaser must be 18 years old or over to purchase this product. The recipient, by law, must be at least 18 years of age, with proof of age.&lt;/p&gt;</t>
        </is>
      </c>
      <c r="S76" s="29" t="inlineStr">
        <is>
          <t>ok</t>
        </is>
      </c>
      <c r="T76" s="30" t="inlineStr">
        <is>
          <t>In this bunch: 12 red roses, plus a greeting card, a box of small chocolates and a bottle of white wine. Some things need no speech. Put these on the table and the message is delivered.
Purchaser must be 18 years old or over to purchase this product. The recipient, by law, must be at least 18 years of age, with proof of age.</t>
        </is>
      </c>
      <c r="U76" s="30" t="inlineStr">
        <is>
          <t>&lt;p&gt;In this bunch: 12 red roses, plus a greeting card, a box of small chocolates and a bottle of white wine. Some things need no speech. Put these on the table and the message is delivered.&lt;/p&gt;&lt;p&gt;Purchaser must be 18 years old or over to purchase this product. The recipient, by law, must be at least 18 years of age, with proof of age.&lt;/p&gt;</t>
        </is>
      </c>
      <c r="V76" s="47" t="inlineStr">
        <is>
          <t>delivery promise</t>
        </is>
      </c>
      <c r="W76" s="30" t="n"/>
      <c r="X76" s="30" t="inlineStr">
        <is>
          <t>n/a (Mel's: mason jar products only)</t>
        </is>
      </c>
      <c r="Y76" s="30" t="n"/>
      <c r="Z76" s="48" t="inlineStr">
        <is>
          <t>-</t>
        </is>
      </c>
      <c r="AA76" t="n">
        <v>168</v>
      </c>
      <c r="AB76" s="44" t="n">
        <v>4374.44</v>
      </c>
      <c r="AC76" t="n">
        <v>28</v>
      </c>
      <c r="AD76" s="45" t="n">
        <v>0.0005012100510898519</v>
      </c>
      <c r="AE76" s="45" t="n">
        <v>0.02464170097925306</v>
      </c>
      <c r="AF76" t="n">
        <v>8</v>
      </c>
    </row>
    <row r="77" ht="109.5" customHeight="1" s="24">
      <c r="A77" s="30" t="inlineStr">
        <is>
          <t>AU1151-01</t>
        </is>
      </c>
      <c r="B77" s="30" t="inlineStr">
        <is>
          <t>Dozen Assorted Roses &amp; Card</t>
        </is>
      </c>
      <c r="C77" s="30" t="inlineStr">
        <is>
          <t>Roses</t>
        </is>
      </c>
      <c r="D77" s="43" t="inlineStr">
        <is>
          <t>READY TO REVIEW</t>
        </is>
      </c>
      <c r="E77" s="30" t="inlineStr">
        <is>
          <t>A dazzling dozen of assorted roses, generously gathered and ready to brighten any room, arrives with a card to carry your message. It's a timeless, heartfelt way to honour Mum and tell her she's treasured.</t>
        </is>
      </c>
      <c r="F77" s="30" t="inlineStr">
        <is>
          <t>Shopify (28 Sep)</t>
        </is>
      </c>
      <c r="G77" s="30" t="inlineStr">
        <is>
          <t>12 × Roses Assorted; 2 × Baby's Breath; 3 × Ruscus Israeli; 1 × Greeting Card</t>
        </is>
      </c>
      <c r="H77" s="30" t="inlineStr">
        <is>
          <t>12 × Roses Assorted; 2 × Baby's Breath; 3 × Ruscus Israeli; 1 × Greeting Card</t>
        </is>
      </c>
      <c r="I77" s="30" t="inlineStr">
        <is>
          <t>12 × Roses Assorted; 2 × Baby's Breath; 3 × Ruscus Israeli; 1 × Greeting Card</t>
        </is>
      </c>
      <c r="J77" s="30" t="inlineStr">
        <is>
          <t>3 × Ruscus Israeli; 1 × Greeting Card; 2 × Baby's Breath; 12 × Roses Assorted</t>
        </is>
      </c>
      <c r="K77" s="30" t="inlineStr">
        <is>
          <t>Y</t>
        </is>
      </c>
      <c r="L77" s="30" t="n"/>
      <c r="M77" s="30" t="inlineStr">
        <is>
          <t>A fresh arrangement of 12 assorted-colour roses, plus a greeting card. A lovely way to mark a birthday, a thank-you or a just-because moment, and a bright moment when the door opens.</t>
        </is>
      </c>
      <c r="N77" s="30">
        <f>LEN(TRIM(SUBSTITUTE(M77,CHAR(10)," ")))-LEN(SUBSTITUTE(TRIM(SUBSTITUTE(M77,CHAR(10)," "))," ",""))+1</f>
        <v/>
      </c>
      <c r="O77" s="30" t="inlineStr">
        <is>
          <t>&lt;p&gt;A fresh arrangement of 12 assorted-colour roses, plus a greeting card. A lovely way to mark a birthday, a thank-you or a just-because moment, and a bright moment when the door opens.&lt;/p&gt;</t>
        </is>
      </c>
      <c r="P77" s="29" t="inlineStr">
        <is>
          <t>ok</t>
        </is>
      </c>
      <c r="Q77" s="30" t="inlineStr">
        <is>
          <t>Dozen Assorted Roses &amp; Card brings together 12 assorted-colour roses, plus a greeting card. It suits a birthday, a thank-you or a just-because moment.
Mixed colours say thoughtfulness. We hand-arrange each one at Aussie Blooms so it looks the way you pictured it, ready for a Sunday lunch.</t>
        </is>
      </c>
      <c r="R77" s="30" t="inlineStr">
        <is>
          <t>&lt;p&gt;Dozen Assorted Roses &amp;amp; Card brings together 12 assorted-colour roses, plus a greeting card. It suits a birthday, a thank-you or a just-because moment.&lt;/p&gt;&lt;p&gt;Mixed colours say thoughtfulness. We hand-arrange each one at Aussie Blooms so it looks the way you pictured it, ready for a Sunday lunch.&lt;/p&gt;</t>
        </is>
      </c>
      <c r="S77" s="29" t="inlineStr">
        <is>
          <t>ok</t>
        </is>
      </c>
      <c r="T77" s="30" t="inlineStr">
        <is>
          <t>The bunch holds: 12 assorted-colour roses, plus a greeting card. A simple good turn for a birthday, a thank-you or no reason at all.</t>
        </is>
      </c>
      <c r="U77" s="30" t="inlineStr">
        <is>
          <t>&lt;p&gt;The bunch holds: 12 assorted-colour roses, plus a greeting card. A simple good turn for a birthday, a thank-you or no reason at all.&lt;/p&gt;</t>
        </is>
      </c>
      <c r="V77" s="29" t="inlineStr">
        <is>
          <t>ok</t>
        </is>
      </c>
      <c r="W77" s="30" t="n"/>
      <c r="X77" s="30" t="inlineStr">
        <is>
          <t>n/a (Mel's: mason jar products only)</t>
        </is>
      </c>
      <c r="Y77" s="30" t="n"/>
      <c r="Z77" s="48" t="inlineStr">
        <is>
          <t>-</t>
        </is>
      </c>
      <c r="AA77" t="n">
        <v>71</v>
      </c>
      <c r="AB77" s="44" t="n">
        <v>29261.4</v>
      </c>
      <c r="AC77" t="n">
        <v>385</v>
      </c>
      <c r="AD77" s="45" t="n">
        <v>0.003352682352246366</v>
      </c>
      <c r="AE77" s="45" t="n">
        <v>0.1648326800766076</v>
      </c>
      <c r="AF77" t="n">
        <v>3</v>
      </c>
    </row>
    <row r="78" ht="109.5" customHeight="1" s="24">
      <c r="A78" s="30" t="inlineStr">
        <is>
          <t>AUFS-01</t>
        </is>
      </c>
      <c r="B78" s="30" t="inlineStr">
        <is>
          <t>Dozen Mixed Roses, Vase &amp; Card</t>
        </is>
      </c>
      <c r="C78" s="30" t="inlineStr">
        <is>
          <t>Roses</t>
        </is>
      </c>
      <c r="D78" s="43" t="inlineStr">
        <is>
          <t>READY TO REVIEW</t>
        </is>
      </c>
      <c r="E78" s="30" t="inlineStr">
        <is>
          <t>A dozen mixed roses in a glorious blend of colours, presented in a quality vase with a card for your message. Versatile and uplifting, it's a beautiful choice for an anniversary, a birthday or simply wishing someone well.</t>
        </is>
      </c>
      <c r="F78" s="30" t="inlineStr">
        <is>
          <t>Shopify (28 Sep)</t>
        </is>
      </c>
      <c r="G78" s="30" t="inlineStr">
        <is>
          <t>12 × Roses Assorted; 2 × Baby's Breath; 3 × Ruscus Israeli; 1 × Glass Vase Clear; 1 × Greeting Card</t>
        </is>
      </c>
      <c r="H78" s="30" t="inlineStr">
        <is>
          <t>12 × Roses Assorted; 2 × Baby's Breath; 3 × Ruscus Israeli; 1 × Glass Vase Clear; 1 × Greeting Card</t>
        </is>
      </c>
      <c r="I78" s="30" t="inlineStr">
        <is>
          <t>12 × Roses Assorted; 2 × Baby's Breath; 3 × Ruscus Israeli; 1 × Glass Vase Clear; 1 × Greeting Card</t>
        </is>
      </c>
      <c r="J78" s="30" t="inlineStr">
        <is>
          <t>3 × Ruscus Israeli; 1 × Greeting Card; 1 × Glass Vase Clear; 2 × Baby's Breath; 12 × Roses Assorted</t>
        </is>
      </c>
      <c r="K78" s="30" t="inlineStr">
        <is>
          <t>Y</t>
        </is>
      </c>
      <c r="L78" s="30" t="n"/>
      <c r="M78" s="30" t="inlineStr">
        <is>
          <t>A hand-arranged bouquet of 12 assorted-colour roses in a clear glass vase, plus a greeting card. A lovely way to mark a birthday, a thank-you or a just-because moment, with a vase to keep once the flowers are gone.</t>
        </is>
      </c>
      <c r="N78" s="30">
        <f>LEN(TRIM(SUBSTITUTE(M78,CHAR(10)," ")))-LEN(SUBSTITUTE(TRIM(SUBSTITUTE(M78,CHAR(10)," "))," ",""))+1</f>
        <v/>
      </c>
      <c r="O78" s="30" t="inlineStr">
        <is>
          <t>&lt;p&gt;A hand-arranged bouquet of 12 assorted-colour roses in a clear glass vase, plus a greeting card. A lovely way to mark a birthday, a thank-you or a just-because moment, with a vase to keep once the flowers are gone.&lt;/p&gt;</t>
        </is>
      </c>
      <c r="P78" s="29" t="inlineStr">
        <is>
          <t>ok</t>
        </is>
      </c>
      <c r="Q78" s="30" t="inlineStr">
        <is>
          <t>Dozen Mixed Roses, Vase &amp; Card brings together 12 assorted-colour roses, arranged in a clear glass vase, plus a greeting card. It suits a birthday, a thank-you or a just-because moment.
Mixed colours say thoughtfulness. We hand-arrange each one at Aussie Blooms so it looks the way you pictured it, ready for the bedside table.</t>
        </is>
      </c>
      <c r="R78" s="30" t="inlineStr">
        <is>
          <t>&lt;p&gt;Dozen Mixed Roses, Vase &amp;amp; Card brings together 12 assorted-colour roses, arranged in a clear glass vase, plus a greeting card. It suits a birthday, a thank-you or a just-because moment.&lt;/p&gt;&lt;p&gt;Mixed colours say thoughtfulness. We hand-arrange each one at Aussie Blooms so it looks the way you pictured it, ready for the bedside table.&lt;/p&gt;</t>
        </is>
      </c>
      <c r="S78" s="29" t="inlineStr">
        <is>
          <t>ok</t>
        </is>
      </c>
      <c r="T78" s="30" t="inlineStr">
        <is>
          <t>In this bunch: 12 assorted-colour roses in a clear glass vase, plus a greeting card. Hand it over and watch the day get a little better.</t>
        </is>
      </c>
      <c r="U78" s="30" t="inlineStr">
        <is>
          <t>&lt;p&gt;In this bunch: 12 assorted-colour roses in a clear glass vase, plus a greeting card. Hand it over and watch the day get a little better.&lt;/p&gt;</t>
        </is>
      </c>
      <c r="V78" s="29" t="inlineStr">
        <is>
          <t>ok</t>
        </is>
      </c>
      <c r="W78" s="30" t="n"/>
      <c r="X78" s="30" t="inlineStr">
        <is>
          <t>n/a (Mel's: mason jar products only)</t>
        </is>
      </c>
      <c r="Y78" s="30" t="n"/>
      <c r="Z78" s="48" t="inlineStr">
        <is>
          <t>-</t>
        </is>
      </c>
      <c r="AA78" t="n">
        <v>102</v>
      </c>
      <c r="AB78" s="44" t="n">
        <v>15330.78</v>
      </c>
      <c r="AC78" t="n">
        <v>132</v>
      </c>
      <c r="AD78" s="45" t="n">
        <v>0.001756554560281415</v>
      </c>
      <c r="AE78" s="45" t="n">
        <v>0.08635998446974151</v>
      </c>
      <c r="AF78" t="n">
        <v>4</v>
      </c>
    </row>
    <row r="79" ht="109.5" customHeight="1" s="24">
      <c r="A79" s="30" t="inlineStr">
        <is>
          <t>AUFS-03</t>
        </is>
      </c>
      <c r="B79" s="30" t="inlineStr">
        <is>
          <t>Dozen Roses, Chocolates, Vase &amp; Card</t>
        </is>
      </c>
      <c r="C79" s="30" t="inlineStr">
        <is>
          <t>Roses</t>
        </is>
      </c>
      <c r="D79" s="43" t="inlineStr">
        <is>
          <t>READY TO REVIEW</t>
        </is>
      </c>
      <c r="E79" s="30" t="inlineStr">
        <is>
          <t>A dozen romantic red roses arrive in their own vase, paired with indulgent chocolates and a card to carry your words. It's a complete declaration of love, beautifully presented and ready to sweep someone off their feet.</t>
        </is>
      </c>
      <c r="F79" s="30" t="inlineStr">
        <is>
          <t>Shopify (28 Sep)</t>
        </is>
      </c>
      <c r="G79" s="30" t="inlineStr">
        <is>
          <t>12 × Roses Red; 2 × Baby's Breath; 3 × Ruscus Israeli; 1 × Glass Vase Clear; 1 × Greeting Card; 1 × Small Chocolates</t>
        </is>
      </c>
      <c r="H79" s="30" t="inlineStr">
        <is>
          <t>12 × Roses Red; 2 × Baby's Breath; 3 × Ruscus Israeli; 1 × Glass Vase Clear; 1 × Greeting Card; 1 × Small Chocolates</t>
        </is>
      </c>
      <c r="I79" s="30" t="inlineStr">
        <is>
          <t>12 × Roses Red; 2 × Baby's Breath; 3 × Ruscus Israeli; 1 × Glass Vase Clear; 1 × Greeting Card; 1 × Small Chocolates</t>
        </is>
      </c>
      <c r="J79" s="30" t="inlineStr">
        <is>
          <t>12 × Roses Red; 1 × Small Chocolates; 1 × Greeting Card; 1 × Glass Vase Clear; 3 × Ruscus Israeli; 2 × Baby's Breath</t>
        </is>
      </c>
      <c r="K79" s="30" t="inlineStr">
        <is>
          <t>Y</t>
        </is>
      </c>
      <c r="L79" s="30" t="n"/>
      <c r="M79" s="30" t="inlineStr">
        <is>
          <t>A hand-arranged bouquet of 12 red roses in a clear glass vase, plus a greeting card and a box of small chocolates. A lovely way to mark an anniversary or a thank-you, with a vase to keep once the flowers are gone.</t>
        </is>
      </c>
      <c r="N79" s="30">
        <f>LEN(TRIM(SUBSTITUTE(M79,CHAR(10)," ")))-LEN(SUBSTITUTE(TRIM(SUBSTITUTE(M79,CHAR(10)," "))," ",""))+1</f>
        <v/>
      </c>
      <c r="O79" s="30" t="inlineStr">
        <is>
          <t>&lt;p&gt;A hand-arranged bouquet of 12 red roses in a clear glass vase, plus a greeting card and a box of small chocolates. A lovely way to mark an anniversary or a thank-you, with a vase to keep once the flowers are gone.&lt;/p&gt;</t>
        </is>
      </c>
      <c r="P79" s="29" t="inlineStr">
        <is>
          <t>ok</t>
        </is>
      </c>
      <c r="Q79" s="30" t="inlineStr">
        <is>
          <t>Dozen Roses, Chocolates, Vase &amp; Card brings together 12 red roses, arranged in a clear glass vase, plus a greeting card and a box of small chocolates. It suits an anniversary or a thank-you.
Red tones say love and devotion. We hand-arrange each one at Aussie Blooms so it looks the way you pictured it, ready for the kitchen bench.</t>
        </is>
      </c>
      <c r="R79" s="30" t="inlineStr">
        <is>
          <t>&lt;p&gt;Dozen Roses, Chocolates, Vase &amp;amp; Card brings together 12 red roses, arranged in a clear glass vase, plus a greeting card and a box of small chocolates. It suits an anniversary or a thank-you.&lt;/p&gt;&lt;p&gt;Red tones say love and devotion. We hand-arrange each one at Aussie Blooms so it looks the way you pictured it, ready for the kitchen bench.&lt;/p&gt;</t>
        </is>
      </c>
      <c r="S79" s="29" t="inlineStr">
        <is>
          <t>ok</t>
        </is>
      </c>
      <c r="T79" s="30" t="inlineStr">
        <is>
          <t>In this bunch: 12 red roses in a clear glass vase, plus a greeting card and a box of small chocolates. Some things need no speech. Put these on the table and the message is delivered.</t>
        </is>
      </c>
      <c r="U79" s="30" t="inlineStr">
        <is>
          <t>&lt;p&gt;In this bunch: 12 red roses in a clear glass vase, plus a greeting card and a box of small chocolates. Some things need no speech. Put these on the table and the message is delivered.&lt;/p&gt;</t>
        </is>
      </c>
      <c r="V79" s="47" t="inlineStr">
        <is>
          <t>delivery promise</t>
        </is>
      </c>
      <c r="W79" s="30" t="n"/>
      <c r="X79" s="30" t="inlineStr">
        <is>
          <t>n/a (Mel's: mason jar products only)</t>
        </is>
      </c>
      <c r="Y79" s="30" t="n"/>
      <c r="Z79" s="48" t="inlineStr">
        <is>
          <t>-</t>
        </is>
      </c>
      <c r="AA79" t="n">
        <v>116</v>
      </c>
      <c r="AB79" s="44" t="n">
        <v>11028.59</v>
      </c>
      <c r="AC79" t="n">
        <v>67</v>
      </c>
      <c r="AD79" s="45" t="n">
        <v>0.001263622351054999</v>
      </c>
      <c r="AE79" s="45" t="n">
        <v>0.06212525877661607</v>
      </c>
      <c r="AF79" t="n">
        <v>5</v>
      </c>
    </row>
    <row r="80" ht="109.5" customHeight="1" s="24">
      <c r="A80" s="30" t="inlineStr">
        <is>
          <t>AUFS-10</t>
        </is>
      </c>
      <c r="B80" s="30" t="inlineStr">
        <is>
          <t>Dozen Red Roses &amp; Shiraz</t>
        </is>
      </c>
      <c r="C80" s="30" t="inlineStr">
        <is>
          <t>Roses</t>
        </is>
      </c>
      <c r="D80" s="43" t="inlineStr">
        <is>
          <t>READY TO REVIEW</t>
        </is>
      </c>
      <c r="E80" s="30" t="inlineStr">
        <is>
          <t>A dozen romantic red roses arrive with a bottle of Shiraz for a gift that's equal parts elegant and indulgent. Whether it's an anniversary, a quiet just-because moment or a heartfelt gesture of love, it's made to be savoured together. 
 Disclaimer – Purchaser must be 18 years old or over to purchase this product. The recipient, by law, must be at least 18 years of age, with proof of age.</t>
        </is>
      </c>
      <c r="F80" s="30" t="inlineStr">
        <is>
          <t>Shopify (28 Sep)</t>
        </is>
      </c>
      <c r="G80" s="30" t="inlineStr">
        <is>
          <t>12 × Roses Red; 2 × Baby's Breath; 3 × Ruscus Israeli; 1 × Premium Red Wine</t>
        </is>
      </c>
      <c r="H80" s="30" t="inlineStr">
        <is>
          <t>12 × Roses Red; 2 × Baby's Breath; 3 × Ruscus Israeli; 1 × Premium Red Wine</t>
        </is>
      </c>
      <c r="I80" s="30" t="inlineStr">
        <is>
          <t>12 × Roses Red; 2 × Baby's Breath; 3 × Ruscus Israeli; 1 × Premium Red Wine</t>
        </is>
      </c>
      <c r="J80" s="30" t="inlineStr">
        <is>
          <t>3 × Ruscus Israeli; 1 × Premium Red Wine; 2 × Baby's Breath; 12 × Roses Red</t>
        </is>
      </c>
      <c r="K80" s="30" t="inlineStr">
        <is>
          <t>Y</t>
        </is>
      </c>
      <c r="L80" s="30" t="n"/>
      <c r="M80" s="30" t="inlineStr">
        <is>
          <t>A hand-arranged bouquet of 12 red roses, plus a bottle of red wine. A lovely way to mark an anniversary or a thank-you, and a bright moment when the door opens.
Purchaser must be 18 years old or over to purchase this product. The recipient, by law, must be at least 18 years of age, with proof of age.</t>
        </is>
      </c>
      <c r="N80" s="30">
        <f>LEN(TRIM(SUBSTITUTE(M80,CHAR(10)," ")))-LEN(SUBSTITUTE(TRIM(SUBSTITUTE(M80,CHAR(10)," "))," ",""))+1</f>
        <v/>
      </c>
      <c r="O80" s="30" t="inlineStr">
        <is>
          <t>&lt;p&gt;A hand-arranged bouquet of 12 red roses, plus a bottle of red wine. A lovely way to mark an anniversary or a thank-you, and a bright moment when the door opens.&lt;/p&gt;&lt;p&gt;Purchaser must be 18 years old or over to purchase this product. The recipient, by law, must be at least 18 years of age, with proof of age.&lt;/p&gt;</t>
        </is>
      </c>
      <c r="P80" s="29" t="inlineStr">
        <is>
          <t>ok</t>
        </is>
      </c>
      <c r="Q80" s="30" t="inlineStr">
        <is>
          <t>Dozen Red Roses &amp; Shiraz brings together 12 red roses, plus a bottle of red wine. It suits an anniversary or a thank-you.
Red tones say love and devotion. We hand-arrange each one at Aussie Blooms so it looks the way you pictured it, ready for a Sunday lunch.
Purchaser must be 18 years old or over to purchase this product. The recipient, by law, must be at least 18 years of age, with proof of age.</t>
        </is>
      </c>
      <c r="R80" s="30" t="inlineStr">
        <is>
          <t>&lt;p&gt;Dozen Red Roses &amp;amp; Shiraz brings together 12 red roses, plus a bottle of red wine. It suits an anniversary or a thank-you.&lt;/p&gt;&lt;p&gt;Red tones say love and devotion. We hand-arrange each one at Aussie Blooms so it looks the way you pictured it, ready for a Sunday lunch.&lt;/p&gt;&lt;p&gt;Purchaser must be 18 years old or over to purchase this product. The recipient, by law, must be at least 18 years of age, with proof of age.&lt;/p&gt;</t>
        </is>
      </c>
      <c r="S80" s="29" t="inlineStr">
        <is>
          <t>ok</t>
        </is>
      </c>
      <c r="T80" s="30" t="inlineStr">
        <is>
          <t>In this bunch: 12 red roses, plus a bottle of red wine. Some things need no speech. Put these on the table and the message is delivered.
Purchaser must be 18 years old or over to purchase this product. The recipient, by law, must be at least 18 years of age, with proof of age.</t>
        </is>
      </c>
      <c r="U80" s="30" t="inlineStr">
        <is>
          <t>&lt;p&gt;In this bunch: 12 red roses, plus a bottle of red wine. Some things need no speech. Put these on the table and the message is delivered.&lt;/p&gt;&lt;p&gt;Purchaser must be 18 years old or over to purchase this product. The recipient, by law, must be at least 18 years of age, with proof of age.&lt;/p&gt;</t>
        </is>
      </c>
      <c r="V80" s="47" t="inlineStr">
        <is>
          <t>delivery promise</t>
        </is>
      </c>
      <c r="W80" s="30" t="n"/>
      <c r="X80" s="30" t="inlineStr">
        <is>
          <t>n/a (Mel's: mason jar products only)</t>
        </is>
      </c>
      <c r="Y80" s="30" t="n"/>
      <c r="Z80" s="48" t="inlineStr">
        <is>
          <t>-</t>
        </is>
      </c>
      <c r="AA80" t="n">
        <v>220</v>
      </c>
      <c r="AB80" s="44" t="n">
        <v>1341.58</v>
      </c>
      <c r="AC80" t="n">
        <v>9</v>
      </c>
      <c r="AD80" s="45" t="n">
        <v>0.0001537141623478945</v>
      </c>
      <c r="AE80" s="45" t="n">
        <v>0.007557267490180757</v>
      </c>
      <c r="AF80" t="n">
        <v>11</v>
      </c>
    </row>
    <row r="81" ht="109.5" customHeight="1" s="24">
      <c r="A81" s="30" t="inlineStr">
        <is>
          <t>AUFS-11</t>
        </is>
      </c>
      <c r="B81" s="30" t="inlineStr">
        <is>
          <t>Dozen Red Roses, Wine &amp; Truffles</t>
        </is>
      </c>
      <c r="C81" s="30" t="inlineStr">
        <is>
          <t>Roses</t>
        </is>
      </c>
      <c r="D81" s="43" t="inlineStr">
        <is>
          <t>READY TO REVIEW</t>
        </is>
      </c>
      <c r="E81" s="30" t="inlineStr">
        <is>
          <t>A dozen deep-red roses pair beautifully with a bottle of wine and decadent truffles for an indulgent gift that delights every sense. Perfect for an anniversary, a birthday or simply because someone deserves a little spoiling. 
 Disclaimer – Purchaser must be 18 years old or over to purchase this product. The recipient, by law, must be at least 18 years of age, with proof of age.</t>
        </is>
      </c>
      <c r="F81" s="30" t="inlineStr">
        <is>
          <t>Shopify (28 Sep)</t>
        </is>
      </c>
      <c r="G81" s="30" t="inlineStr">
        <is>
          <t>12 × Roses Red; 2 × Baby's Breath; 3 × Ruscus Israeli</t>
        </is>
      </c>
      <c r="H81" s="30" t="inlineStr">
        <is>
          <t>12 × Roses Red; 2 × Baby's Breath; 3 × Ruscus Israeli; 1 × Truffles 100g; 1 × Red Wine</t>
        </is>
      </c>
      <c r="I81" s="31" t="inlineStr">
        <is>
          <t>12 × Roses Red; 2 × Baby's Breath; 3 × Ruscus Israeli; 1 × Truffles 100g; 1 × Red Wine</t>
        </is>
      </c>
      <c r="J81" s="30" t="inlineStr">
        <is>
          <t>3 × Ruscus Israeli; 1 × Red Wine; 1 × Truffles 100g; 2 × Baby's Breath; 12 × Roses Red</t>
        </is>
      </c>
      <c r="K81" s="30" t="inlineStr">
        <is>
          <t>N</t>
        </is>
      </c>
      <c r="L81" s="30" t="inlineStr">
        <is>
          <t>Confirm Classic build: Wine and truffles are in the master Standard; Jarrod Standard lists only roses, baby's breath and ruscus</t>
        </is>
      </c>
      <c r="M81" s="30" t="inlineStr">
        <is>
          <t>A hand-arranged bouquet of 12 red roses, plus 100g of truffles and a bottle of red wine. Chosen for an anniversary or a thank-you, it says you were thinking of them.
Purchaser must be 18 years old or over to purchase this product. The recipient, by law, must be at least 18 years of age, with proof of age.</t>
        </is>
      </c>
      <c r="N81" s="30">
        <f>LEN(TRIM(SUBSTITUTE(M81,CHAR(10)," ")))-LEN(SUBSTITUTE(TRIM(SUBSTITUTE(M81,CHAR(10)," "))," ",""))+1</f>
        <v/>
      </c>
      <c r="O81" s="30" t="inlineStr">
        <is>
          <t>&lt;p&gt;A hand-arranged bouquet of 12 red roses, plus 100g of truffles and a bottle of red wine. Chosen for an anniversary or a thank-you, it says you were thinking of them.&lt;/p&gt;&lt;p&gt;Purchaser must be 18 years old or over to purchase this product. The recipient, by law, must be at least 18 years of age, with proof of age.&lt;/p&gt;</t>
        </is>
      </c>
      <c r="P81" s="29" t="inlineStr">
        <is>
          <t>ok</t>
        </is>
      </c>
      <c r="Q81" s="30" t="inlineStr">
        <is>
          <t>Dozen Red Roses, Wine &amp; Truffles brings together 12 red roses, plus 100g of truffles and a bottle of red wine. It suits an anniversary or a thank-you.
Red tones say love and devotion. We hand-arrange each one at Aussie Blooms so it looks the way you pictured it, ready for a summer table.
Purchaser must be 18 years old or over to purchase this product. The recipient, by law, must be at least 18 years of age, with proof of age.</t>
        </is>
      </c>
      <c r="R81" s="30" t="inlineStr">
        <is>
          <t>&lt;p&gt;Dozen Red Roses, Wine &amp;amp; Truffles brings together 12 red roses, plus 100g of truffles and a bottle of red wine. It suits an anniversary or a thank-you.&lt;/p&gt;&lt;p&gt;Red tones say love and devotion. We hand-arrange each one at Aussie Blooms so it looks the way you pictured it, ready for a summer table.&lt;/p&gt;&lt;p&gt;Purchaser must be 18 years old or over to purchase this product. The recipient, by law, must be at least 18 years of age, with proof of age.&lt;/p&gt;</t>
        </is>
      </c>
      <c r="S81" s="29" t="inlineStr">
        <is>
          <t>ok</t>
        </is>
      </c>
      <c r="T81" s="30" t="inlineStr">
        <is>
          <t>In this bunch: 12 red roses, plus 100g of truffles and a bottle of red wine. Some things need no speech. Put these on the table and the message is delivered.
Purchaser must be 18 years old or over to purchase this product. The recipient, by law, must be at least 18 years of age, with proof of age.</t>
        </is>
      </c>
      <c r="U81" s="30" t="inlineStr">
        <is>
          <t>&lt;p&gt;In this bunch: 12 red roses, plus 100g of truffles and a bottle of red wine. Some things need no speech. Put these on the table and the message is delivered.&lt;/p&gt;&lt;p&gt;Purchaser must be 18 years old or over to purchase this product. The recipient, by law, must be at least 18 years of age, with proof of age.&lt;/p&gt;</t>
        </is>
      </c>
      <c r="V81" s="47" t="inlineStr">
        <is>
          <t>delivery promise</t>
        </is>
      </c>
      <c r="W81" s="30" t="n"/>
      <c r="X81" s="30" t="inlineStr">
        <is>
          <t>n/a (Mel's: mason jar products only)</t>
        </is>
      </c>
      <c r="Y81" s="30" t="n"/>
      <c r="Z81" s="48" t="inlineStr">
        <is>
          <t>-</t>
        </is>
      </c>
      <c r="AA81" t="n">
        <v>119</v>
      </c>
      <c r="AB81" s="44" t="n">
        <v>9810.1</v>
      </c>
      <c r="AC81" t="n">
        <v>73</v>
      </c>
      <c r="AD81" s="45" t="n">
        <v>0.001124011008804864</v>
      </c>
      <c r="AE81" s="45" t="n">
        <v>0.05526134824337891</v>
      </c>
      <c r="AF81" t="n">
        <v>6</v>
      </c>
    </row>
    <row r="82" ht="109.5" customHeight="1" s="24">
      <c r="A82" s="30" t="inlineStr">
        <is>
          <t>SHR-01</t>
        </is>
      </c>
      <c r="B82" s="30" t="inlineStr">
        <is>
          <t>12 Sweetheart Roses I</t>
        </is>
      </c>
      <c r="C82" s="30" t="inlineStr">
        <is>
          <t>Roses</t>
        </is>
      </c>
      <c r="D82" s="43" t="inlineStr">
        <is>
          <t>READY TO REVIEW</t>
        </is>
      </c>
      <c r="E82" s="30" t="n"/>
      <c r="F82" s="30" t="inlineStr">
        <is>
          <t>none</t>
        </is>
      </c>
      <c r="G82" s="30" t="inlineStr">
        <is>
          <t>12 × Roses Red; 2 × Baby's Breath; 3 × Ruscus Israeli; 1 × Greeting Card</t>
        </is>
      </c>
      <c r="H82" s="30" t="inlineStr">
        <is>
          <t>12 × Roses Red; 2 × Baby's Breath; 3 × Ruscus Israeli; 1 × Greeting Card</t>
        </is>
      </c>
      <c r="I82" s="30" t="inlineStr">
        <is>
          <t>12 × Roses Red; 2 × Baby's Breath; 3 × Ruscus Israeli; 1 × Greeting Card</t>
        </is>
      </c>
      <c r="J82" s="30" t="inlineStr">
        <is>
          <t>12 × Roses Red; 1 × Greeting Card; 3 × Ruscus Israeli; 2 × Baby's Breath</t>
        </is>
      </c>
      <c r="K82" s="30" t="inlineStr">
        <is>
          <t>Y</t>
        </is>
      </c>
      <c r="L82" s="30" t="n"/>
      <c r="M82" s="30" t="inlineStr">
        <is>
          <t>A florist-designed bouquet of 12 red roses, plus a greeting card. Chosen for an anniversary or a thank-you, it says you were thinking of them.</t>
        </is>
      </c>
      <c r="N82" s="30">
        <f>LEN(TRIM(SUBSTITUTE(M82,CHAR(10)," ")))-LEN(SUBSTITUTE(TRIM(SUBSTITUTE(M82,CHAR(10)," "))," ",""))+1</f>
        <v/>
      </c>
      <c r="O82" s="30" t="inlineStr">
        <is>
          <t>&lt;p&gt;A florist-designed bouquet of 12 red roses, plus a greeting card. Chosen for an anniversary or a thank-you, it says you were thinking of them.&lt;/p&gt;</t>
        </is>
      </c>
      <c r="P82" s="29" t="inlineStr">
        <is>
          <t>ok</t>
        </is>
      </c>
      <c r="Q82" s="30" t="inlineStr">
        <is>
          <t>12 Sweetheart Roses I brings together 12 red roses, plus a greeting card. It suits an anniversary or a thank-you.
Red tones say love and devotion. We hand-arrange each one at Aussie Blooms so it looks the way you pictured it, ready for the bedside table.</t>
        </is>
      </c>
      <c r="R82" s="30" t="inlineStr">
        <is>
          <t>&lt;p&gt;12 Sweetheart Roses I brings together 12 red roses, plus a greeting card. It suits an anniversary or a thank-you.&lt;/p&gt;&lt;p&gt;Red tones say love and devotion. We hand-arrange each one at Aussie Blooms so it looks the way you pictured it, ready for the bedside table.&lt;/p&gt;</t>
        </is>
      </c>
      <c r="S82" s="29" t="inlineStr">
        <is>
          <t>ok</t>
        </is>
      </c>
      <c r="T82" s="30" t="inlineStr">
        <is>
          <t>Inside the bunch: 12 red roses, plus a greeting card. Say it with flowers, and let the flowers do the talking.</t>
        </is>
      </c>
      <c r="U82" s="30" t="inlineStr">
        <is>
          <t>&lt;p&gt;Inside the bunch: 12 red roses, plus a greeting card. Say it with flowers, and let the flowers do the talking.&lt;/p&gt;</t>
        </is>
      </c>
      <c r="V82" s="29" t="inlineStr">
        <is>
          <t>ok</t>
        </is>
      </c>
      <c r="W82" s="30" t="n"/>
      <c r="X82" s="30" t="inlineStr">
        <is>
          <t>n/a (Mel's: mason jar products only)</t>
        </is>
      </c>
      <c r="Y82" s="30" t="n"/>
      <c r="Z82" s="48" t="inlineStr">
        <is>
          <t>-</t>
        </is>
      </c>
      <c r="AA82" t="inlineStr">
        <is>
          <t>no sales</t>
        </is>
      </c>
      <c r="AB82" s="44" t="n">
        <v>0</v>
      </c>
      <c r="AC82" t="n">
        <v>0</v>
      </c>
      <c r="AD82" s="45" t="n">
        <v>0</v>
      </c>
      <c r="AE82" s="45" t="n">
        <v>0</v>
      </c>
      <c r="AF82" t="inlineStr">
        <is>
          <t>no sales</t>
        </is>
      </c>
    </row>
    <row r="83" ht="109.5" customHeight="1" s="24">
      <c r="A83" s="30" t="inlineStr">
        <is>
          <t>SHR-04</t>
        </is>
      </c>
      <c r="B83" s="30" t="inlineStr">
        <is>
          <t>18 Sweetheart Roses I</t>
        </is>
      </c>
      <c r="C83" s="30" t="inlineStr">
        <is>
          <t>Roses</t>
        </is>
      </c>
      <c r="D83" s="43" t="inlineStr">
        <is>
          <t>READY TO REVIEW</t>
        </is>
      </c>
      <c r="E83" s="30" t="inlineStr">
        <is>
          <t>Eighteen sweetheart roses, petite and pretty, gathered into a charmingly romantic bouquet. Their dainty blooms carry a heartfelt message, making them a delightful gift for an anniversary, a birthday or a moment of celebration.</t>
        </is>
      </c>
      <c r="F83" s="30" t="inlineStr">
        <is>
          <t>Shopify (28 Sep)</t>
        </is>
      </c>
      <c r="G83" s="30" t="inlineStr">
        <is>
          <t>18 × Roses Red; 2 × Baby's Breath; 3 × Ruscus Israeli; 1 × Greeting Card; 1 × Glass Vase Clear; 1 × Small Chocolates</t>
        </is>
      </c>
      <c r="H83" s="30" t="inlineStr">
        <is>
          <t>18 × Roses Red; 2 × Baby's Breath; 3 × Ruscus Israeli; 1 × Greeting Card; 1 × Glass Vase Clear; 1 × Small Chocolates</t>
        </is>
      </c>
      <c r="I83" s="30" t="inlineStr">
        <is>
          <t>18 × Roses Red; 2 × Baby's Breath; 3 × Ruscus Israeli; 1 × Greeting Card; 1 × Glass Vase Clear; 1 × Small Chocolates</t>
        </is>
      </c>
      <c r="J83" s="30" t="inlineStr">
        <is>
          <t>18 × Roses Red; 1 × Small Chocolates; 1 × Glass Vase Clear; 1 × Greeting Card; 3 × Ruscus Israeli; 2 × Baby's Breath</t>
        </is>
      </c>
      <c r="K83" s="30" t="inlineStr">
        <is>
          <t>Y</t>
        </is>
      </c>
      <c r="L83" s="30" t="n"/>
      <c r="M83" s="30" t="inlineStr">
        <is>
          <t>A florist-designed bouquet of 18 red roses in a clear glass vase, plus a greeting card and a box of small chocolates. A warm gift for an anniversary or a thank-you, with a vase to keep once the flowers are gone.</t>
        </is>
      </c>
      <c r="N83" s="30">
        <f>LEN(TRIM(SUBSTITUTE(M83,CHAR(10)," ")))-LEN(SUBSTITUTE(TRIM(SUBSTITUTE(M83,CHAR(10)," "))," ",""))+1</f>
        <v/>
      </c>
      <c r="O83" s="30" t="inlineStr">
        <is>
          <t>&lt;p&gt;A florist-designed bouquet of 18 red roses in a clear glass vase, plus a greeting card and a box of small chocolates. A warm gift for an anniversary or a thank-you, with a vase to keep once the flowers are gone.&lt;/p&gt;</t>
        </is>
      </c>
      <c r="P83" s="29" t="inlineStr">
        <is>
          <t>ok</t>
        </is>
      </c>
      <c r="Q83" s="30" t="inlineStr">
        <is>
          <t>18 Sweetheart Roses I brings together 18 red roses, arranged in a clear glass vase, plus a greeting card and a box of small chocolates. It suits an anniversary or a thank-you.
Red tones say love and devotion. We hand-arrange each one at Aussie Blooms so it looks the way you pictured it, ready for the bedside table.</t>
        </is>
      </c>
      <c r="R83" s="30" t="inlineStr">
        <is>
          <t>&lt;p&gt;18 Sweetheart Roses I brings together 18 red roses, arranged in a clear glass vase, plus a greeting card and a box of small chocolates. It suits an anniversary or a thank-you.&lt;/p&gt;&lt;p&gt;Red tones say love and devotion. We hand-arrange each one at Aussie Blooms so it looks the way you pictured it, ready for the bedside table.&lt;/p&gt;</t>
        </is>
      </c>
      <c r="S83" s="29" t="inlineStr">
        <is>
          <t>ok</t>
        </is>
      </c>
      <c r="T83" s="30" t="inlineStr">
        <is>
          <t>Inside the bunch: 18 red roses in a clear glass vase, plus a greeting card and a box of small chocolates. Say it with flowers, and let the flowers do the talking.</t>
        </is>
      </c>
      <c r="U83" s="30" t="inlineStr">
        <is>
          <t>&lt;p&gt;Inside the bunch: 18 red roses in a clear glass vase, plus a greeting card and a box of small chocolates. Say it with flowers, and let the flowers do the talking.&lt;/p&gt;</t>
        </is>
      </c>
      <c r="V83" s="29" t="inlineStr">
        <is>
          <t>ok</t>
        </is>
      </c>
      <c r="W83" s="30" t="n"/>
      <c r="X83" s="30" t="inlineStr">
        <is>
          <t>n/a (Mel's: mason jar products only)</t>
        </is>
      </c>
      <c r="Y83" s="30" t="n"/>
      <c r="Z83" s="48" t="inlineStr">
        <is>
          <t>-</t>
        </is>
      </c>
      <c r="AA83" t="n">
        <v>143</v>
      </c>
      <c r="AB83" s="44" t="n">
        <v>6936.81</v>
      </c>
      <c r="AC83" t="n">
        <v>46</v>
      </c>
      <c r="AD83" s="45" t="n">
        <v>0.0007947981660876342</v>
      </c>
      <c r="AE83" s="45" t="n">
        <v>0.03907579009040893</v>
      </c>
      <c r="AF83" t="n">
        <v>7</v>
      </c>
    </row>
    <row r="84" ht="109.5" customHeight="1" s="24">
      <c r="A84" s="30" t="inlineStr">
        <is>
          <t>LF100-586</t>
        </is>
      </c>
      <c r="B84" s="30" t="inlineStr">
        <is>
          <t>Touch Of Red Roses</t>
        </is>
      </c>
      <c r="C84" s="30" t="inlineStr">
        <is>
          <t>Roses</t>
        </is>
      </c>
      <c r="D84" s="43" t="inlineStr">
        <is>
          <t>READY TO REVIEW</t>
        </is>
      </c>
      <c r="E84" s="30" t="inlineStr">
        <is>
          <t>Fourteen deep red roses, simply and elegantly presented to speak when words feel hard to find. A timeless gesture of love and remembrance, this touch of red offers comfort and heartfelt sympathy.</t>
        </is>
      </c>
      <c r="F84" s="30" t="inlineStr">
        <is>
          <t>Shopify (28 Sep)</t>
        </is>
      </c>
      <c r="G84" s="30" t="inlineStr">
        <is>
          <t>3 × Roses Red; 1 × Baby's Breath; 1 × Ruscus Israeli; 1 × Red Ribbon</t>
        </is>
      </c>
      <c r="H84" s="30" t="inlineStr">
        <is>
          <t>3 × Roses Red; 1 × Baby's Breath; 1 × Ruscus Israeli; 1 × Red Ribbon</t>
        </is>
      </c>
      <c r="I84" s="30" t="inlineStr">
        <is>
          <t>3 × Roses Red; 1 × Baby's Breath; 1 × Ruscus Israeli; 1 × Red Ribbon</t>
        </is>
      </c>
      <c r="J84" s="30" t="inlineStr">
        <is>
          <t>3 × Roses Red; 1 × Red Ribbon; 1 × Ruscus Israeli; 1 × Baby's Breath</t>
        </is>
      </c>
      <c r="K84" s="30" t="inlineStr">
        <is>
          <t>Y</t>
        </is>
      </c>
      <c r="L84" s="30" t="n"/>
      <c r="M84" s="30" t="inlineStr">
        <is>
          <t>A florist-designed bouquet of 3 red roses, finished with a red ribbon. A lovely way to mark an anniversary or a thank-you, and a bright moment when the door opens.</t>
        </is>
      </c>
      <c r="N84" s="30">
        <f>LEN(TRIM(SUBSTITUTE(M84,CHAR(10)," ")))-LEN(SUBSTITUTE(TRIM(SUBSTITUTE(M84,CHAR(10)," "))," ",""))+1</f>
        <v/>
      </c>
      <c r="O84" s="30" t="inlineStr">
        <is>
          <t>&lt;p&gt;A florist-designed bouquet of 3 red roses, finished with a red ribbon. A lovely way to mark an anniversary or a thank-you, and a bright moment when the door opens.&lt;/p&gt;</t>
        </is>
      </c>
      <c r="P84" s="29" t="inlineStr">
        <is>
          <t>ok</t>
        </is>
      </c>
      <c r="Q84" s="30" t="inlineStr">
        <is>
          <t>Touch Of Red Roses brings together 3 red roses, finished with a red ribbon. It suits an anniversary or a thank-you.
Red tones say love and devotion. We hand-arrange each one at Aussie Blooms so it looks the way you pictured it, ready for a summer table.</t>
        </is>
      </c>
      <c r="R84" s="30" t="inlineStr">
        <is>
          <t>&lt;p&gt;Touch Of Red Roses brings together 3 red roses, finished with a red ribbon. It suits an anniversary or a thank-you.&lt;/p&gt;&lt;p&gt;Red tones say love and devotion. We hand-arrange each one at Aussie Blooms so it looks the way you pictured it, ready for a summer table.&lt;/p&gt;</t>
        </is>
      </c>
      <c r="S84" s="29" t="inlineStr">
        <is>
          <t>ok</t>
        </is>
      </c>
      <c r="T84" s="30" t="inlineStr">
        <is>
          <t>Inside the bunch: 3 red roses, finished with a red ribbon. Say it with flowers, and let the flowers do the talking.</t>
        </is>
      </c>
      <c r="U84" s="30" t="inlineStr">
        <is>
          <t>&lt;p&gt;Inside the bunch: 3 red roses, finished with a red ribbon. Say it with flowers, and let the flowers do the talking.&lt;/p&gt;</t>
        </is>
      </c>
      <c r="V84" s="29" t="inlineStr">
        <is>
          <t>ok</t>
        </is>
      </c>
      <c r="W84" s="30" t="n"/>
      <c r="X84" s="30" t="inlineStr">
        <is>
          <t>n/a (Mel's: mason jar products only)</t>
        </is>
      </c>
      <c r="Y84" s="30" t="n"/>
      <c r="Z84" s="48" t="inlineStr">
        <is>
          <t>-</t>
        </is>
      </c>
      <c r="AA84" t="n">
        <v>227</v>
      </c>
      <c r="AB84" s="44" t="n">
        <v>980.98</v>
      </c>
      <c r="AC84" t="n">
        <v>17</v>
      </c>
      <c r="AD84" s="45" t="n">
        <v>0.0001123977094023745</v>
      </c>
      <c r="AE84" s="45" t="n">
        <v>0.005525968084286825</v>
      </c>
      <c r="AF84" t="n">
        <v>13</v>
      </c>
    </row>
    <row r="85" ht="109.5" customHeight="1" s="24">
      <c r="A85" s="30" t="inlineStr">
        <is>
          <t>GF10-01</t>
        </is>
      </c>
      <c r="B85" s="30" t="inlineStr">
        <is>
          <t>Half Dozen Long Stem Red Roses</t>
        </is>
      </c>
      <c r="C85" s="30" t="inlineStr">
        <is>
          <t>Roses</t>
        </is>
      </c>
      <c r="D85" s="43" t="inlineStr">
        <is>
          <t>READY TO REVIEW</t>
        </is>
      </c>
      <c r="E85" s="30" t="inlineStr">
        <is>
          <t>Half a dozen long-stemmed red roses, velvety and richly coloured, tied into a classic token of love. Intimate yet unmistakable, this elegant bunch lets you say what matters most on an anniversary, a date night or just because.</t>
        </is>
      </c>
      <c r="F85" s="30" t="inlineStr">
        <is>
          <t>Shopify (28 Sep)</t>
        </is>
      </c>
      <c r="G85" s="30" t="inlineStr">
        <is>
          <t>6 × Roses Red; 1 × Baby's Breath; 2 × Ruscus Israeli</t>
        </is>
      </c>
      <c r="H85" s="30" t="inlineStr">
        <is>
          <t>6 × Roses Red; 1 × Baby's Breath; 2 × Ruscus Israeli</t>
        </is>
      </c>
      <c r="I85" s="30" t="inlineStr">
        <is>
          <t>6 × Roses Red; 1 × Baby's Breath; 2 × Ruscus Israeli</t>
        </is>
      </c>
      <c r="J85" s="30" t="inlineStr">
        <is>
          <t>2 × Ruscus Israeli; 1 × Baby's Breath; 6 × Roses Red</t>
        </is>
      </c>
      <c r="K85" s="30" t="inlineStr">
        <is>
          <t>Y</t>
        </is>
      </c>
      <c r="L85" s="30" t="n"/>
      <c r="M85" s="30" t="inlineStr">
        <is>
          <t>A fresh arrangement of 6 red roses. Chosen for an anniversary or a thank-you, it is a gift that says you care.</t>
        </is>
      </c>
      <c r="N85" s="30">
        <f>LEN(TRIM(SUBSTITUTE(M85,CHAR(10)," ")))-LEN(SUBSTITUTE(TRIM(SUBSTITUTE(M85,CHAR(10)," "))," ",""))+1</f>
        <v/>
      </c>
      <c r="O85" s="30" t="inlineStr">
        <is>
          <t>&lt;p&gt;A fresh arrangement of 6 red roses. Chosen for an anniversary or a thank-you, it is a gift that says you care.&lt;/p&gt;</t>
        </is>
      </c>
      <c r="P85" s="29" t="inlineStr">
        <is>
          <t>ok</t>
        </is>
      </c>
      <c r="Q85" s="30" t="inlineStr">
        <is>
          <t>Half Dozen Long Stem Red Roses brings together 6 red roses. It suits an anniversary or a thank-you.
Red tones say love and devotion. We hand-arrange each one at Aussie Blooms so it looks the way you pictured it, ready for the kitchen bench.</t>
        </is>
      </c>
      <c r="R85" s="30" t="inlineStr">
        <is>
          <t>&lt;p&gt;Half Dozen Long Stem Red Roses brings together 6 red roses. It suits an anniversary or a thank-you.&lt;/p&gt;&lt;p&gt;Red tones say love and devotion. We hand-arrange each one at Aussie Blooms so it looks the way you pictured it, ready for the kitchen bench.&lt;/p&gt;</t>
        </is>
      </c>
      <c r="S85" s="29" t="inlineStr">
        <is>
          <t>ok</t>
        </is>
      </c>
      <c r="T85" s="30" t="inlineStr">
        <is>
          <t>The bunch holds: 6 red roses. The classic, handed over without a single word of explanation.</t>
        </is>
      </c>
      <c r="U85" s="30" t="inlineStr">
        <is>
          <t>&lt;p&gt;The bunch holds: 6 red roses. The classic, handed over without a single word of explanation.&lt;/p&gt;</t>
        </is>
      </c>
      <c r="V85" s="29" t="inlineStr">
        <is>
          <t>ok</t>
        </is>
      </c>
      <c r="W85" s="30" t="n"/>
      <c r="X85" s="30" t="inlineStr">
        <is>
          <t>n/a (Mel's: mason jar products only)</t>
        </is>
      </c>
      <c r="Y85" s="30" t="n"/>
      <c r="Z85" s="48" t="inlineStr">
        <is>
          <t>-</t>
        </is>
      </c>
      <c r="AA85" t="n">
        <v>212</v>
      </c>
      <c r="AB85" s="44" t="n">
        <v>2223.87</v>
      </c>
      <c r="AC85" t="n">
        <v>33</v>
      </c>
      <c r="AD85" s="45" t="n">
        <v>0.0002548042712477914</v>
      </c>
      <c r="AE85" s="45" t="n">
        <v>0.01252730396501757</v>
      </c>
      <c r="AF85" t="n">
        <v>9</v>
      </c>
    </row>
    <row r="86" ht="109.5" customHeight="1" s="24">
      <c r="A86" s="30" t="inlineStr">
        <is>
          <t>AU101-20</t>
        </is>
      </c>
      <c r="B86" s="30" t="inlineStr">
        <is>
          <t>Brighter Blessing Arrangement</t>
        </is>
      </c>
      <c r="C86" s="30" t="inlineStr">
        <is>
          <t>Sympathy</t>
        </is>
      </c>
      <c r="D86" s="43" t="inlineStr">
        <is>
          <t>READY TO REVIEW</t>
        </is>
      </c>
      <c r="E86" s="30" t="inlineStr">
        <is>
          <t>Simple and elegant, this classic funeral arrangement will gracefully express your thoughts.It contains 6 snaps, 6 roses, 6 chrysanthemums, 6 carnations, filler flowers and greens.Sympathy cards are available during check out A thoughtful tribute crafted with care to honour cherished memories. Why Choose Bloomex Australia? Australia-Wide Delivery — metro and regional Fresh Guaranteed — shipped budding, ready to bloom Same-Day Delivery — order by 2pm Family Owned since 1998 Best Value Guarantee</t>
        </is>
      </c>
      <c r="F86" s="30" t="inlineStr">
        <is>
          <t>Joomla (7 Oct)</t>
        </is>
      </c>
      <c r="G86" s="30" t="inlineStr">
        <is>
          <t>Not edited by Jarrod (master recipe used)</t>
        </is>
      </c>
      <c r="H86" s="30" t="inlineStr">
        <is>
          <t>6 × Roses White; 6 × Chrysanthemum Daisy White; 3 × Baby's Breath; 4 × Ruscus Israeli; 1 × Casket saddle single green; 6 × Limonium White; 6 × Carnation White; 7 × Leather Fern</t>
        </is>
      </c>
      <c r="I86" s="31" t="inlineStr">
        <is>
          <t>6 × Roses White; 6 × Chrysanthemum Daisy White; 3 × Baby's Breath; 4 × Ruscus Israeli; 1 × Casket saddle single green; 6 × Limonium White; 6 × Carnation White; 7 × Leather Fern</t>
        </is>
      </c>
      <c r="J86" s="30" t="inlineStr">
        <is>
          <t>6 × Carnation White; 6 × Limonium White; 4 × Ruscus Israeli; 6 × Chrysanthemum Daisy White; 6 × Roses White; 1 × Casket saddle single green; 7 × Leather Fern; 3 × Baby's Breath</t>
        </is>
      </c>
      <c r="K86" s="30" t="inlineStr">
        <is>
          <t>N</t>
        </is>
      </c>
      <c r="L86" s="30" t="n"/>
      <c r="M86" s="30" t="inlineStr">
        <is>
          <t>A sympathy arrangement of 6 white carnations, 6 white chrysanthemum daisies and 6 white roses. A respectful, heartfelt tribute to express your condolences and share your support with those who are grieving.</t>
        </is>
      </c>
      <c r="N86" s="30">
        <f>LEN(TRIM(SUBSTITUTE(M86,CHAR(10)," ")))-LEN(SUBSTITUTE(TRIM(SUBSTITUTE(M86,CHAR(10)," "))," ",""))+1</f>
        <v/>
      </c>
      <c r="O86" s="30" t="inlineStr">
        <is>
          <t>&lt;p&gt;A sympathy arrangement of 6 white carnations, 6 white chrysanthemum daisies and 6 white roses. A respectful, heartfelt tribute to express your condolences and share your support with those who are grieving.&lt;/p&gt;</t>
        </is>
      </c>
      <c r="P86" s="29" t="inlineStr">
        <is>
          <t>ok</t>
        </is>
      </c>
      <c r="Q86" s="30" t="inlineStr">
        <is>
          <t>Brighter Blessing Arrangement brings together 6 white carnations, 6 white chrysanthemum daisies and 6 white roses. It is made to honour a life and offer comfort to the family.
White flowers carry remembrance and calm. We hand-arrange each tribute with care, from the team at Aussie Blooms.</t>
        </is>
      </c>
      <c r="R86" s="30" t="inlineStr">
        <is>
          <t>&lt;p&gt;Brighter Blessing Arrangement brings together 6 white carnations, 6 white chrysanthemum daisies and 6 white roses. It is made to honour a life and offer comfort to the family.&lt;/p&gt;&lt;p&gt;White flowers carry remembrance and calm. We hand-arrange each tribute with care, from the team at Aussie Blooms.&lt;/p&gt;</t>
        </is>
      </c>
      <c r="S86" s="29" t="inlineStr">
        <is>
          <t>ok</t>
        </is>
      </c>
      <c r="T86" s="30" t="inlineStr">
        <is>
          <t>The bunch holds: 6 white carnations, 6 white chrysanthemum daisies and 6 white roses. Quiet and respectful, a way to say you are there for the family.</t>
        </is>
      </c>
      <c r="U86" s="30" t="inlineStr">
        <is>
          <t>&lt;p&gt;The bunch holds: 6 white carnations, 6 white chrysanthemum daisies and 6 white roses. Quiet and respectful, a way to say you are there for the family.&lt;/p&gt;</t>
        </is>
      </c>
      <c r="V86" s="29" t="inlineStr">
        <is>
          <t>ok</t>
        </is>
      </c>
      <c r="W86" s="30" t="n"/>
      <c r="X86" s="30" t="inlineStr">
        <is>
          <t>n/a (Mel's: mason jar products only)</t>
        </is>
      </c>
      <c r="Y86" s="30" t="n"/>
      <c r="Z86" s="48" t="inlineStr">
        <is>
          <t>-</t>
        </is>
      </c>
      <c r="AA86" t="inlineStr">
        <is>
          <t>no sales</t>
        </is>
      </c>
      <c r="AB86" s="44" t="n">
        <v>0</v>
      </c>
      <c r="AC86" t="n">
        <v>0</v>
      </c>
      <c r="AD86" s="45" t="n">
        <v>0</v>
      </c>
      <c r="AE86" s="45" t="n">
        <v>0</v>
      </c>
      <c r="AF86" t="inlineStr">
        <is>
          <t>no sales</t>
        </is>
      </c>
    </row>
    <row r="87" ht="109.5" customHeight="1" s="24">
      <c r="A87" s="30" t="inlineStr">
        <is>
          <t>AU105-11</t>
        </is>
      </c>
      <c r="B87" s="30" t="inlineStr">
        <is>
          <t>In Love and Memories Spray</t>
        </is>
      </c>
      <c r="C87" s="30" t="inlineStr">
        <is>
          <t>Sympathy</t>
        </is>
      </c>
      <c r="D87" s="43" t="inlineStr">
        <is>
          <t>READY TO REVIEW</t>
        </is>
      </c>
      <c r="E87" s="30" t="inlineStr">
        <is>
          <t>A classic funeral spray created with 36 of our freshest red roses, baby's breath and greens. This spray expresses your sincerest condolences to the family in a very articulate way. The classic beauty of this arrangement send a sympathetic message and celebrates the life of the dearly departed in a traditional way. This spray is most appropriate to send to the funeral home. Approximately 29" W x 37" H. A thoughtful tribute crafted with care to honour cherished memories. Why Choose Bloomex Australia? Australia-Wide Delivery — metro and regional Fresh Guaranteed — shipped budding, ready to bloom Same-Day Delivery — order by 2pm Family Owned since 1998 Best Value Guarantee</t>
        </is>
      </c>
      <c r="F87" s="30" t="inlineStr">
        <is>
          <t>Joomla (7 Oct)</t>
        </is>
      </c>
      <c r="G87" s="30" t="inlineStr">
        <is>
          <t>Not edited by Jarrod (master recipe used)</t>
        </is>
      </c>
      <c r="H87" s="30" t="inlineStr">
        <is>
          <t>36 × Roses Red; 8 × Baby's Breath; 18 × Ruscus Israeli; 1 × Casket saddle single green</t>
        </is>
      </c>
      <c r="I87" s="31" t="inlineStr">
        <is>
          <t>36 × Roses Red; 8 × Baby's Breath; 18 × Ruscus Israeli; 1 × Casket saddle single green</t>
        </is>
      </c>
      <c r="J87" s="30" t="inlineStr">
        <is>
          <t>36 × Roses Red; 8 × Baby's Breath; 18 × Ruscus Israeli; 1 × Casket saddle single green</t>
        </is>
      </c>
      <c r="K87" s="30" t="inlineStr">
        <is>
          <t>N</t>
        </is>
      </c>
      <c r="L87" s="30" t="n"/>
      <c r="M87" s="30" t="inlineStr">
        <is>
          <t>A tribute arrangement of 36 red roses. A respectful, heartfelt tribute to express your condolences and share your support with those who are grieving.</t>
        </is>
      </c>
      <c r="N87" s="30">
        <f>LEN(TRIM(SUBSTITUTE(M87,CHAR(10)," ")))-LEN(SUBSTITUTE(TRIM(SUBSTITUTE(M87,CHAR(10)," "))," ",""))+1</f>
        <v/>
      </c>
      <c r="O87" s="30" t="inlineStr">
        <is>
          <t>&lt;p&gt;A tribute arrangement of 36 red roses. A respectful, heartfelt tribute to express your condolences and share your support with those who are grieving.&lt;/p&gt;</t>
        </is>
      </c>
      <c r="P87" s="29" t="inlineStr">
        <is>
          <t>ok</t>
        </is>
      </c>
      <c r="Q87" s="30" t="inlineStr">
        <is>
          <t>In Love and Memories Spray brings together 36 red roses. It is made to honour a life and offer comfort to the family.
Red flowers carry remembrance and calm. We hand-arrange each tribute with care, from the team at Aussie Blooms.</t>
        </is>
      </c>
      <c r="R87" s="30" t="inlineStr">
        <is>
          <t>&lt;p&gt;In Love and Memories Spray brings together 36 red roses. It is made to honour a life and offer comfort to the family.&lt;/p&gt;&lt;p&gt;Red flowers carry remembrance and calm. We hand-arrange each tribute with care, from the team at Aussie Blooms.&lt;/p&gt;</t>
        </is>
      </c>
      <c r="S87" s="29" t="inlineStr">
        <is>
          <t>ok</t>
        </is>
      </c>
      <c r="T87" s="30" t="inlineStr">
        <is>
          <t>The bunch holds: 36 red roses. Quiet and respectful, a way to say you are there for the family.</t>
        </is>
      </c>
      <c r="U87" s="30" t="inlineStr">
        <is>
          <t>&lt;p&gt;The bunch holds: 36 red roses. Quiet and respectful, a way to say you are there for the family.&lt;/p&gt;</t>
        </is>
      </c>
      <c r="V87" s="29" t="inlineStr">
        <is>
          <t>ok</t>
        </is>
      </c>
      <c r="W87" s="30" t="n"/>
      <c r="X87" s="30" t="inlineStr">
        <is>
          <t>n/a (Mel's: mason jar products only)</t>
        </is>
      </c>
      <c r="Y87" s="30" t="n"/>
      <c r="Z87" s="48" t="inlineStr">
        <is>
          <t>-</t>
        </is>
      </c>
      <c r="AA87" t="inlineStr">
        <is>
          <t>no sales</t>
        </is>
      </c>
      <c r="AB87" s="44" t="n">
        <v>0</v>
      </c>
      <c r="AC87" t="n">
        <v>0</v>
      </c>
      <c r="AD87" s="45" t="n">
        <v>0</v>
      </c>
      <c r="AE87" s="45" t="n">
        <v>0</v>
      </c>
      <c r="AF87" t="inlineStr">
        <is>
          <t>no sales</t>
        </is>
      </c>
    </row>
    <row r="88" ht="109.5" customHeight="1" s="24">
      <c r="A88" s="30" t="inlineStr">
        <is>
          <t>SC01</t>
        </is>
      </c>
      <c r="B88" s="30" t="inlineStr">
        <is>
          <t>Full Size Sympathy Card</t>
        </is>
      </c>
      <c r="C88" s="30" t="inlineStr">
        <is>
          <t>Sympathy</t>
        </is>
      </c>
      <c r="D88" s="43" t="inlineStr">
        <is>
          <t>READY TO REVIEW</t>
        </is>
      </c>
      <c r="E88" s="30" t="inlineStr">
        <is>
          <t>Express your condolences and thoughts of sympathy in words. This full size sympathy card makes a thoughtful addition to any Sympathy and Funeral arrangement or bouquet. A thoughtful tribute crafted with care to honour cherished memories. Why Choose Bloomex Australia? Australia-Wide Delivery — metro and regional Fresh Guaranteed — shipped budding, ready to bloom Same-Day Delivery — order by 1pm Family Owned since 1998 Best Value Guarantee</t>
        </is>
      </c>
      <c r="F88" s="30" t="inlineStr">
        <is>
          <t>Joomla (7 Oct)</t>
        </is>
      </c>
      <c r="G88" s="30" t="inlineStr">
        <is>
          <t>Not edited by Jarrod (master recipe used)</t>
        </is>
      </c>
      <c r="H88" s="30" t="inlineStr">
        <is>
          <t>1 × Sympathy Card</t>
        </is>
      </c>
      <c r="I88" s="31" t="inlineStr">
        <is>
          <t>1 × Sympathy Card</t>
        </is>
      </c>
      <c r="J88" s="30" t="inlineStr">
        <is>
          <t>1 × Sympathy Card</t>
        </is>
      </c>
      <c r="K88" s="30" t="inlineStr">
        <is>
          <t>Y</t>
        </is>
      </c>
      <c r="L88" s="30" t="n"/>
      <c r="M88" s="30" t="n"/>
      <c r="N88" s="30" t="n"/>
      <c r="O88" s="30" t="n"/>
      <c r="P88" s="48" t="inlineStr">
        <is>
          <t>n/a (add-on item)</t>
        </is>
      </c>
      <c r="Q88" s="30" t="n"/>
      <c r="R88" s="30" t="n"/>
      <c r="S88" s="48" t="inlineStr">
        <is>
          <t>n/a (add-on item)</t>
        </is>
      </c>
      <c r="T88" s="30" t="n"/>
      <c r="U88" s="30" t="n"/>
      <c r="V88" s="48" t="inlineStr">
        <is>
          <t>n/a (add-on item)</t>
        </is>
      </c>
      <c r="W88" s="30" t="n"/>
      <c r="X88" s="30" t="n"/>
      <c r="Y88" s="30" t="n"/>
      <c r="Z88" s="48" t="inlineStr">
        <is>
          <t>-</t>
        </is>
      </c>
      <c r="AA88" t="n">
        <v>69</v>
      </c>
      <c r="AB88" s="44" t="n">
        <v>29596.55</v>
      </c>
      <c r="AC88" t="n">
        <v>8048</v>
      </c>
      <c r="AD88" s="45" t="n">
        <v>0.003391082706900381</v>
      </c>
      <c r="AE88" s="45" t="n">
        <v>0.05728839376421865</v>
      </c>
      <c r="AF88" t="n">
        <v>5</v>
      </c>
    </row>
    <row r="89" ht="109.5" customHeight="1" s="24">
      <c r="A89" s="30" t="inlineStr">
        <is>
          <t>AU101-41</t>
        </is>
      </c>
      <c r="B89" s="30" t="inlineStr">
        <is>
          <t>Heavenly Expressions</t>
        </is>
      </c>
      <c r="C89" s="30" t="inlineStr">
        <is>
          <t>Sympathy</t>
        </is>
      </c>
      <c r="D89" s="43" t="inlineStr">
        <is>
          <t>READY TO REVIEW</t>
        </is>
      </c>
      <c r="E89" s="30" t="inlineStr">
        <is>
          <t>This magnificent standing spray exudes a sentimental tranquility and calmness while still illuminating the room with emotional remembrance. This timeless centerpiece is specially put together to create a passionate and divine reflection of the life shared, while illuminating the room with fresh fragrances. A thoughtful tribute crafted with care to honour cherished memories. Why Choose Bloomex Australia? Australia-Wide Delivery — metro and regional Fresh Guaranteed — shipped budding, ready to bloom Same-Day Delivery — order by 2pm Family Owned since 1998 Best Value Guarantee</t>
        </is>
      </c>
      <c r="F89" s="30" t="inlineStr">
        <is>
          <t>Joomla (7 Oct)</t>
        </is>
      </c>
      <c r="G89" s="30" t="inlineStr">
        <is>
          <t>30 × Roses Assorted; 3 × Baby's Breath; 5 × Ruscus Israeli; 1 × Red Bow; 12 × Carnations Assorted; 6 × Limonium White; 12 × Leather Fern</t>
        </is>
      </c>
      <c r="H89" s="30" t="inlineStr">
        <is>
          <t>30 × Roses Assorted; 3 × Baby's Breath; 5 × Ruscus Israeli; 1 × Red Bow; 12 × Carnations Assorted; 6 × Limonium White; 12 × Leather Fern</t>
        </is>
      </c>
      <c r="I89" s="30" t="inlineStr">
        <is>
          <t>30 × Roses Assorted; 3 × Baby's Breath; 5 × Ruscus Israeli; 1 × Red Bow; 12 × Carnations Assorted; 6 × Limonium White; 12 × Leather Fern</t>
        </is>
      </c>
      <c r="J89" s="30" t="inlineStr">
        <is>
          <t>1 × Red Bow; 12 × Leather Fern; 6 × Limonium White; 12 × Carnations Assorted; 5 × Ruscus Israeli; 3 × Baby's Breath; 30 × Roses Assorted</t>
        </is>
      </c>
      <c r="K89" s="30" t="inlineStr">
        <is>
          <t>N</t>
        </is>
      </c>
      <c r="L89" s="30" t="n"/>
      <c r="M89" s="30" t="inlineStr">
        <is>
          <t>A tribute arrangement of 30 assorted-colour roses and 12 assorted-colour carnations, finished with a red bow. A respectful, heartfelt tribute to express your condolences and share your support with those who are grieving.</t>
        </is>
      </c>
      <c r="N89" s="30">
        <f>LEN(TRIM(SUBSTITUTE(M89,CHAR(10)," ")))-LEN(SUBSTITUTE(TRIM(SUBSTITUTE(M89,CHAR(10)," "))," ",""))+1</f>
        <v/>
      </c>
      <c r="O89" s="30" t="inlineStr">
        <is>
          <t>&lt;p&gt;A tribute arrangement of 30 assorted-colour roses and 12 assorted-colour carnations, finished with a red bow. A respectful, heartfelt tribute to express your condolences and share your support with those who are grieving.&lt;/p&gt;</t>
        </is>
      </c>
      <c r="P89" s="29" t="inlineStr">
        <is>
          <t>ok</t>
        </is>
      </c>
      <c r="Q89" s="30" t="inlineStr">
        <is>
          <t>Heavenly Expressions brings together 30 assorted-colour roses and 12 assorted-colour carnations, finished with a red bow. It is made to honour a life and offer comfort to the family.
Mixed flowers carry remembrance and calm. We hand-arrange each tribute with care, from the team at Aussie Blooms.</t>
        </is>
      </c>
      <c r="R89" s="30" t="inlineStr">
        <is>
          <t>&lt;p&gt;Heavenly Expressions brings together 30 assorted-colour roses and 12 assorted-colour carnations, finished with a red bow. It is made to honour a life and offer comfort to the family.&lt;/p&gt;&lt;p&gt;Mixed flowers carry remembrance and calm. We hand-arrange each tribute with care, from the team at Aussie Blooms.&lt;/p&gt;</t>
        </is>
      </c>
      <c r="S89" s="29" t="inlineStr">
        <is>
          <t>ok</t>
        </is>
      </c>
      <c r="T89" s="30" t="inlineStr">
        <is>
          <t>Inside the bunch: 30 assorted-colour roses and 12 assorted-colour carnations, finished with a red bow. Simple flowers for a hard day, sent to the service or the family home.</t>
        </is>
      </c>
      <c r="U89" s="30" t="inlineStr">
        <is>
          <t>&lt;p&gt;Inside the bunch: 30 assorted-colour roses and 12 assorted-colour carnations, finished with a red bow. Simple flowers for a hard day, sent to the service or the family home.&lt;/p&gt;</t>
        </is>
      </c>
      <c r="V89" s="29" t="inlineStr">
        <is>
          <t>ok</t>
        </is>
      </c>
      <c r="W89" s="30" t="n"/>
      <c r="X89" s="30" t="inlineStr">
        <is>
          <t>n/a (Mel's: mason jar products only)</t>
        </is>
      </c>
      <c r="Y89" s="30" t="n"/>
      <c r="Z89" s="48" t="inlineStr">
        <is>
          <t>-</t>
        </is>
      </c>
      <c r="AA89" t="inlineStr">
        <is>
          <t>no sales</t>
        </is>
      </c>
      <c r="AB89" s="44" t="n">
        <v>0</v>
      </c>
      <c r="AC89" t="n">
        <v>0</v>
      </c>
      <c r="AD89" s="45" t="n">
        <v>0</v>
      </c>
      <c r="AE89" s="45" t="n">
        <v>0</v>
      </c>
      <c r="AF89" t="inlineStr">
        <is>
          <t>no sales</t>
        </is>
      </c>
    </row>
    <row r="90" ht="109.5" customHeight="1" s="24">
      <c r="A90" s="30" t="inlineStr">
        <is>
          <t>AU101-31</t>
        </is>
      </c>
      <c r="B90" s="30" t="inlineStr">
        <is>
          <t>Loving Embrace Arrangement</t>
        </is>
      </c>
      <c r="C90" s="30" t="inlineStr">
        <is>
          <t>Sympathy</t>
        </is>
      </c>
      <c r="D90" s="43" t="inlineStr">
        <is>
          <t>READY TO REVIEW</t>
        </is>
      </c>
      <c r="E90" s="30" t="inlineStr">
        <is>
          <t>The "Loving Embrace Arrangement" is a comforting display of support and sympathy. It tastefully celebrates the life of the dearly departed with muted pinks, lavenders and yellows. Appropriate for sending to the funeral home or the family's home during this difficult time. Includes 5 pink roses, 6 pink carnations, 10 blooms of yellow daisies, 10 blooms of lavender daisies, 3 yellow gladioli and filler greens. A thoughtful tribute crafted with care to honour cherished memories. Why Choose Bloomex Australia? Australia-Wide Delivery — metro and regional Fresh Guaranteed — shipped budding, ready to bloom Same-Day Delivery — order by 2pm Family Owned since 1998 Best Value Guarantee</t>
        </is>
      </c>
      <c r="F90" s="30" t="inlineStr">
        <is>
          <t>Joomla (7 Oct)</t>
        </is>
      </c>
      <c r="G90" s="30" t="inlineStr">
        <is>
          <t>5 × Roses Assorted; 3 × Daisy poms assorted; 3 × Limonium White; 3 × Ruscus Israeli; 6 × Carnations Assorted; 8 × Leather Fern</t>
        </is>
      </c>
      <c r="H90" s="30" t="inlineStr">
        <is>
          <t>5 × Roses Assorted; 3 × Daisy poms assorted; 3 × Limonium White; 3 × Ruscus Israeli; 6 × Carnations Assorted; 8 × Leather Fern</t>
        </is>
      </c>
      <c r="I90" s="30" t="inlineStr">
        <is>
          <t>5 × Roses Assorted; 3 × Daisy poms assorted; 3 × Limonium White; 3 × Ruscus Israeli; 6 × Carnations Assorted; 8 × Leather Fern</t>
        </is>
      </c>
      <c r="J90" s="30" t="inlineStr">
        <is>
          <t>3 × Limonium White; 8 × Leather Fern; 6 × Carnations Assorted; 3 × Ruscus Israeli; 3 × Daisy poms assorted; 5 × Roses Assorted</t>
        </is>
      </c>
      <c r="K90" s="30" t="inlineStr">
        <is>
          <t>N</t>
        </is>
      </c>
      <c r="L90" s="30" t="n"/>
      <c r="M90" s="30" t="inlineStr">
        <is>
          <t>A tribute arrangement of 6 assorted-colour carnations and 5 assorted-colour roses. A respectful, heartfelt tribute to express your condolences and share your support with those who are grieving.</t>
        </is>
      </c>
      <c r="N90" s="30">
        <f>LEN(TRIM(SUBSTITUTE(M90,CHAR(10)," ")))-LEN(SUBSTITUTE(TRIM(SUBSTITUTE(M90,CHAR(10)," "))," ",""))+1</f>
        <v/>
      </c>
      <c r="O90" s="30" t="inlineStr">
        <is>
          <t>&lt;p&gt;A tribute arrangement of 6 assorted-colour carnations and 5 assorted-colour roses. A respectful, heartfelt tribute to express your condolences and share your support with those who are grieving.&lt;/p&gt;</t>
        </is>
      </c>
      <c r="P90" s="29" t="inlineStr">
        <is>
          <t>ok</t>
        </is>
      </c>
      <c r="Q90" s="30" t="inlineStr">
        <is>
          <t>Loving Embrace Arrangement brings together 6 assorted-colour carnations and 5 assorted-colour roses. It is made to honour a life and offer comfort to the family.
Mixed flowers carry remembrance and calm. We hand-arrange each tribute with care, from the team at Aussie Blooms.</t>
        </is>
      </c>
      <c r="R90" s="30" t="inlineStr">
        <is>
          <t>&lt;p&gt;Loving Embrace Arrangement brings together 6 assorted-colour carnations and 5 assorted-colour roses. It is made to honour a life and offer comfort to the family.&lt;/p&gt;&lt;p&gt;Mixed flowers carry remembrance and calm. We hand-arrange each tribute with care, from the team at Aussie Blooms.&lt;/p&gt;</t>
        </is>
      </c>
      <c r="S90" s="29" t="inlineStr">
        <is>
          <t>ok</t>
        </is>
      </c>
      <c r="T90" s="30" t="inlineStr">
        <is>
          <t>In this bunch: 6 assorted-colour carnations and 5 assorted-colour roses. A quiet tribute for the service or the family home, from people who are thinking of them.</t>
        </is>
      </c>
      <c r="U90" s="30" t="inlineStr">
        <is>
          <t>&lt;p&gt;In this bunch: 6 assorted-colour carnations and 5 assorted-colour roses. A quiet tribute for the service or the family home, from people who are thinking of them.&lt;/p&gt;</t>
        </is>
      </c>
      <c r="V90" s="29" t="inlineStr">
        <is>
          <t>ok</t>
        </is>
      </c>
      <c r="W90" s="30" t="n"/>
      <c r="X90" s="30" t="inlineStr">
        <is>
          <t>n/a (Mel's: mason jar products only)</t>
        </is>
      </c>
      <c r="Y90" s="30" t="n"/>
      <c r="Z90" s="48" t="inlineStr">
        <is>
          <t>-</t>
        </is>
      </c>
      <c r="AA90" t="inlineStr">
        <is>
          <t>no sales</t>
        </is>
      </c>
      <c r="AB90" s="44" t="n">
        <v>0</v>
      </c>
      <c r="AC90" t="n">
        <v>0</v>
      </c>
      <c r="AD90" s="45" t="n">
        <v>0</v>
      </c>
      <c r="AE90" s="45" t="n">
        <v>0</v>
      </c>
      <c r="AF90" t="inlineStr">
        <is>
          <t>no sales</t>
        </is>
      </c>
    </row>
    <row r="91" ht="109.5" customHeight="1" s="24">
      <c r="A91" s="30" t="inlineStr">
        <is>
          <t>AU101-40</t>
        </is>
      </c>
      <c r="B91" s="30" t="inlineStr">
        <is>
          <t>Classic Tribute</t>
        </is>
      </c>
      <c r="C91" s="30" t="inlineStr">
        <is>
          <t>Sympathy</t>
        </is>
      </c>
      <c r="D91" s="43" t="inlineStr">
        <is>
          <t>READY TO REVIEW</t>
        </is>
      </c>
      <c r="E91" s="30" t="inlineStr">
        <is>
          <t>Reds and whites are tasteful, traditional and elegant in funeral arrangements for many cultures. The traditional colours and style of this arrangement make it an ideal candidate for expressing sincere sympathy. The family will certainly appreciate the gesture and the message this arrangement sends in this sad time. Includes 12 red carnations, 12 white carnations with decorative greens. A thoughtful tribute crafted with care to honour cherished memories. Why Choose Bloomex Australia? Australia-Wide Delivery — metro and regional Fresh Guaranteed — shipped budding, ready to bloom Same-Day Delivery — order by 2pm Family Owned since 1998 Best Value Guarantee</t>
        </is>
      </c>
      <c r="F91" s="30" t="inlineStr">
        <is>
          <t>Joomla (7 Oct)</t>
        </is>
      </c>
      <c r="G91" s="30" t="inlineStr">
        <is>
          <t>3 × Baby's Breath; 12 × Carnation Red; 12 × Carnation White; 7 × Leather Fern</t>
        </is>
      </c>
      <c r="H91" s="30" t="inlineStr">
        <is>
          <t>3 × Baby's Breath; 12 × Carnation Red; 12 × Carnation White; 7 × Leather Fern</t>
        </is>
      </c>
      <c r="I91" s="30" t="inlineStr">
        <is>
          <t>3 × Baby's Breath; 12 × Carnation Red; 12 × Carnation White; 7 × Leather Fern</t>
        </is>
      </c>
      <c r="J91" s="30" t="inlineStr">
        <is>
          <t>12 × Carnation White; 7 × Leather Fern; 12 × Carnation Red; 3 × Baby's Breath</t>
        </is>
      </c>
      <c r="K91" s="30" t="inlineStr">
        <is>
          <t>N</t>
        </is>
      </c>
      <c r="L91" s="30" t="n"/>
      <c r="M91" s="30" t="inlineStr">
        <is>
          <t>A tribute arrangement of 12 red carnations and 12 white carnations. A respectful, heartfelt tribute to express your condolences and share your support with those who are grieving.</t>
        </is>
      </c>
      <c r="N91" s="30">
        <f>LEN(TRIM(SUBSTITUTE(M91,CHAR(10)," ")))-LEN(SUBSTITUTE(TRIM(SUBSTITUTE(M91,CHAR(10)," "))," ",""))+1</f>
        <v/>
      </c>
      <c r="O91" s="30" t="inlineStr">
        <is>
          <t>&lt;p&gt;A tribute arrangement of 12 red carnations and 12 white carnations. A respectful, heartfelt tribute to express your condolences and share your support with those who are grieving.&lt;/p&gt;</t>
        </is>
      </c>
      <c r="P91" s="29" t="inlineStr">
        <is>
          <t>ok</t>
        </is>
      </c>
      <c r="Q91" s="30" t="inlineStr">
        <is>
          <t>Classic Tribute brings together 12 red carnations and 12 white carnations. It is made to honour a life and offer comfort to the family.
Red flowers carry remembrance and calm. We hand-arrange each tribute with care, from the team at Aussie Blooms.</t>
        </is>
      </c>
      <c r="R91" s="30" t="inlineStr">
        <is>
          <t>&lt;p&gt;Classic Tribute brings together 12 red carnations and 12 white carnations. It is made to honour a life and offer comfort to the family.&lt;/p&gt;&lt;p&gt;Red flowers carry remembrance and calm. We hand-arrange each tribute with care, from the team at Aussie Blooms.&lt;/p&gt;</t>
        </is>
      </c>
      <c r="S91" s="29" t="inlineStr">
        <is>
          <t>ok</t>
        </is>
      </c>
      <c r="T91" s="30" t="inlineStr">
        <is>
          <t>Inside the bunch: 12 red carnations and 12 white carnations. Simple flowers for a hard day, sent to the service or the family home.</t>
        </is>
      </c>
      <c r="U91" s="30" t="inlineStr">
        <is>
          <t>&lt;p&gt;Inside the bunch: 12 red carnations and 12 white carnations. Simple flowers for a hard day, sent to the service or the family home.&lt;/p&gt;</t>
        </is>
      </c>
      <c r="V91" s="29" t="inlineStr">
        <is>
          <t>ok</t>
        </is>
      </c>
      <c r="W91" s="30" t="n"/>
      <c r="X91" s="30" t="inlineStr">
        <is>
          <t>n/a (Mel's: mason jar products only)</t>
        </is>
      </c>
      <c r="Y91" s="30" t="n"/>
      <c r="Z91" s="48" t="inlineStr">
        <is>
          <t>-</t>
        </is>
      </c>
      <c r="AA91" t="inlineStr">
        <is>
          <t>no sales</t>
        </is>
      </c>
      <c r="AB91" s="44" t="n">
        <v>0</v>
      </c>
      <c r="AC91" t="n">
        <v>0</v>
      </c>
      <c r="AD91" s="45" t="n">
        <v>0</v>
      </c>
      <c r="AE91" s="45" t="n">
        <v>0</v>
      </c>
      <c r="AF91" t="inlineStr">
        <is>
          <t>no sales</t>
        </is>
      </c>
    </row>
    <row r="92" ht="109.5" customHeight="1" s="24">
      <c r="A92" s="30" t="inlineStr">
        <is>
          <t>AU101-46</t>
        </is>
      </c>
      <c r="B92" s="30" t="inlineStr">
        <is>
          <t>Faithful Memories Casket Arrangement</t>
        </is>
      </c>
      <c r="C92" s="30" t="inlineStr">
        <is>
          <t>Sympathy</t>
        </is>
      </c>
      <c r="D92" s="43" t="inlineStr">
        <is>
          <t>READY TO REVIEW</t>
        </is>
      </c>
      <c r="E92" s="30" t="inlineStr">
        <is>
          <t>A classic casket arrangement created with 48 of our freshest red roses, and greens. This casket arrangement is traditional and tasteful and expresses a significant sense of loss. The classic beauty of this arrangement send a sympathetic message and celebrates the life of the dearly departed in a traditional way. This arrangement is most appropriate for the funeral home. A thoughtful tribute crafted with care to honour cherished memories. Why Choose Bloomex Australia? Australia-Wide Delivery — metro and regional Fresh Guaranteed — shipped budding, ready to bloom Same-Day Delivery — order by 2pm Family Owned since 1998 Best Value Guarantee</t>
        </is>
      </c>
      <c r="F92" s="30" t="inlineStr">
        <is>
          <t>Joomla (7 Oct)</t>
        </is>
      </c>
      <c r="G92" s="30" t="inlineStr">
        <is>
          <t>48 × Roses Assorted; 5 × Baby's Breath; 10 × Ruscus Israeli; 12 × Leather Fern; 1 × Casket  Saddle Single Green</t>
        </is>
      </c>
      <c r="H92" s="30" t="inlineStr">
        <is>
          <t>48 × Roses Assorted; 5 × Baby's Breath; 10 × Ruscus Israeli; 12 × Leather Fern; 1 × Casket saddle single green</t>
        </is>
      </c>
      <c r="I92" s="31" t="inlineStr">
        <is>
          <t>48 × Roses Assorted; 5 × Baby's Breath; 10 × Ruscus Israeli; 12 × Leather Fern; 1 × Casket saddle single green</t>
        </is>
      </c>
      <c r="J92" s="30" t="inlineStr">
        <is>
          <t>1 × Casket saddle single green; 5 × Baby's Breath; 48 × Roses Assorted; 12 × Leather Fern; 10 × Ruscus Israeli</t>
        </is>
      </c>
      <c r="K92" s="30" t="inlineStr">
        <is>
          <t>N</t>
        </is>
      </c>
      <c r="L92" s="30" t="n"/>
      <c r="M92" s="30" t="inlineStr">
        <is>
          <t>A tribute arrangement of 48 assorted-colour roses. A respectful, heartfelt tribute to express your condolences and share your support with those who are grieving.</t>
        </is>
      </c>
      <c r="N92" s="30">
        <f>LEN(TRIM(SUBSTITUTE(M92,CHAR(10)," ")))-LEN(SUBSTITUTE(TRIM(SUBSTITUTE(M92,CHAR(10)," "))," ",""))+1</f>
        <v/>
      </c>
      <c r="O92" s="30" t="inlineStr">
        <is>
          <t>&lt;p&gt;A tribute arrangement of 48 assorted-colour roses. A respectful, heartfelt tribute to express your condolences and share your support with those who are grieving.&lt;/p&gt;</t>
        </is>
      </c>
      <c r="P92" s="29" t="inlineStr">
        <is>
          <t>ok</t>
        </is>
      </c>
      <c r="Q92" s="30" t="inlineStr">
        <is>
          <t>Faithful Memories Casket Arrangement brings together 48 assorted-colour roses. It is made to honour a life and offer comfort to the family.
Mixed flowers carry remembrance and calm. We hand-arrange each tribute with care, from the team at Aussie Blooms.</t>
        </is>
      </c>
      <c r="R92" s="30" t="inlineStr">
        <is>
          <t>&lt;p&gt;Faithful Memories Casket Arrangement brings together 48 assorted-colour roses. It is made to honour a life and offer comfort to the family.&lt;/p&gt;&lt;p&gt;Mixed flowers carry remembrance and calm. We hand-arrange each tribute with care, from the team at Aussie Blooms.&lt;/p&gt;</t>
        </is>
      </c>
      <c r="S92" s="29" t="inlineStr">
        <is>
          <t>ok</t>
        </is>
      </c>
      <c r="T92" s="30" t="inlineStr">
        <is>
          <t>In this bunch: 48 assorted-colour roses. A quiet tribute for the service or the family home, from people who are thinking of them.</t>
        </is>
      </c>
      <c r="U92" s="30" t="inlineStr">
        <is>
          <t>&lt;p&gt;In this bunch: 48 assorted-colour roses. A quiet tribute for the service or the family home, from people who are thinking of them.&lt;/p&gt;</t>
        </is>
      </c>
      <c r="V92" s="29" t="inlineStr">
        <is>
          <t>ok</t>
        </is>
      </c>
      <c r="W92" s="30" t="n"/>
      <c r="X92" s="30" t="inlineStr">
        <is>
          <t>n/a (Mel's: mason jar products only)</t>
        </is>
      </c>
      <c r="Y92" s="30" t="n"/>
      <c r="Z92" s="48" t="inlineStr">
        <is>
          <t>-</t>
        </is>
      </c>
      <c r="AA92" t="inlineStr">
        <is>
          <t>no sales</t>
        </is>
      </c>
      <c r="AB92" s="44" t="n">
        <v>0</v>
      </c>
      <c r="AC92" t="n">
        <v>0</v>
      </c>
      <c r="AD92" s="45" t="n">
        <v>0</v>
      </c>
      <c r="AE92" s="45" t="n">
        <v>0</v>
      </c>
      <c r="AF92" t="inlineStr">
        <is>
          <t>no sales</t>
        </is>
      </c>
    </row>
    <row r="93" ht="109.5" customHeight="1" s="24">
      <c r="A93" s="30" t="inlineStr">
        <is>
          <t>AU101-57</t>
        </is>
      </c>
      <c r="B93" s="30" t="inlineStr">
        <is>
          <t>Red and White Funeral Wreath</t>
        </is>
      </c>
      <c r="C93" s="30" t="inlineStr">
        <is>
          <t>Sympathy</t>
        </is>
      </c>
      <c r="D93" s="43" t="inlineStr">
        <is>
          <t>READY TO REVIEW</t>
        </is>
      </c>
      <c r="E93" s="30" t="inlineStr">
        <is>
          <t>Red and white wreaths have long been a traditional arrangement sent for funerals. This wreath sends a tasteful and traditional deepest and heartfelt condolences message. The wreath is designed with 28 red and 12 white carnations covering a circular wreath and mounted on an easel. Most appropriate for the funeral home. Approximately 15" DTo allow these beautiful flowers to last much longer, they are shipped fresh, budding, and ready to bloom. A thoughtful tribute crafted with care to honour cherished memories. Why Choose Bloomex Australia? Australia-Wide Delivery — metro and regional Fresh Guaranteed — shipped budding, ready to bloom Same-Day Delivery — order by 2pm Family Owned since 1998 Best Value Guarantee</t>
        </is>
      </c>
      <c r="F93" s="30" t="inlineStr">
        <is>
          <t>Joomla (7 Oct)</t>
        </is>
      </c>
      <c r="G93" s="30" t="inlineStr">
        <is>
          <t>5 × Baby's Breath; 40 × Carnation White; 10 × Leather Fern; 1 × Large Wreath; 10 × Roses Red</t>
        </is>
      </c>
      <c r="H93" s="30" t="inlineStr">
        <is>
          <t>5 × Baby's Breath; 40 × Carnation White; 10 × Leather Fern; 1 × Wreath Form Large; 10 × Roses Red</t>
        </is>
      </c>
      <c r="I93" s="31" t="inlineStr">
        <is>
          <t>5 × Baby's Breath; 40 × Carnation White; 10 × Leather Fern; 1 × Wreath Form Large; 10 × Roses Red</t>
        </is>
      </c>
      <c r="J93" s="30" t="inlineStr">
        <is>
          <t>5 × Baby's Breath; 40 × Carnation White; 10 × Leather Fern; 1 × Wreath Form Large; 10 × Roses Red</t>
        </is>
      </c>
      <c r="K93" s="30" t="inlineStr">
        <is>
          <t>N</t>
        </is>
      </c>
      <c r="L93" s="30" t="n"/>
      <c r="M93" s="30" t="inlineStr">
        <is>
          <t>A sympathy arrangement of 40 white carnations and 10 red roses, arranged on a wreath form. A respectful, heartfelt tribute to express your condolences and share your support with those who are grieving.</t>
        </is>
      </c>
      <c r="N93" s="30">
        <f>LEN(TRIM(SUBSTITUTE(M93,CHAR(10)," ")))-LEN(SUBSTITUTE(TRIM(SUBSTITUTE(M93,CHAR(10)," "))," ",""))+1</f>
        <v/>
      </c>
      <c r="O93" s="30" t="inlineStr">
        <is>
          <t>&lt;p&gt;A sympathy arrangement of 40 white carnations and 10 red roses, arranged on a wreath form. A respectful, heartfelt tribute to express your condolences and share your support with those who are grieving.&lt;/p&gt;</t>
        </is>
      </c>
      <c r="P93" s="29" t="inlineStr">
        <is>
          <t>ok</t>
        </is>
      </c>
      <c r="Q93" s="30" t="inlineStr">
        <is>
          <t>Red and White Funeral Wreath brings together 40 white carnations and 10 red roses, arranged on a wreath form. It is made to honour a life and offer comfort to the family.
White flowers carry remembrance and calm. We hand-arrange each tribute with care, from the team at Aussie Blooms.</t>
        </is>
      </c>
      <c r="R93" s="30" t="inlineStr">
        <is>
          <t>&lt;p&gt;Red and White Funeral Wreath brings together 40 white carnations and 10 red roses, arranged on a wreath form. It is made to honour a life and offer comfort to the family.&lt;/p&gt;&lt;p&gt;White flowers carry remembrance and calm. We hand-arrange each tribute with care, from the team at Aussie Blooms.&lt;/p&gt;</t>
        </is>
      </c>
      <c r="S93" s="29" t="inlineStr">
        <is>
          <t>ok</t>
        </is>
      </c>
      <c r="T93" s="30" t="inlineStr">
        <is>
          <t>In this bunch: 40 white carnations and 10 red roses, on a wreath form. A quiet tribute for the service or the family home, from people who are thinking of them.</t>
        </is>
      </c>
      <c r="U93" s="30" t="inlineStr">
        <is>
          <t>&lt;p&gt;In this bunch: 40 white carnations and 10 red roses, on a wreath form. A quiet tribute for the service or the family home, from people who are thinking of them.&lt;/p&gt;</t>
        </is>
      </c>
      <c r="V93" s="29" t="inlineStr">
        <is>
          <t>ok</t>
        </is>
      </c>
      <c r="W93" s="30" t="n"/>
      <c r="X93" s="30" t="inlineStr">
        <is>
          <t>n/a (Mel's: mason jar products only)</t>
        </is>
      </c>
      <c r="Y93" s="30" t="n"/>
      <c r="Z93" s="48" t="inlineStr">
        <is>
          <t>-</t>
        </is>
      </c>
      <c r="AA93" t="inlineStr">
        <is>
          <t>no sales</t>
        </is>
      </c>
      <c r="AB93" s="44" t="n">
        <v>0</v>
      </c>
      <c r="AC93" t="n">
        <v>0</v>
      </c>
      <c r="AD93" s="45" t="n">
        <v>0</v>
      </c>
      <c r="AE93" s="45" t="n">
        <v>0</v>
      </c>
      <c r="AF93" t="inlineStr">
        <is>
          <t>no sales</t>
        </is>
      </c>
    </row>
    <row r="94" ht="109.5" customHeight="1" s="24">
      <c r="A94" s="30" t="inlineStr">
        <is>
          <t>AU112-12</t>
        </is>
      </c>
      <c r="B94" s="30" t="inlineStr">
        <is>
          <t>Beautiful in Blue</t>
        </is>
      </c>
      <c r="C94" s="30" t="inlineStr">
        <is>
          <t>Sympathy</t>
        </is>
      </c>
      <c r="D94" s="43" t="inlineStr">
        <is>
          <t>READY TO REVIEW</t>
        </is>
      </c>
      <c r="E94" s="30" t="inlineStr">
        <is>
          <t>In this arrangement, the serenity of the colour blue along with the purity of intention symbolized by white will let the family know you are sending your calm strength to them during these difficult times. Beautiful blooms such as roses, lilies and alstroemeria along with chrysanthemums, eucalyptus, limonium and more. These flowers are shipped fresh, budding and ready to bloom. Vase not included, but they are available. A thoughtful tribute crafted with care to honour cherished memories. Why Choose Bloomex Australia? Australia-Wide Delivery — metro and regional Fresh Guaranteed — shipped budding, ready to bloom Same-Day Delivery — order by 1pm Family Owned since 1998 Best Value Guarantee</t>
        </is>
      </c>
      <c r="F94" s="30" t="inlineStr">
        <is>
          <t>Joomla (7 Oct)</t>
        </is>
      </c>
      <c r="G94" s="30" t="inlineStr">
        <is>
          <t>3 × Roses Cream; 2 × Chrysanthemum Daisies White; 1 × Eryngium; 2 × Ruscus Israeli; 2 × Carnations Blue; 2 × Alstroemeria White; 1 × Leather Fern</t>
        </is>
      </c>
      <c r="H94" s="30" t="inlineStr">
        <is>
          <t>3 × Roses Cream; 2 × Chrysanthemum Daisies White; 1 × Eryngium; 2 × Ruscus Israeli; 2 × Carnations Blue; 2 × Alstroemeria White; 1 × Leather Fern</t>
        </is>
      </c>
      <c r="I94" s="30" t="inlineStr">
        <is>
          <t>3 × Roses Cream; 2 × Chrysanthemum Daisies White; 1 × Eryngium; 2 × Ruscus Israeli; 2 × Carnations Blue; 2 × Alstroemeria White; 1 × Leather Fern</t>
        </is>
      </c>
      <c r="J94" s="30" t="inlineStr">
        <is>
          <t>2 × Ruscus Israeli; 1 × Leather Fern; 2 × Alstroemeria White; 2 × Carnations Blue; 1 × Eryngium; 2 × Chrysanthemum Daisies White; 3 × Roses Cream</t>
        </is>
      </c>
      <c r="K94" s="30" t="inlineStr">
        <is>
          <t>Y</t>
        </is>
      </c>
      <c r="L94" s="30" t="n"/>
      <c r="M94" s="30" t="inlineStr">
        <is>
          <t>A tribute arrangement of 3 cream roses, 2 blue carnations, 2 white alstroemeria and 2 white chrysanthemum daisies. A respectful, heartfelt tribute to express your condolences and share your support with those who are grieving.</t>
        </is>
      </c>
      <c r="N94" s="30">
        <f>LEN(TRIM(SUBSTITUTE(M94,CHAR(10)," ")))-LEN(SUBSTITUTE(TRIM(SUBSTITUTE(M94,CHAR(10)," "))," ",""))+1</f>
        <v/>
      </c>
      <c r="O94" s="30" t="inlineStr">
        <is>
          <t>&lt;p&gt;A tribute arrangement of 3 cream roses, 2 blue carnations, 2 white alstroemeria and 2 white chrysanthemum daisies. A respectful, heartfelt tribute to express your condolences and share your support with those who are grieving.&lt;/p&gt;</t>
        </is>
      </c>
      <c r="P94" s="29" t="inlineStr">
        <is>
          <t>ok</t>
        </is>
      </c>
      <c r="Q94" s="30" t="inlineStr">
        <is>
          <t>Beautiful in Blue brings together 3 cream roses, 2 blue carnations, 2 white alstroemeria and 2 white chrysanthemum daisies. It is made to honour a life and offer comfort to the family.
White flowers carry remembrance and calm. We hand-arrange each tribute with care, from the team at Aussie Blooms.</t>
        </is>
      </c>
      <c r="R94" s="30" t="inlineStr">
        <is>
          <t>&lt;p&gt;Beautiful in Blue brings together 3 cream roses, 2 blue carnations, 2 white alstroemeria and 2 white chrysanthemum daisies. It is made to honour a life and offer comfort to the family.&lt;/p&gt;&lt;p&gt;White flowers carry remembrance and calm. We hand-arrange each tribute with care, from the team at Aussie Blooms.&lt;/p&gt;</t>
        </is>
      </c>
      <c r="S94" s="29" t="inlineStr">
        <is>
          <t>ok</t>
        </is>
      </c>
      <c r="T94" s="30" t="inlineStr">
        <is>
          <t>In this bunch: 3 cream roses, 2 blue carnations, 2 white alstroemeria and 2 white chrysanthemum daisies. A quiet tribute for the service or the family home, from people who are thinking of them.</t>
        </is>
      </c>
      <c r="U94" s="30" t="inlineStr">
        <is>
          <t>&lt;p&gt;In this bunch: 3 cream roses, 2 blue carnations, 2 white alstroemeria and 2 white chrysanthemum daisies. A quiet tribute for the service or the family home, from people who are thinking of them.&lt;/p&gt;</t>
        </is>
      </c>
      <c r="V94" s="29" t="inlineStr">
        <is>
          <t>ok</t>
        </is>
      </c>
      <c r="W94" s="30" t="n"/>
      <c r="X94" s="30" t="inlineStr">
        <is>
          <t>n/a (Mel's: mason jar products only)</t>
        </is>
      </c>
      <c r="Y94" s="30" t="n"/>
      <c r="Z94" s="48" t="inlineStr">
        <is>
          <t>-</t>
        </is>
      </c>
      <c r="AA94" t="n">
        <v>37</v>
      </c>
      <c r="AB94" s="44" t="n">
        <v>55794.91</v>
      </c>
      <c r="AC94" t="n">
        <v>415</v>
      </c>
      <c r="AD94" s="45" t="n">
        <v>0.006392811352231072</v>
      </c>
      <c r="AE94" s="45" t="n">
        <v>0.1079991040211864</v>
      </c>
      <c r="AF94" t="n">
        <v>2</v>
      </c>
    </row>
    <row r="95" ht="109.5" customHeight="1" s="24">
      <c r="A95" s="30" t="inlineStr">
        <is>
          <t>AU112-73</t>
        </is>
      </c>
      <c r="B95" s="30" t="inlineStr">
        <is>
          <t>Celestial Love</t>
        </is>
      </c>
      <c r="C95" s="30" t="inlineStr">
        <is>
          <t>Sympathy</t>
        </is>
      </c>
      <c r="D95" s="43" t="inlineStr">
        <is>
          <t>READY TO REVIEW</t>
        </is>
      </c>
      <c r="E95" s="30" t="inlineStr">
        <is>
          <t>Peaceful and pure. This pretty arrangement of white and light colours will let anyone know they are in your thoughts. Fresh flowers such as roses, spray roses, white alstromeria, waxflower and more. These flowers are shipped fresh, budding and ready to bloom. Vase not included, but they are available. Not valid for same day delivery; order will be delivered next available business day. A thoughtful tribute crafted with care to honour cherished memories. Why Choose Bloomex Australia? Australia-Wide Delivery — metro and regional Fresh Guaranteed — shipped budding, ready to bloom Same-Day Delivery — order by 1pm Family Owned since 1998 Best Value Guarantee</t>
        </is>
      </c>
      <c r="F95" s="30" t="inlineStr">
        <is>
          <t>Joomla (7 Oct)</t>
        </is>
      </c>
      <c r="G95" s="30" t="inlineStr">
        <is>
          <t>4 × Roses Peach; 2 × Roses Spray Cream; 1 × Baby's Breath; 2 × Ruscus Israeli; 2 × Mini Carnations White; 2 × Alstroemeria White</t>
        </is>
      </c>
      <c r="H95" s="30" t="inlineStr">
        <is>
          <t>4 × Roses Peach; 2 × Roses Spray Cream; 1 × Baby's Breath; 2 × Ruscus Israeli; 2 × Mini Carnations White; 2 × Alstroemeria White</t>
        </is>
      </c>
      <c r="I95" s="30" t="inlineStr">
        <is>
          <t>4 × Roses Peach; 2 × Roses Spray Cream; 1 × Baby's Breath; 2 × Ruscus Israeli; 2 × Mini Carnations White; 2 × Alstroemeria White</t>
        </is>
      </c>
      <c r="J95" s="30" t="inlineStr">
        <is>
          <t>1 × Baby's Breath; 2 × Alstroemeria White; 2 × Mini Carnations White; 2 × Ruscus Israeli; 2 × Roses Spray Cream; 4 × Roses Peach</t>
        </is>
      </c>
      <c r="K95" s="30" t="inlineStr">
        <is>
          <t>Y</t>
        </is>
      </c>
      <c r="L95" s="30" t="n"/>
      <c r="M95" s="30" t="inlineStr">
        <is>
          <t>A tribute arrangement of 4 peach roses, 2 cream spray roses and 2 white alstroemeria. A respectful, heartfelt tribute to express your condolences and share your support with those who are grieving.</t>
        </is>
      </c>
      <c r="N95" s="30">
        <f>LEN(TRIM(SUBSTITUTE(M95,CHAR(10)," ")))-LEN(SUBSTITUTE(TRIM(SUBSTITUTE(M95,CHAR(10)," "))," ",""))+1</f>
        <v/>
      </c>
      <c r="O95" s="30" t="inlineStr">
        <is>
          <t>&lt;p&gt;A tribute arrangement of 4 peach roses, 2 cream spray roses and 2 white alstroemeria. A respectful, heartfelt tribute to express your condolences and share your support with those who are grieving.&lt;/p&gt;</t>
        </is>
      </c>
      <c r="P95" s="29" t="inlineStr">
        <is>
          <t>ok</t>
        </is>
      </c>
      <c r="Q95" s="30" t="inlineStr">
        <is>
          <t>Celestial Love brings together 4 peach roses, 2 cream spray roses and 2 white alstroemeria. It is made to honour a life and offer comfort to the family.
Peach flowers carry remembrance and calm. We hand-arrange each tribute with care, from the team at Aussie Blooms.</t>
        </is>
      </c>
      <c r="R95" s="30" t="inlineStr">
        <is>
          <t>&lt;p&gt;Celestial Love brings together 4 peach roses, 2 cream spray roses and 2 white alstroemeria. It is made to honour a life and offer comfort to the family.&lt;/p&gt;&lt;p&gt;Peach flowers carry remembrance and calm. We hand-arrange each tribute with care, from the team at Aussie Blooms.&lt;/p&gt;</t>
        </is>
      </c>
      <c r="S95" s="29" t="inlineStr">
        <is>
          <t>ok</t>
        </is>
      </c>
      <c r="T95" s="30" t="inlineStr">
        <is>
          <t>Inside the bunch: 4 peach roses, 2 cream spray roses and 2 white alstroemeria. Simple flowers for a hard day, sent to the service or the family home.</t>
        </is>
      </c>
      <c r="U95" s="30" t="inlineStr">
        <is>
          <t>&lt;p&gt;Inside the bunch: 4 peach roses, 2 cream spray roses and 2 white alstroemeria. Simple flowers for a hard day, sent to the service or the family home.&lt;/p&gt;</t>
        </is>
      </c>
      <c r="V95" s="29" t="inlineStr">
        <is>
          <t>ok</t>
        </is>
      </c>
      <c r="W95" s="30" t="n"/>
      <c r="X95" s="30" t="inlineStr">
        <is>
          <t>n/a (Mel's: mason jar products only)</t>
        </is>
      </c>
      <c r="Y95" s="30" t="n"/>
      <c r="Z95" s="48" t="inlineStr">
        <is>
          <t>-</t>
        </is>
      </c>
      <c r="AA95" t="n">
        <v>57</v>
      </c>
      <c r="AB95" s="44" t="n">
        <v>39720.17</v>
      </c>
      <c r="AC95" t="n">
        <v>338</v>
      </c>
      <c r="AD95" s="45" t="n">
        <v>0.004551016458106089</v>
      </c>
      <c r="AE95" s="45" t="n">
        <v>0.0768841238666611</v>
      </c>
      <c r="AF95" t="n">
        <v>4</v>
      </c>
    </row>
    <row r="96" ht="109.5" customHeight="1" s="24">
      <c r="A96" s="30" t="inlineStr">
        <is>
          <t>AU100-71</t>
        </is>
      </c>
      <c r="B96" s="30" t="inlineStr">
        <is>
          <t>Full Heart</t>
        </is>
      </c>
      <c r="C96" s="30" t="inlineStr">
        <is>
          <t>Sympathy</t>
        </is>
      </c>
      <c r="D96" s="43" t="inlineStr">
        <is>
          <t>READY TO REVIEW</t>
        </is>
      </c>
      <c r="E96" s="30" t="inlineStr">
        <is>
          <t>When your heart is full of love. Of longing. Of loss. You can pay tribute with this incredible arrangement of roses and eucalyptus. Cherish the moments you had and the memories you will hold onto forever. Lovely red roses and graceful eucalyptus make up this heartfelt gift. These flowers are shipped fresh, budding and ready to bloom. Vase not included, but they are available. A thoughtful tribute crafted with care to honour cherished memories. Why Choose Bloomex Australia? Australia-Wide Delivery — metro and regional Fresh Guaranteed — shipped budding, ready to bloom Same-Day Delivery — order by 1pm Family Owned since 1998 Best Value Guarantee</t>
        </is>
      </c>
      <c r="F96" s="30" t="inlineStr">
        <is>
          <t>Joomla (7 Oct)</t>
        </is>
      </c>
      <c r="G96" s="30" t="inlineStr">
        <is>
          <t>16 × Roses Red; 2 × Baby's Breath; 3 × Ruscus Israeli</t>
        </is>
      </c>
      <c r="H96" s="30" t="inlineStr">
        <is>
          <t>16 × Roses Red; 2 × Baby's Breath; 3 × Ruscus Israeli</t>
        </is>
      </c>
      <c r="I96" s="30" t="inlineStr">
        <is>
          <t>16 × Roses Red; 2 × Baby's Breath; 3 × Ruscus Israeli</t>
        </is>
      </c>
      <c r="J96" s="30" t="inlineStr">
        <is>
          <t>3 × Ruscus Israeli; 2 × Baby's Breath; 16 × Roses Red</t>
        </is>
      </c>
      <c r="K96" s="30" t="inlineStr">
        <is>
          <t>Y</t>
        </is>
      </c>
      <c r="L96" s="30" t="n"/>
      <c r="M96" s="30" t="inlineStr">
        <is>
          <t>A tribute arrangement of 16 red roses. A respectful, heartfelt tribute to express your condolences and share your support with those who are grieving.</t>
        </is>
      </c>
      <c r="N96" s="30">
        <f>LEN(TRIM(SUBSTITUTE(M96,CHAR(10)," ")))-LEN(SUBSTITUTE(TRIM(SUBSTITUTE(M96,CHAR(10)," "))," ",""))+1</f>
        <v/>
      </c>
      <c r="O96" s="30" t="inlineStr">
        <is>
          <t>&lt;p&gt;A tribute arrangement of 16 red roses. A respectful, heartfelt tribute to express your condolences and share your support with those who are grieving.&lt;/p&gt;</t>
        </is>
      </c>
      <c r="P96" s="29" t="inlineStr">
        <is>
          <t>ok</t>
        </is>
      </c>
      <c r="Q96" s="30" t="inlineStr">
        <is>
          <t>Full Heart brings together 16 red roses. It is made to honour a life and offer comfort to the family.
Red flowers carry remembrance and calm. We hand-arrange each tribute with care, from the team at Aussie Blooms.</t>
        </is>
      </c>
      <c r="R96" s="30" t="inlineStr">
        <is>
          <t>&lt;p&gt;Full Heart brings together 16 red roses. It is made to honour a life and offer comfort to the family.&lt;/p&gt;&lt;p&gt;Red flowers carry remembrance and calm. We hand-arrange each tribute with care, from the team at Aussie Blooms.&lt;/p&gt;</t>
        </is>
      </c>
      <c r="S96" s="29" t="inlineStr">
        <is>
          <t>ok</t>
        </is>
      </c>
      <c r="T96" s="30" t="inlineStr">
        <is>
          <t>The bunch holds: 16 red roses. Quiet and respectful, a way to say you are there for the family.</t>
        </is>
      </c>
      <c r="U96" s="30" t="inlineStr">
        <is>
          <t>&lt;p&gt;The bunch holds: 16 red roses. Quiet and respectful, a way to say you are there for the family.&lt;/p&gt;</t>
        </is>
      </c>
      <c r="V96" s="29" t="inlineStr">
        <is>
          <t>ok</t>
        </is>
      </c>
      <c r="W96" s="30" t="n"/>
      <c r="X96" s="30" t="inlineStr">
        <is>
          <t>n/a (Mel's: mason jar products only)</t>
        </is>
      </c>
      <c r="Y96" s="30" t="n"/>
      <c r="Z96" s="48" t="inlineStr">
        <is>
          <t>-</t>
        </is>
      </c>
      <c r="AA96" t="n">
        <v>39</v>
      </c>
      <c r="AB96" s="44" t="n">
        <v>54712.97</v>
      </c>
      <c r="AC96" t="n">
        <v>395</v>
      </c>
      <c r="AD96" s="45" t="n">
        <v>0.006268845952619657</v>
      </c>
      <c r="AE96" s="45" t="n">
        <v>0.1059048529397763</v>
      </c>
      <c r="AF96" t="n">
        <v>3</v>
      </c>
    </row>
    <row r="97" ht="109.5" customHeight="1" s="24">
      <c r="A97" s="30" t="inlineStr">
        <is>
          <t>AU112-56</t>
        </is>
      </c>
      <c r="B97" s="30" t="inlineStr">
        <is>
          <t>Rose Impression</t>
        </is>
      </c>
      <c r="C97" s="30" t="inlineStr">
        <is>
          <t>Sympathy</t>
        </is>
      </c>
      <c r="D97" s="43" t="inlineStr">
        <is>
          <t>READY TO REVIEW</t>
        </is>
      </c>
      <c r="E97" s="30" t="inlineStr">
        <is>
          <t>An elegant all-red rose bouquet. Heartfelt in its simplicity, it is perfectly paired with soft-green sword fern. These flowers are shipped fresh, budding and ready to bloom. Vases and sympathy cards are available as well. A thoughtful tribute crafted with care to honour cherished memories. Why Choose Bloomex Australia? Australia-Wide Delivery — metro and regional Fresh Guaranteed — shipped budding, ready to bloom Same-Day Delivery — order by 1pm Family Owned since 1998 Best Value Guarantee</t>
        </is>
      </c>
      <c r="F97" s="30" t="inlineStr">
        <is>
          <t>Joomla (7 Oct)</t>
        </is>
      </c>
      <c r="G97" s="30" t="inlineStr">
        <is>
          <t>15 × Roses Red; 2 × Baby's Breath; 3 × Ruscus Israeli; 1 × Red Ribbon</t>
        </is>
      </c>
      <c r="H97" s="30" t="inlineStr">
        <is>
          <t>15 × Roses Red; 2 × Baby's Breath; 3 × Ruscus Israeli; 1 × Red Ribbon</t>
        </is>
      </c>
      <c r="I97" s="30" t="inlineStr">
        <is>
          <t>15 × Roses Red; 2 × Baby's Breath; 3 × Ruscus Israeli; 1 × Red Ribbon</t>
        </is>
      </c>
      <c r="J97" s="30" t="inlineStr">
        <is>
          <t>3 × Ruscus Israeli; 1 × Red Ribbon; 2 × Baby's Breath; 15 × Roses Red</t>
        </is>
      </c>
      <c r="K97" s="30" t="inlineStr">
        <is>
          <t>Y</t>
        </is>
      </c>
      <c r="L97" s="30" t="n"/>
      <c r="M97" s="30" t="inlineStr">
        <is>
          <t>A tribute arrangement of 15 red roses, finished with a red ribbon. A respectful, heartfelt tribute to express your condolences and share your support with those who are grieving.</t>
        </is>
      </c>
      <c r="N97" s="30">
        <f>LEN(TRIM(SUBSTITUTE(M97,CHAR(10)," ")))-LEN(SUBSTITUTE(TRIM(SUBSTITUTE(M97,CHAR(10)," "))," ",""))+1</f>
        <v/>
      </c>
      <c r="O97" s="30" t="inlineStr">
        <is>
          <t>&lt;p&gt;A tribute arrangement of 15 red roses, finished with a red ribbon. A respectful, heartfelt tribute to express your condolences and share your support with those who are grieving.&lt;/p&gt;</t>
        </is>
      </c>
      <c r="P97" s="29" t="inlineStr">
        <is>
          <t>ok</t>
        </is>
      </c>
      <c r="Q97" s="30" t="inlineStr">
        <is>
          <t>Rose Impression brings together 15 red roses, finished with a red ribbon. It is made to honour a life and offer comfort to the family.
Red flowers carry remembrance and calm. We hand-arrange each tribute with care, from the team at Aussie Blooms.</t>
        </is>
      </c>
      <c r="R97" s="30" t="inlineStr">
        <is>
          <t>&lt;p&gt;Rose Impression brings together 15 red roses, finished with a red ribbon. It is made to honour a life and offer comfort to the family.&lt;/p&gt;&lt;p&gt;Red flowers carry remembrance and calm. We hand-arrange each tribute with care, from the team at Aussie Blooms.&lt;/p&gt;</t>
        </is>
      </c>
      <c r="S97" s="29" t="inlineStr">
        <is>
          <t>ok</t>
        </is>
      </c>
      <c r="T97" s="30" t="inlineStr">
        <is>
          <t>The bunch holds: 15 red roses, finished with a red ribbon. Quiet and respectful, a way to say you are there for the family.</t>
        </is>
      </c>
      <c r="U97" s="30" t="inlineStr">
        <is>
          <t>&lt;p&gt;The bunch holds: 15 red roses, finished with a red ribbon. Quiet and respectful, a way to say you are there for the family.&lt;/p&gt;</t>
        </is>
      </c>
      <c r="V97" s="29" t="inlineStr">
        <is>
          <t>ok</t>
        </is>
      </c>
      <c r="W97" s="30" t="n"/>
      <c r="X97" s="30" t="inlineStr">
        <is>
          <t>n/a (Mel's: mason jar products only)</t>
        </is>
      </c>
      <c r="Y97" s="30" t="n"/>
      <c r="Z97" s="48" t="inlineStr">
        <is>
          <t>-</t>
        </is>
      </c>
      <c r="AA97" t="n">
        <v>176</v>
      </c>
      <c r="AB97" s="44" t="n">
        <v>3645.13</v>
      </c>
      <c r="AC97" t="n">
        <v>28</v>
      </c>
      <c r="AD97" s="45" t="n">
        <v>0.000417647926026909</v>
      </c>
      <c r="AE97" s="45" t="n">
        <v>0.007055675401945218</v>
      </c>
      <c r="AF97" t="n">
        <v>15</v>
      </c>
    </row>
    <row r="98" ht="109.5" customHeight="1" s="24">
      <c r="A98" s="30" t="inlineStr">
        <is>
          <t>AU112-37</t>
        </is>
      </c>
      <c r="B98" s="30" t="inlineStr">
        <is>
          <t>Rose Tribute</t>
        </is>
      </c>
      <c r="C98" s="30" t="inlineStr">
        <is>
          <t>Sympathy</t>
        </is>
      </c>
      <c r="D98" s="43" t="inlineStr">
        <is>
          <t>READY TO REVIEW</t>
        </is>
      </c>
      <c r="E98" s="30" t="inlineStr">
        <is>
          <t>As true as the love symbolized by a red, red rose are the heartfelt memories and deep feelings embraced with this classic and elegant expression of tribute. Two dozen red roses, accented by salal. These flowers are shipped fresh, budding and ready to bloom. Vases and sympathy cards are available as well. A thoughtful tribute crafted with care to honour cherished memories. Why Choose Bloomex Australia? Australia-Wide Delivery — metro and regional Fresh Guaranteed — shipped budding, ready to bloom Same-Day Delivery — order by 1pm Family Owned since 1998 Best Value Guarantee</t>
        </is>
      </c>
      <c r="F98" s="30" t="inlineStr">
        <is>
          <t>Joomla (7 Oct)</t>
        </is>
      </c>
      <c r="G98" s="30" t="inlineStr">
        <is>
          <t>24 × Roses Red; 5 × Baby's Breath; 4 × Ruscus Israeli</t>
        </is>
      </c>
      <c r="H98" s="30" t="inlineStr">
        <is>
          <t>24 × Roses Red; 5 × Baby's Breath; 4 × Ruscus Israeli</t>
        </is>
      </c>
      <c r="I98" s="30" t="inlineStr">
        <is>
          <t>24 × Roses Red; 5 × Baby's Breath; 4 × Ruscus Israeli</t>
        </is>
      </c>
      <c r="J98" s="30" t="inlineStr">
        <is>
          <t>4 × Ruscus Israeli; 5 × Baby's Breath; 24 × Roses Red</t>
        </is>
      </c>
      <c r="K98" s="30" t="inlineStr">
        <is>
          <t>Y</t>
        </is>
      </c>
      <c r="L98" s="30" t="n"/>
      <c r="M98" s="30" t="inlineStr">
        <is>
          <t>A sympathy arrangement of 24 red roses. A respectful, heartfelt tribute to express your condolences and share your support with those who are grieving.</t>
        </is>
      </c>
      <c r="N98" s="30">
        <f>LEN(TRIM(SUBSTITUTE(M98,CHAR(10)," ")))-LEN(SUBSTITUTE(TRIM(SUBSTITUTE(M98,CHAR(10)," "))," ",""))+1</f>
        <v/>
      </c>
      <c r="O98" s="30" t="inlineStr">
        <is>
          <t>&lt;p&gt;A sympathy arrangement of 24 red roses. A respectful, heartfelt tribute to express your condolences and share your support with those who are grieving.&lt;/p&gt;</t>
        </is>
      </c>
      <c r="P98" s="29" t="inlineStr">
        <is>
          <t>ok</t>
        </is>
      </c>
      <c r="Q98" s="30" t="inlineStr">
        <is>
          <t>Rose Tribute brings together 24 red roses. It is made to honour a life and offer comfort to the family.
Red flowers carry remembrance and calm. We hand-arrange each tribute with care, from the team at Aussie Blooms.</t>
        </is>
      </c>
      <c r="R98" s="30" t="inlineStr">
        <is>
          <t>&lt;p&gt;Rose Tribute brings together 24 red roses. It is made to honour a life and offer comfort to the family.&lt;/p&gt;&lt;p&gt;Red flowers carry remembrance and calm. We hand-arrange each tribute with care, from the team at Aussie Blooms.&lt;/p&gt;</t>
        </is>
      </c>
      <c r="S98" s="29" t="inlineStr">
        <is>
          <t>ok</t>
        </is>
      </c>
      <c r="T98" s="30" t="inlineStr">
        <is>
          <t>Inside the bunch: 24 red roses. Simple flowers for a hard day, sent to the service or the family home.</t>
        </is>
      </c>
      <c r="U98" s="30" t="inlineStr">
        <is>
          <t>&lt;p&gt;Inside the bunch: 24 red roses. Simple flowers for a hard day, sent to the service or the family home.&lt;/p&gt;</t>
        </is>
      </c>
      <c r="V98" s="29" t="inlineStr">
        <is>
          <t>ok</t>
        </is>
      </c>
      <c r="W98" s="30" t="n"/>
      <c r="X98" s="30" t="inlineStr">
        <is>
          <t>n/a (Mel's: mason jar products only)</t>
        </is>
      </c>
      <c r="Y98" s="30" t="n"/>
      <c r="Z98" s="48" t="inlineStr">
        <is>
          <t>-</t>
        </is>
      </c>
      <c r="AA98" t="n">
        <v>144</v>
      </c>
      <c r="AB98" s="44" t="n">
        <v>6711.21</v>
      </c>
      <c r="AC98" t="n">
        <v>40</v>
      </c>
      <c r="AD98" s="45" t="n">
        <v>0.0007689497177569178</v>
      </c>
      <c r="AE98" s="45" t="n">
        <v>0.01299051011822968</v>
      </c>
      <c r="AF98" t="n">
        <v>12</v>
      </c>
    </row>
    <row r="99" ht="109.5" customHeight="1" s="24">
      <c r="A99" s="30" t="inlineStr">
        <is>
          <t>AU189-01</t>
        </is>
      </c>
      <c r="B99" s="30" t="inlineStr">
        <is>
          <t>Classic Sympathy Wreath</t>
        </is>
      </c>
      <c r="C99" s="30" t="inlineStr">
        <is>
          <t>Sympathy</t>
        </is>
      </c>
      <c r="D99" s="43" t="inlineStr">
        <is>
          <t>READY TO REVIEW</t>
        </is>
      </c>
      <c r="E99" s="30" t="inlineStr">
        <is>
          <t>A ring of fragrant, bright blossoms will create a serene display at any funeral or wake. This classic wreath is a thoughtful expression of sympathy and admiration. A wreath created from fresh flowers such as roses, Asiatic lilies, carnations and cushion spray chrysanthemums accented with greenery. These flowers are shipped fresh, budding and ready to bloom. Easel not included - sympathy cards are available. A thoughtful tribute crafted with care to honour cherished memories. Why Choose Bloomex Australia? Australia-Wide Delivery — metro and regional Fresh Guaranteed — shipped budding, ready to bloom Same-Day Delivery — order by 1pm Family Owned since 1998 Best Value Guarantee</t>
        </is>
      </c>
      <c r="F99" s="30" t="inlineStr">
        <is>
          <t>Joomla (7 Oct)</t>
        </is>
      </c>
      <c r="G99" s="30" t="inlineStr">
        <is>
          <t>12 × Roses White; 12 × Chrysanthemum Daisies White; 12 × Carnation White; 5 × Baby;s Breath; 10 × Ruscus Israeli; 1 × Large Box; 1 × 18" wreath form</t>
        </is>
      </c>
      <c r="H99" s="30" t="inlineStr">
        <is>
          <t>12 × Roses White; 12 × Chrysanthemum Daisies White; 12 × Carnation White; 5 × Baby's Breath; 10 × Ruscus Israeli; 1 × 18" wreath form</t>
        </is>
      </c>
      <c r="I99" s="31" t="inlineStr">
        <is>
          <t>12 × Roses White; 12 × Chrysanthemum Daisies White; 12 × Carnation White; 5 × Baby's Breath; 10 × Ruscus Israeli; 1 × 18" wreath form</t>
        </is>
      </c>
      <c r="J99" s="30" t="inlineStr">
        <is>
          <t>10 × Ruscus Israeli; 12 × Roses White; 12 × Chrysanthemum Daisies White; 12 × Carnation White; 5 × Baby's Breath; 1 × 18" wreath form</t>
        </is>
      </c>
      <c r="K99" s="30" t="inlineStr">
        <is>
          <t>Y</t>
        </is>
      </c>
      <c r="L99" s="30" t="n"/>
      <c r="M99" s="30" t="inlineStr">
        <is>
          <t>A tribute arrangement of 12 white carnations, 12 white chrysanthemum daisies and 12 white roses, arranged on a 18-inch wreath form. A respectful, heartfelt tribute to express your condolences and share your support with those who are grieving.</t>
        </is>
      </c>
      <c r="N99" s="30">
        <f>LEN(TRIM(SUBSTITUTE(M99,CHAR(10)," ")))-LEN(SUBSTITUTE(TRIM(SUBSTITUTE(M99,CHAR(10)," "))," ",""))+1</f>
        <v/>
      </c>
      <c r="O99" s="30" t="inlineStr">
        <is>
          <t>&lt;p&gt;A tribute arrangement of 12 white carnations, 12 white chrysanthemum daisies and 12 white roses, arranged on a 18-inch wreath form. A respectful, heartfelt tribute to express your condolences and share your support with those who are grieving.&lt;/p&gt;</t>
        </is>
      </c>
      <c r="P99" s="29" t="inlineStr">
        <is>
          <t>ok</t>
        </is>
      </c>
      <c r="Q99" s="30" t="inlineStr">
        <is>
          <t>Classic Sympathy Wreath brings together 12 white carnations, 12 white chrysanthemum daisies and 12 white roses, arranged on a 18-inch wreath form. It is made to honour a life and offer comfort to the family.
White flowers carry remembrance and calm. We hand-arrange each tribute with care, from the team at Aussie Blooms.</t>
        </is>
      </c>
      <c r="R99" s="30" t="inlineStr">
        <is>
          <t>&lt;p&gt;Classic Sympathy Wreath brings together 12 white carnations, 12 white chrysanthemum daisies and 12 white roses, arranged on a 18-inch wreath form. It is made to honour a life and offer comfort to the family.&lt;/p&gt;&lt;p&gt;White flowers carry remembrance and calm. We hand-arrange each tribute with care, from the team at Aussie Blooms.&lt;/p&gt;</t>
        </is>
      </c>
      <c r="S99" s="29" t="inlineStr">
        <is>
          <t>ok</t>
        </is>
      </c>
      <c r="T99" s="30" t="inlineStr">
        <is>
          <t>Inside the bunch: 12 white carnations, 12 white chrysanthemum daisies and 12 white roses, on a 18-inch wreath form. Simple flowers for a hard day, sent to the service or the family home.</t>
        </is>
      </c>
      <c r="U99" s="30" t="inlineStr">
        <is>
          <t>&lt;p&gt;Inside the bunch: 12 white carnations, 12 white chrysanthemum daisies and 12 white roses, on a 18-inch wreath form. Simple flowers for a hard day, sent to the service or the family home.&lt;/p&gt;</t>
        </is>
      </c>
      <c r="V99" s="29" t="inlineStr">
        <is>
          <t>ok</t>
        </is>
      </c>
      <c r="W99" s="30" t="n"/>
      <c r="X99" s="30" t="inlineStr">
        <is>
          <t>n/a (Mel's: mason jar products only)</t>
        </is>
      </c>
      <c r="Y99" s="30" t="n"/>
      <c r="Z99" s="48" t="inlineStr">
        <is>
          <t>-</t>
        </is>
      </c>
      <c r="AA99" t="n">
        <v>81</v>
      </c>
      <c r="AB99" s="44" t="n">
        <v>23579.59</v>
      </c>
      <c r="AC99" t="n">
        <v>84</v>
      </c>
      <c r="AD99" s="45" t="n">
        <v>0.002701678045875097</v>
      </c>
      <c r="AE99" s="45" t="n">
        <v>0.04564170475738979</v>
      </c>
      <c r="AF99" t="n">
        <v>6</v>
      </c>
    </row>
    <row r="100" ht="109.5" customHeight="1" s="24">
      <c r="A100" s="30" t="inlineStr">
        <is>
          <t>AU112-28</t>
        </is>
      </c>
      <c r="B100" s="30" t="inlineStr">
        <is>
          <t>Radiant Care Spray</t>
        </is>
      </c>
      <c r="C100" s="30" t="inlineStr">
        <is>
          <t>Sympathy</t>
        </is>
      </c>
      <c r="D100" s="43" t="inlineStr">
        <is>
          <t>READY TO REVIEW</t>
        </is>
      </c>
      <c r="E100" s="30" t="inlineStr">
        <is>
          <t>Your care and compassion will be appreciated by all who lay eyes on this radiant standing spray. A variety of lovely vibrant blossoms contrasted by the vivid green of bells of Ireland will deliver your heartfelt condolences. Perfectly. Dazzling flowers such as roses, gladioli and carnations along with bells of Ireland and other simple greenery create a spray that is both memorable and magical. Easel not included. A thoughtful tribute crafted with care to honour cherished memories. Why Choose Bloomex Australia? Australia-Wide Delivery — metro and regional Fresh Guaranteed — shipped budding, ready to bloom Same-Day Delivery — order by 1pm Family Owned since 1998 Best Value Guarantee</t>
        </is>
      </c>
      <c r="F100" s="30" t="inlineStr">
        <is>
          <t>Joomla (7 Oct)</t>
        </is>
      </c>
      <c r="G100" s="30" t="inlineStr">
        <is>
          <t>12 × Roses Red; 20 × Carnation Red; 10 × Ruscus Israeli; 1 × Large Box; 10 × Leather Fern; 1 × Casket Saddle; 5 × Roses Spray Red</t>
        </is>
      </c>
      <c r="H100" s="30" t="inlineStr">
        <is>
          <t>12 × Roses Red; 20 × Carnation Red; 10 × Ruscus Israeli; 10 × Leather Fern; 5 × Roses Spray Red</t>
        </is>
      </c>
      <c r="I100" s="31" t="inlineStr">
        <is>
          <t>12 × Roses Red; 20 × Carnation Red; 10 × Ruscus Israeli; 10 × Leather Fern; 5 × Roses Spray Red</t>
        </is>
      </c>
      <c r="J100" s="30" t="inlineStr">
        <is>
          <t>5 × Roses Spray Red; 10 × Leather Fern; 10 × Ruscus Israeli; 20 × Carnation Red; 12 × Roses Red</t>
        </is>
      </c>
      <c r="K100" s="30" t="inlineStr">
        <is>
          <t>Y</t>
        </is>
      </c>
      <c r="L100" s="30" t="n"/>
      <c r="M100" s="30" t="inlineStr">
        <is>
          <t>A tribute arrangement of 20 red carnations, 12 red roses and 5 red spray roses. A respectful, heartfelt tribute to express your condolences and share your support with those who are grieving.</t>
        </is>
      </c>
      <c r="N100" s="30">
        <f>LEN(TRIM(SUBSTITUTE(M100,CHAR(10)," ")))-LEN(SUBSTITUTE(TRIM(SUBSTITUTE(M100,CHAR(10)," "))," ",""))+1</f>
        <v/>
      </c>
      <c r="O100" s="30" t="inlineStr">
        <is>
          <t>&lt;p&gt;A tribute arrangement of 20 red carnations, 12 red roses and 5 red spray roses. A respectful, heartfelt tribute to express your condolences and share your support with those who are grieving.&lt;/p&gt;</t>
        </is>
      </c>
      <c r="P100" s="29" t="inlineStr">
        <is>
          <t>ok</t>
        </is>
      </c>
      <c r="Q100" s="30" t="inlineStr">
        <is>
          <t>Radiant Care Spray brings together 20 red carnations, 12 red roses and 5 red spray roses. It is made to honour a life and offer comfort to the family.
Red flowers carry remembrance and calm. We hand-arrange each tribute with care, from the team at Aussie Blooms.</t>
        </is>
      </c>
      <c r="R100" s="30" t="inlineStr">
        <is>
          <t>&lt;p&gt;Radiant Care Spray brings together 20 red carnations, 12 red roses and 5 red spray roses. It is made to honour a life and offer comfort to the family.&lt;/p&gt;&lt;p&gt;Red flowers carry remembrance and calm. We hand-arrange each tribute with care, from the team at Aussie Blooms.&lt;/p&gt;</t>
        </is>
      </c>
      <c r="S100" s="29" t="inlineStr">
        <is>
          <t>ok</t>
        </is>
      </c>
      <c r="T100" s="30" t="inlineStr">
        <is>
          <t>Inside the bunch: 20 red carnations, 12 red roses and 5 red spray roses. Simple flowers for a hard day, sent to the service or the family home.</t>
        </is>
      </c>
      <c r="U100" s="30" t="inlineStr">
        <is>
          <t>&lt;p&gt;Inside the bunch: 20 red carnations, 12 red roses and 5 red spray roses. Simple flowers for a hard day, sent to the service or the family home.&lt;/p&gt;</t>
        </is>
      </c>
      <c r="V100" s="29" t="inlineStr">
        <is>
          <t>ok</t>
        </is>
      </c>
      <c r="W100" s="30" t="n"/>
      <c r="X100" s="30" t="inlineStr">
        <is>
          <t>n/a (Mel's: mason jar products only)</t>
        </is>
      </c>
      <c r="Y100" s="30" t="n"/>
      <c r="Z100" s="48" t="inlineStr">
        <is>
          <t>-</t>
        </is>
      </c>
      <c r="AA100" t="n">
        <v>209</v>
      </c>
      <c r="AB100" s="44" t="n">
        <v>2310.15</v>
      </c>
      <c r="AC100" t="n">
        <v>10</v>
      </c>
      <c r="AD100" s="45" t="n">
        <v>0.0002646899716364201</v>
      </c>
      <c r="AE100" s="45" t="n">
        <v>0.004471628866406341</v>
      </c>
      <c r="AF100" t="n">
        <v>18</v>
      </c>
    </row>
    <row r="101" ht="109.5" customHeight="1" s="24">
      <c r="A101" s="30" t="inlineStr">
        <is>
          <t>AU189-08</t>
        </is>
      </c>
      <c r="B101" s="30" t="inlineStr">
        <is>
          <t>Eternity Wreath</t>
        </is>
      </c>
      <c r="C101" s="30" t="inlineStr">
        <is>
          <t>Sympathy</t>
        </is>
      </c>
      <c r="D101" s="43" t="inlineStr">
        <is>
          <t>READY TO REVIEW</t>
        </is>
      </c>
      <c r="E101" s="30" t="inlineStr">
        <is>
          <t>Show your love and support with this beautiful wreath of colourful mixed flowers. Its bright hues will lovingly grace the service. Wreath includes chrysanthemums, carnations, and other colourful blooms, thoughtfully arranged in a funeral service wreath. A thoughtful tribute crafted with care to honour cherished memories. Why Choose Bloomex Australia? Australia-Wide Delivery — metro and regional Fresh Guaranteed — shipped budding, ready to bloom Same-Day Delivery — order by 2pm Family Owned since 1998 Best Value Guarantee</t>
        </is>
      </c>
      <c r="F101" s="30" t="inlineStr">
        <is>
          <t>Joomla (7 Oct)</t>
        </is>
      </c>
      <c r="G101" s="30" t="inlineStr">
        <is>
          <t>10 × Carnation Pink; 4 × Chrysanthemum Spray yellow; 4 × Chrysanthemum Spray purple; 15 × Ruscus Israeli; 1 × Large Wreath; 8 × Mini Carnations Red</t>
        </is>
      </c>
      <c r="H101" s="30" t="inlineStr">
        <is>
          <t>10 × Carnation Pink; 4 × Chrysanthemum Spray yellow; 4 × Chrysanthemum Spray purple; 15 × Ruscus Israeli; 1 × Wreath Form Large; 8 × Mini Carnations Red</t>
        </is>
      </c>
      <c r="I101" s="31" t="inlineStr">
        <is>
          <t>10 × Carnation Pink; 4 × Chrysanthemum Spray yellow; 4 × Chrysanthemum Spray purple; 15 × Ruscus Israeli; 1 × Wreath Form Large; 8 × Mini Carnations Red</t>
        </is>
      </c>
      <c r="J101" s="30" t="inlineStr">
        <is>
          <t>15 × Ruscus Israeli; 1 × Wreath Form Large; 8 × Mini Carnations Red; 4 × Chrysanthemum Spray yellow; 10 × Carnation Pink; 4 × Chrysanthemum Spray purple</t>
        </is>
      </c>
      <c r="K101" s="30" t="inlineStr">
        <is>
          <t>N</t>
        </is>
      </c>
      <c r="L101" s="30" t="n"/>
      <c r="M101" s="30" t="inlineStr">
        <is>
          <t>A sympathy arrangement of 10 pink carnations, 4 purple spray chrysanthemums and 4 yellow spray chrysanthemums, arranged on a wreath form. A respectful, heartfelt tribute to express your condolences and share your support with those who are grieving.</t>
        </is>
      </c>
      <c r="N101" s="30">
        <f>LEN(TRIM(SUBSTITUTE(M101,CHAR(10)," ")))-LEN(SUBSTITUTE(TRIM(SUBSTITUTE(M101,CHAR(10)," "))," ",""))+1</f>
        <v/>
      </c>
      <c r="O101" s="30" t="inlineStr">
        <is>
          <t>&lt;p&gt;A sympathy arrangement of 10 pink carnations, 4 purple spray chrysanthemums and 4 yellow spray chrysanthemums, arranged on a wreath form. A respectful, heartfelt tribute to express your condolences and share your support with those who are grieving.&lt;/p&gt;</t>
        </is>
      </c>
      <c r="P101" s="29" t="inlineStr">
        <is>
          <t>ok</t>
        </is>
      </c>
      <c r="Q101" s="30" t="inlineStr">
        <is>
          <t>Eternity Wreath brings together 10 pink carnations, 4 purple spray chrysanthemums and 4 yellow spray chrysanthemums, arranged on a wreath form. It is made to honour a life and offer comfort to the family.
Pink flowers carry remembrance and calm. We hand-arrange each tribute with care, from the team at Aussie Blooms.</t>
        </is>
      </c>
      <c r="R101" s="30" t="inlineStr">
        <is>
          <t>&lt;p&gt;Eternity Wreath brings together 10 pink carnations, 4 purple spray chrysanthemums and 4 yellow spray chrysanthemums, arranged on a wreath form. It is made to honour a life and offer comfort to the family.&lt;/p&gt;&lt;p&gt;Pink flowers carry remembrance and calm. We hand-arrange each tribute with care, from the team at Aussie Blooms.&lt;/p&gt;</t>
        </is>
      </c>
      <c r="S101" s="29" t="inlineStr">
        <is>
          <t>ok</t>
        </is>
      </c>
      <c r="T101" s="30" t="inlineStr">
        <is>
          <t>The bunch holds: 10 pink carnations, 4 purple spray chrysanthemums and 4 yellow spray chrysanthemums, on a wreath form. Quiet and respectful, a way to say you are there for the family.</t>
        </is>
      </c>
      <c r="U101" s="30" t="inlineStr">
        <is>
          <t>&lt;p&gt;The bunch holds: 10 pink carnations, 4 purple spray chrysanthemums and 4 yellow spray chrysanthemums, on a wreath form. Quiet and respectful, a way to say you are there for the family.&lt;/p&gt;</t>
        </is>
      </c>
      <c r="V101" s="29" t="inlineStr">
        <is>
          <t>ok</t>
        </is>
      </c>
      <c r="W101" s="30" t="n"/>
      <c r="X101" s="30" t="inlineStr">
        <is>
          <t>n/a (Mel's: mason jar products only)</t>
        </is>
      </c>
      <c r="Y101" s="30" t="n"/>
      <c r="Z101" s="48" t="inlineStr">
        <is>
          <t>-</t>
        </is>
      </c>
      <c r="AA101" t="inlineStr">
        <is>
          <t>no sales</t>
        </is>
      </c>
      <c r="AB101" s="44" t="n">
        <v>0</v>
      </c>
      <c r="AC101" t="n">
        <v>0</v>
      </c>
      <c r="AD101" s="45" t="n">
        <v>0</v>
      </c>
      <c r="AE101" s="45" t="n">
        <v>0</v>
      </c>
      <c r="AF101" t="inlineStr">
        <is>
          <t>no sales</t>
        </is>
      </c>
    </row>
    <row r="102" ht="109.5" customHeight="1" s="24">
      <c r="A102" s="30" t="inlineStr">
        <is>
          <t>AU189-07</t>
        </is>
      </c>
      <c r="B102" s="30" t="inlineStr">
        <is>
          <t>Red &amp; White Wreath</t>
        </is>
      </c>
      <c r="C102" s="30" t="inlineStr">
        <is>
          <t>Sympathy</t>
        </is>
      </c>
      <c r="D102" s="43" t="inlineStr">
        <is>
          <t>READY TO REVIEW</t>
        </is>
      </c>
      <c r="E102" s="30" t="inlineStr">
        <is>
          <t>This vivid red and white wreath honours a loved one by sharing a timeless message of hope. Included in this wreath are an array of carnations with lovely greens and fillers to create a full look appropriate to your message of condolence. A thoughtful tribute crafted with care to honour cherished memories. Why Choose Bloomex Australia? Australia-Wide Delivery — metro and regional Fresh Guaranteed — shipped budding, ready to bloom Same-Day Delivery — order by 1pm Family Owned since 1998 Best Value Guarantee</t>
        </is>
      </c>
      <c r="F102" s="30" t="inlineStr">
        <is>
          <t>Joomla (7 Oct)</t>
        </is>
      </c>
      <c r="G102" s="30" t="inlineStr">
        <is>
          <t>12 × Carnation White; 13 × Carnation Red; 5 × Baby's Breath; 5 × Ruscus Israeli; 5 × Mini Carnations Red; 5 × Leather Fern; 1 × Large Box; 1 × 18" wreath form</t>
        </is>
      </c>
      <c r="H102" s="30" t="inlineStr">
        <is>
          <t>12 × Carnation White; 13 × Carnation Red; 5 × Baby's Breath; 5 × Ruscus Israeli; 5 × Mini Carnations Red; 5 × Leather Fern; 1 × 18" wreath form</t>
        </is>
      </c>
      <c r="I102" s="31" t="inlineStr">
        <is>
          <t>12 × Carnation White; 13 × Carnation Red; 5 × Baby's Breath; 5 × Ruscus Israeli; 5 × Mini Carnations Red; 5 × Leather Fern; 1 × 18" wreath form</t>
        </is>
      </c>
      <c r="J102" s="30" t="inlineStr">
        <is>
          <t>12 × Carnation White; 1 × 18" wreath form; 5 × Leather Fern; 5 × Baby's Breath; 5 × Mini Carnations Red; 5 × Ruscus Israeli; 13 × Carnation Red</t>
        </is>
      </c>
      <c r="K102" s="30" t="inlineStr">
        <is>
          <t>Y</t>
        </is>
      </c>
      <c r="L102" s="30" t="n"/>
      <c r="M102" s="30" t="inlineStr">
        <is>
          <t>A sympathy arrangement of 13 red carnations and 12 white carnations, arranged on a 18-inch wreath form. A respectful, heartfelt tribute to express your condolences and share your support with those who are grieving.</t>
        </is>
      </c>
      <c r="N102" s="30">
        <f>LEN(TRIM(SUBSTITUTE(M102,CHAR(10)," ")))-LEN(SUBSTITUTE(TRIM(SUBSTITUTE(M102,CHAR(10)," "))," ",""))+1</f>
        <v/>
      </c>
      <c r="O102" s="30" t="inlineStr">
        <is>
          <t>&lt;p&gt;A sympathy arrangement of 13 red carnations and 12 white carnations, arranged on a 18-inch wreath form. A respectful, heartfelt tribute to express your condolences and share your support with those who are grieving.&lt;/p&gt;</t>
        </is>
      </c>
      <c r="P102" s="29" t="inlineStr">
        <is>
          <t>ok</t>
        </is>
      </c>
      <c r="Q102" s="30" t="inlineStr">
        <is>
          <t>Red &amp; White Wreath brings together 13 red carnations and 12 white carnations, arranged on a 18-inch wreath form. It is made to honour a life and offer comfort to the family.
Red flowers carry remembrance and calm. We hand-arrange each tribute with care, from the team at Aussie Blooms.</t>
        </is>
      </c>
      <c r="R102" s="30" t="inlineStr">
        <is>
          <t>&lt;p&gt;Red &amp;amp; White Wreath brings together 13 red carnations and 12 white carnations, arranged on a 18-inch wreath form. It is made to honour a life and offer comfort to the family.&lt;/p&gt;&lt;p&gt;Red flowers carry remembrance and calm. We hand-arrange each tribute with care, from the team at Aussie Blooms.&lt;/p&gt;</t>
        </is>
      </c>
      <c r="S102" s="29" t="inlineStr">
        <is>
          <t>ok</t>
        </is>
      </c>
      <c r="T102" s="30" t="inlineStr">
        <is>
          <t>Inside the bunch: 13 red carnations and 12 white carnations, on a 18-inch wreath form. Simple flowers for a hard day, sent to the service or the family home.</t>
        </is>
      </c>
      <c r="U102" s="30" t="inlineStr">
        <is>
          <t>&lt;p&gt;Inside the bunch: 13 red carnations and 12 white carnations, on a 18-inch wreath form. Simple flowers for a hard day, sent to the service or the family home.&lt;/p&gt;</t>
        </is>
      </c>
      <c r="V102" s="29" t="inlineStr">
        <is>
          <t>ok</t>
        </is>
      </c>
      <c r="W102" s="30" t="n"/>
      <c r="X102" s="30" t="inlineStr">
        <is>
          <t>n/a (Mel's: mason jar products only)</t>
        </is>
      </c>
      <c r="Y102" s="30" t="n"/>
      <c r="Z102" s="48" t="inlineStr">
        <is>
          <t>-</t>
        </is>
      </c>
      <c r="AA102" t="n">
        <v>170</v>
      </c>
      <c r="AB102" s="44" t="n">
        <v>4186.48</v>
      </c>
      <c r="AC102" t="n">
        <v>17</v>
      </c>
      <c r="AD102" s="45" t="n">
        <v>0.0004796741650786484</v>
      </c>
      <c r="AE102" s="45" t="n">
        <v>0.008103536487515018</v>
      </c>
      <c r="AF102" t="n">
        <v>14</v>
      </c>
    </row>
    <row r="103" ht="109.5" customHeight="1" s="24">
      <c r="A103" s="30" t="inlineStr">
        <is>
          <t>AU189-09</t>
        </is>
      </c>
      <c r="B103" s="30" t="inlineStr">
        <is>
          <t>Red Memories</t>
        </is>
      </c>
      <c r="C103" s="30" t="inlineStr">
        <is>
          <t>Sympathy</t>
        </is>
      </c>
      <c r="D103" s="43" t="inlineStr">
        <is>
          <t>READY TO REVIEW</t>
        </is>
      </c>
      <c r="E103" s="30" t="inlineStr">
        <is>
          <t>Send your love with a beautiful funeral wreath featuring Red Roses and Gerberas on a bed of lush greenery. Our memorial flower wreaths are made with high quality fabric and are designed for outdoor use. A thoughtful tribute crafted with care to honour cherished memories. Why Choose Bloomex Australia? Australia-Wide Delivery — metro and regional Fresh Guaranteed — shipped budding, ready to bloom Same-Day Delivery — order by 2pm Family Owned since 1998 Best Value Guarantee</t>
        </is>
      </c>
      <c r="F103" s="30" t="inlineStr">
        <is>
          <t>Joomla (7 Oct)</t>
        </is>
      </c>
      <c r="G103" s="30" t="inlineStr">
        <is>
          <t>5 × Gerbera Daisies Red; 5 × Carnation Red; 3 × Ruscus Israeli; 4 × Alstroemeria Red</t>
        </is>
      </c>
      <c r="H103" s="30" t="inlineStr">
        <is>
          <t>5 × Gerbera Daisies Red; 5 × Carnation Red; 3 × Ruscus Israeli; 4 × Alstroemeria Red</t>
        </is>
      </c>
      <c r="I103" s="30" t="inlineStr">
        <is>
          <t>5 × Gerbera Daisies Red; 5 × Carnation Red; 3 × Ruscus Israeli; 4 × Alstroemeria Red</t>
        </is>
      </c>
      <c r="J103" s="30" t="inlineStr">
        <is>
          <t>3 × Ruscus Israeli; 4 × Alstroemeria Red; 5 × Carnation Red; 5 × Gerbera Daisies Red</t>
        </is>
      </c>
      <c r="K103" s="30" t="inlineStr">
        <is>
          <t>N</t>
        </is>
      </c>
      <c r="L103" s="30" t="n"/>
      <c r="M103" s="30" t="inlineStr">
        <is>
          <t>A tribute arrangement of 5 red carnations, 5 red gerberas and 4 red alstroemeria. A respectful, heartfelt tribute to express your condolences and share your support with those who are grieving.</t>
        </is>
      </c>
      <c r="N103" s="30">
        <f>LEN(TRIM(SUBSTITUTE(M103,CHAR(10)," ")))-LEN(SUBSTITUTE(TRIM(SUBSTITUTE(M103,CHAR(10)," "))," ",""))+1</f>
        <v/>
      </c>
      <c r="O103" s="30" t="inlineStr">
        <is>
          <t>&lt;p&gt;A tribute arrangement of 5 red carnations, 5 red gerberas and 4 red alstroemeria. A respectful, heartfelt tribute to express your condolences and share your support with those who are grieving.&lt;/p&gt;</t>
        </is>
      </c>
      <c r="P103" s="29" t="inlineStr">
        <is>
          <t>ok</t>
        </is>
      </c>
      <c r="Q103" s="30" t="inlineStr">
        <is>
          <t>Red Memories brings together 5 red carnations, 5 red gerberas and 4 red alstroemeria. It is made to honour a life and offer comfort to the family.
Red flowers carry remembrance and calm. We hand-arrange each tribute with care, from the team at Aussie Blooms.</t>
        </is>
      </c>
      <c r="R103" s="30" t="inlineStr">
        <is>
          <t>&lt;p&gt;Red Memories brings together 5 red carnations, 5 red gerberas and 4 red alstroemeria. It is made to honour a life and offer comfort to the family.&lt;/p&gt;&lt;p&gt;Red flowers carry remembrance and calm. We hand-arrange each tribute with care, from the team at Aussie Blooms.&lt;/p&gt;</t>
        </is>
      </c>
      <c r="S103" s="29" t="inlineStr">
        <is>
          <t>ok</t>
        </is>
      </c>
      <c r="T103" s="30" t="inlineStr">
        <is>
          <t>Inside the bunch: 5 red carnations, 5 red gerberas and 4 red alstroemeria. Simple flowers for a hard day, sent to the service or the family home.</t>
        </is>
      </c>
      <c r="U103" s="30" t="inlineStr">
        <is>
          <t>&lt;p&gt;Inside the bunch: 5 red carnations, 5 red gerberas and 4 red alstroemeria. Simple flowers for a hard day, sent to the service or the family home.&lt;/p&gt;</t>
        </is>
      </c>
      <c r="V103" s="29" t="inlineStr">
        <is>
          <t>ok</t>
        </is>
      </c>
      <c r="W103" s="30" t="n"/>
      <c r="X103" s="30" t="inlineStr">
        <is>
          <t>n/a (Mel's: mason jar products only)</t>
        </is>
      </c>
      <c r="Y103" s="30" t="n"/>
      <c r="Z103" s="48" t="inlineStr">
        <is>
          <t>-</t>
        </is>
      </c>
      <c r="AA103" t="inlineStr">
        <is>
          <t>no sales</t>
        </is>
      </c>
      <c r="AB103" s="44" t="n">
        <v>0</v>
      </c>
      <c r="AC103" t="n">
        <v>0</v>
      </c>
      <c r="AD103" s="45" t="n">
        <v>0</v>
      </c>
      <c r="AE103" s="45" t="n">
        <v>0</v>
      </c>
      <c r="AF103" t="inlineStr">
        <is>
          <t>no sales</t>
        </is>
      </c>
    </row>
    <row r="104" ht="109.5" customHeight="1" s="24">
      <c r="A104" s="30" t="inlineStr">
        <is>
          <t>AU199-09</t>
        </is>
      </c>
      <c r="B104" s="30" t="inlineStr">
        <is>
          <t>Purest Heart</t>
        </is>
      </c>
      <c r="C104" s="30" t="inlineStr">
        <is>
          <t>Sympathy</t>
        </is>
      </c>
      <c r="D104" s="43" t="inlineStr">
        <is>
          <t>READY TO REVIEW</t>
        </is>
      </c>
      <c r="E104" s="30" t="inlineStr">
        <is>
          <t>Express heartfelt thoughts of sympathy in a special way with this open heart standing wreath made with carnations, cushion daisies, roses and asters, accented with tasteful filler blooms. A thoughtful tribute crafted with care to honour cherished memories. Why Choose Bloomex Australia? Australia-Wide Delivery — metro and regional Fresh Guaranteed — shipped budding, ready to bloom Same-Day Delivery — order by 2pm Family Owned since 1998 Best Value Guarantee</t>
        </is>
      </c>
      <c r="F104" s="30" t="inlineStr">
        <is>
          <t>Joomla (7 Oct)</t>
        </is>
      </c>
      <c r="G104" s="30" t="inlineStr">
        <is>
          <t>5 × Roses Spray White; 9 × Roses White; 4 × Chrysanthemum Daisies White; 9 × Carnation White; 5 × Gerbera Daisies White; 5 × Ruscus Israeli; 1 × 18" Open Heart Oasis</t>
        </is>
      </c>
      <c r="H104" s="30" t="inlineStr">
        <is>
          <t>5 × Roses Spray White; 9 × Roses White; 4 × Chrysanthemum Daisies White; 9 × Carnation White; 1 × Gerbera Daisies White; 5 × Ruscus Israeli; 1 × 18" Open Heart Oasis</t>
        </is>
      </c>
      <c r="I104" s="31" t="inlineStr">
        <is>
          <t>5 × Roses Spray White; 9 × Roses White; 4 × Chrysanthemum Daisies White; 9 × Carnation White; 1 × Gerbera Daisies White; 5 × Ruscus Israeli; 1 × 18" Open Heart Oasis</t>
        </is>
      </c>
      <c r="J104" s="30" t="inlineStr">
        <is>
          <t>5 × Ruscus Israeli; 1 × Gerbera Daisies White; 1 × 18" Open Heart Oasis; 9 × Carnation White; 4 × Chrysanthemum Daisies White; 9 × Roses White; 5 × Roses Spray White</t>
        </is>
      </c>
      <c r="K104" s="30" t="inlineStr">
        <is>
          <t>N</t>
        </is>
      </c>
      <c r="L104" s="30" t="n"/>
      <c r="M104" s="30" t="inlineStr">
        <is>
          <t>A tribute arrangement of 9 white carnations, 9 white roses, 5 white spray roses, 4 white chrysanthemum daisies and 1 white gerbera, arranged on a 18-inch open heart form. A respectful, heartfelt tribute to express your condolences and share your support with those who are grieving.</t>
        </is>
      </c>
      <c r="N104" s="30">
        <f>LEN(TRIM(SUBSTITUTE(M104,CHAR(10)," ")))-LEN(SUBSTITUTE(TRIM(SUBSTITUTE(M104,CHAR(10)," "))," ",""))+1</f>
        <v/>
      </c>
      <c r="O104" s="30" t="inlineStr">
        <is>
          <t>&lt;p&gt;A tribute arrangement of 9 white carnations, 9 white roses, 5 white spray roses, 4 white chrysanthemum daisies and 1 white gerbera, arranged on a 18-inch open heart form. A respectful, heartfelt tribute to express your condolences and share your support with those who are grieving.&lt;/p&gt;</t>
        </is>
      </c>
      <c r="P104" s="29" t="inlineStr">
        <is>
          <t>ok</t>
        </is>
      </c>
      <c r="Q104" s="30" t="inlineStr">
        <is>
          <t>Purest Heart brings together 9 white carnations, 9 white roses, 5 white spray roses, 4 white chrysanthemum daisies and 1 white gerbera, arranged on a 18-inch open heart form. It is made to honour a life and offer comfort to the family.
White flowers carry remembrance and calm. We hand-arrange each tribute with care, from the team at Aussie Blooms.</t>
        </is>
      </c>
      <c r="R104" s="30" t="inlineStr">
        <is>
          <t>&lt;p&gt;Purest Heart brings together 9 white carnations, 9 white roses, 5 white spray roses, 4 white chrysanthemum daisies and 1 white gerbera, arranged on a 18-inch open heart form. It is made to honour a life and offer comfort to the family.&lt;/p&gt;&lt;p&gt;White flowers carry remembrance and calm. We hand-arrange each tribute with care, from the team at Aussie Blooms.&lt;/p&gt;</t>
        </is>
      </c>
      <c r="S104" s="29" t="inlineStr">
        <is>
          <t>ok</t>
        </is>
      </c>
      <c r="T104" s="30" t="inlineStr">
        <is>
          <t>The bunch holds: 9 white carnations, 9 white roses, 5 white spray roses, 4 white chrysanthemum daisies and 1 white gerbera, on a 18-inch open heart form. Quiet and respectful, a way to say you are there for the family.</t>
        </is>
      </c>
      <c r="U104" s="30" t="inlineStr">
        <is>
          <t>&lt;p&gt;The bunch holds: 9 white carnations, 9 white roses, 5 white spray roses, 4 white chrysanthemum daisies and 1 white gerbera, on a 18-inch open heart form. Quiet and respectful, a way to say you are there for the family.&lt;/p&gt;</t>
        </is>
      </c>
      <c r="V104" s="29" t="inlineStr">
        <is>
          <t>ok</t>
        </is>
      </c>
      <c r="W104" s="30" t="n"/>
      <c r="X104" s="30" t="inlineStr">
        <is>
          <t>n/a (Mel's: mason jar products only)</t>
        </is>
      </c>
      <c r="Y104" s="30" t="n"/>
      <c r="Z104" s="48" t="inlineStr">
        <is>
          <t>-</t>
        </is>
      </c>
      <c r="AA104" t="inlineStr">
        <is>
          <t>no sales</t>
        </is>
      </c>
      <c r="AB104" s="44" t="n">
        <v>0</v>
      </c>
      <c r="AC104" t="n">
        <v>0</v>
      </c>
      <c r="AD104" s="45" t="n">
        <v>0</v>
      </c>
      <c r="AE104" s="45" t="n">
        <v>0</v>
      </c>
      <c r="AF104" t="inlineStr">
        <is>
          <t>no sales</t>
        </is>
      </c>
    </row>
    <row r="105" ht="109.5" customHeight="1" s="24">
      <c r="A105" s="30" t="inlineStr">
        <is>
          <t>AU199-01</t>
        </is>
      </c>
      <c r="B105" s="30" t="inlineStr">
        <is>
          <t>Standing Heart</t>
        </is>
      </c>
      <c r="C105" s="30" t="inlineStr">
        <is>
          <t>Sympathy</t>
        </is>
      </c>
      <c r="D105" s="43" t="inlineStr">
        <is>
          <t>READY TO REVIEW</t>
        </is>
      </c>
      <c r="E105" s="30" t="inlineStr">
        <is>
          <t>This gorgeous standing wreath is full of colour. Beautiful, lush flowers designed in a heart shape. Flowers include: carnations, roses , lilies and greeneries. This makes the ideal addition to any funeral or memorial service to celebrate the life of a loved one. A thoughtful tribute crafted with care to honour cherished memories. Why Choose Bloomex Australia? Australia-Wide Delivery — metro and regional Fresh Guaranteed — shipped budding, ready to bloom Same-Day Delivery — order by 2pm Family Owned since 1998 Best Value Guarantee</t>
        </is>
      </c>
      <c r="F105" s="30" t="inlineStr">
        <is>
          <t>Joomla (7 Oct)</t>
        </is>
      </c>
      <c r="G105" s="30" t="inlineStr">
        <is>
          <t>10 × Carnation Pink; 7 × Chrysanthemum Daisies Yellow; 7 × Chrysanthemum Daisies Purple; 10 × Ruscus Israeli; 1 × 18" Open Heart Oasis</t>
        </is>
      </c>
      <c r="H105" s="30" t="inlineStr">
        <is>
          <t>10 × Carnation Pink; 7 × Chrysanthemum Daisies Yellow; 7 × Chrysanthemum Daisies Purple; 10 × Ruscus Israeli; 1 × 18" Open Heart Oasis</t>
        </is>
      </c>
      <c r="I105" s="30" t="inlineStr">
        <is>
          <t>10 × Carnation Pink; 7 × Chrysanthemum Daisies Yellow; 7 × Chrysanthemum Daisies Purple; 10 × Ruscus Israeli; 1 × 18" Open Heart Oasis</t>
        </is>
      </c>
      <c r="J105" s="30" t="inlineStr">
        <is>
          <t>10 × Carnation Pink; 7 × Chrysanthemum Daisies Yellow; 7 × Chrysanthemum Daisies Purple; 10 × Ruscus Israeli; 1 × 18" Open Heart Oasis</t>
        </is>
      </c>
      <c r="K105" s="30" t="inlineStr">
        <is>
          <t>N</t>
        </is>
      </c>
      <c r="L105" s="30" t="n"/>
      <c r="M105" s="30" t="inlineStr">
        <is>
          <t>A sympathy arrangement of 10 pink carnations, 7 purple chrysanthemum daisies and 7 yellow chrysanthemum daisies, arranged on a 18-inch open heart form. A respectful, heartfelt tribute to express your condolences and share your support with those who are grieving.</t>
        </is>
      </c>
      <c r="N105" s="30">
        <f>LEN(TRIM(SUBSTITUTE(M105,CHAR(10)," ")))-LEN(SUBSTITUTE(TRIM(SUBSTITUTE(M105,CHAR(10)," "))," ",""))+1</f>
        <v/>
      </c>
      <c r="O105" s="30" t="inlineStr">
        <is>
          <t>&lt;p&gt;A sympathy arrangement of 10 pink carnations, 7 purple chrysanthemum daisies and 7 yellow chrysanthemum daisies, arranged on a 18-inch open heart form. A respectful, heartfelt tribute to express your condolences and share your support with those who are grieving.&lt;/p&gt;</t>
        </is>
      </c>
      <c r="P105" s="29" t="inlineStr">
        <is>
          <t>ok</t>
        </is>
      </c>
      <c r="Q105" s="30" t="inlineStr">
        <is>
          <t>Standing Heart brings together 10 pink carnations, 7 purple chrysanthemum daisies and 7 yellow chrysanthemum daisies, arranged on a 18-inch open heart form. It is made to honour a life and offer comfort to the family.
Pink flowers carry remembrance and calm. We hand-arrange each tribute with care, from the team at Aussie Blooms.</t>
        </is>
      </c>
      <c r="R105" s="30" t="inlineStr">
        <is>
          <t>&lt;p&gt;Standing Heart brings together 10 pink carnations, 7 purple chrysanthemum daisies and 7 yellow chrysanthemum daisies, arranged on a 18-inch open heart form. It is made to honour a life and offer comfort to the family.&lt;/p&gt;&lt;p&gt;Pink flowers carry remembrance and calm. We hand-arrange each tribute with care, from the team at Aussie Blooms.&lt;/p&gt;</t>
        </is>
      </c>
      <c r="S105" s="29" t="inlineStr">
        <is>
          <t>ok</t>
        </is>
      </c>
      <c r="T105" s="30" t="inlineStr">
        <is>
          <t>Inside the bunch: 10 pink carnations, 7 purple chrysanthemum daisies and 7 yellow chrysanthemum daisies, on a 18-inch open heart form. Simple flowers for a hard day, sent to the service or the family home.</t>
        </is>
      </c>
      <c r="U105" s="30" t="inlineStr">
        <is>
          <t>&lt;p&gt;Inside the bunch: 10 pink carnations, 7 purple chrysanthemum daisies and 7 yellow chrysanthemum daisies, on a 18-inch open heart form. Simple flowers for a hard day, sent to the service or the family home.&lt;/p&gt;</t>
        </is>
      </c>
      <c r="V105" s="29" t="inlineStr">
        <is>
          <t>ok</t>
        </is>
      </c>
      <c r="W105" s="30" t="n"/>
      <c r="X105" s="30" t="inlineStr">
        <is>
          <t>n/a (Mel's: mason jar products only)</t>
        </is>
      </c>
      <c r="Y105" s="30" t="n"/>
      <c r="Z105" s="48" t="inlineStr">
        <is>
          <t>-</t>
        </is>
      </c>
      <c r="AA105" t="inlineStr">
        <is>
          <t>no sales</t>
        </is>
      </c>
      <c r="AB105" s="44" t="n">
        <v>0</v>
      </c>
      <c r="AC105" t="n">
        <v>0</v>
      </c>
      <c r="AD105" s="45" t="n">
        <v>0</v>
      </c>
      <c r="AE105" s="45" t="n">
        <v>0</v>
      </c>
      <c r="AF105" t="inlineStr">
        <is>
          <t>no sales</t>
        </is>
      </c>
    </row>
    <row r="106" ht="109.5" customHeight="1" s="24">
      <c r="A106" s="30" t="inlineStr">
        <is>
          <t>AU199-07</t>
        </is>
      </c>
      <c r="B106" s="30" t="inlineStr">
        <is>
          <t>Green &amp; White Heart</t>
        </is>
      </c>
      <c r="C106" s="30" t="inlineStr">
        <is>
          <t>Sympathy</t>
        </is>
      </c>
      <c r="D106" s="46" t="inlineStr">
        <is>
          <t>READY - NOTIFY JARROD</t>
        </is>
      </c>
      <c r="E106" s="30" t="inlineStr">
        <is>
          <t>This lovely open heart design was chosen by our professional floral staff as the perfect addition to a wake, funeral or memorial service. The design includes a thoughtful mix of lovely flowers such as spray roses, carnations and chrysanthemums in soft hues; on a bed of greenery. A thoughtful tribute crafted with care to honour cherished memories. Why Choose Bloomex Australia? Australia-Wide Delivery — metro and regional Fresh Guaranteed — shipped budding, ready to bloom Same-Day Delivery — order by 2pm Family Owned since 1998 Best Value Guarantee</t>
        </is>
      </c>
      <c r="F106" s="30" t="inlineStr">
        <is>
          <t>Joomla (7 Oct)</t>
        </is>
      </c>
      <c r="G106" s="30" t="inlineStr">
        <is>
          <t>4 × Roses Spray White; 7 × Chrysanthemum Daisies White; 4 × Chrysanthemum Spray White; 5 × Carnation White; 10 × Ruscus Israeli 1 x 18" Open Heart Oasis</t>
        </is>
      </c>
      <c r="H106" s="30" t="inlineStr">
        <is>
          <t>4 × Roses Spray White; 7 × Chrysanthemum Daisies White; 4 × Chrysanthemum Spray White; 5 × Carnation White; 10 × Ruscus Israeli; 1 × 18" Open Heart Oasis</t>
        </is>
      </c>
      <c r="I106" s="31" t="inlineStr">
        <is>
          <t>4 × Roses Spray White; 7 × Chrysanthemum Daisies White; 4 × Chrysanthemum Spray White; 5 × Carnation White; 10 × Ruscus Israeli; 1 × 18" Open Heart Oasis</t>
        </is>
      </c>
      <c r="J106" s="30" t="inlineStr">
        <is>
          <t>4 × Roses Spray White; 1 × 18" Open Heart Oasis; 10 × Ruscus Israeli; 7 × Chrysanthemum Daisies White; 5 × Carnation White; 4 × Chrysanthemum Spray White</t>
        </is>
      </c>
      <c r="K106" s="30" t="inlineStr">
        <is>
          <t>N</t>
        </is>
      </c>
      <c r="L106" s="30" t="inlineStr">
        <is>
          <t>C3 title colour not in recipe: Title says "green"; no green flower in the Standard recipe. Suggest adding the colour or changing the title</t>
        </is>
      </c>
      <c r="M106" s="30" t="inlineStr">
        <is>
          <t>A tribute arrangement of 7 white chrysanthemum daisies, 5 white carnations, 4 white spray chrysanthemums and 4 white spray roses, arranged on a 18-inch open heart form. A respectful, heartfelt tribute to express your condolences and share your support with those who are grieving.</t>
        </is>
      </c>
      <c r="N106" s="30">
        <f>LEN(TRIM(SUBSTITUTE(M106,CHAR(10)," ")))-LEN(SUBSTITUTE(TRIM(SUBSTITUTE(M106,CHAR(10)," "))," ",""))+1</f>
        <v/>
      </c>
      <c r="O106" s="30" t="inlineStr">
        <is>
          <t>&lt;p&gt;A tribute arrangement of 7 white chrysanthemum daisies, 5 white carnations, 4 white spray chrysanthemums and 4 white spray roses, arranged on a 18-inch open heart form. A respectful, heartfelt tribute to express your condolences and share your support with those who are grieving.&lt;/p&gt;</t>
        </is>
      </c>
      <c r="P106" s="29" t="inlineStr">
        <is>
          <t>ok</t>
        </is>
      </c>
      <c r="Q106" s="30" t="inlineStr">
        <is>
          <t>Green &amp; White Heart brings together 7 white chrysanthemum daisies, 5 white carnations, 4 white spray chrysanthemums and 4 white spray roses, arranged on a 18-inch open heart form. It is made to honour a life and offer comfort to the family.
White flowers carry remembrance and calm. We hand-arrange each tribute with care, from the team at Aussie Blooms.</t>
        </is>
      </c>
      <c r="R106" s="30" t="inlineStr">
        <is>
          <t>&lt;p&gt;Green &amp;amp; White Heart brings together 7 white chrysanthemum daisies, 5 white carnations, 4 white spray chrysanthemums and 4 white spray roses, arranged on a 18-inch open heart form. It is made to honour a life and offer comfort to the family.&lt;/p&gt;&lt;p&gt;White flowers carry remembrance and calm. We hand-arrange each tribute with care, from the team at Aussie Blooms.&lt;/p&gt;</t>
        </is>
      </c>
      <c r="S106" s="29" t="inlineStr">
        <is>
          <t>ok</t>
        </is>
      </c>
      <c r="T106" s="30" t="inlineStr">
        <is>
          <t>The bunch holds: 7 white chrysanthemum daisies, 5 white carnations, 4 white spray chrysanthemums and 4 white spray roses, on a 18-inch open heart form. Quiet and respectful, a way to say you are there for the family.</t>
        </is>
      </c>
      <c r="U106" s="30" t="inlineStr">
        <is>
          <t>&lt;p&gt;The bunch holds: 7 white chrysanthemum daisies, 5 white carnations, 4 white spray chrysanthemums and 4 white spray roses, on a 18-inch open heart form. Quiet and respectful, a way to say you are there for the family.&lt;/p&gt;</t>
        </is>
      </c>
      <c r="V106" s="29" t="inlineStr">
        <is>
          <t>ok</t>
        </is>
      </c>
      <c r="W106" s="30" t="n"/>
      <c r="X106" s="30" t="inlineStr">
        <is>
          <t>n/a (Mel's: mason jar products only)</t>
        </is>
      </c>
      <c r="Y106" s="30" t="n"/>
      <c r="Z106" s="48" t="inlineStr">
        <is>
          <t>-</t>
        </is>
      </c>
      <c r="AA106" t="inlineStr">
        <is>
          <t>no sales</t>
        </is>
      </c>
      <c r="AB106" s="44" t="n">
        <v>0</v>
      </c>
      <c r="AC106" t="n">
        <v>0</v>
      </c>
      <c r="AD106" s="45" t="n">
        <v>0</v>
      </c>
      <c r="AE106" s="45" t="n">
        <v>0</v>
      </c>
      <c r="AF106" t="inlineStr">
        <is>
          <t>no sales</t>
        </is>
      </c>
    </row>
    <row r="107" ht="109.5" customHeight="1" s="24">
      <c r="A107" s="30" t="inlineStr">
        <is>
          <t>AU199-02</t>
        </is>
      </c>
      <c r="B107" s="30" t="inlineStr">
        <is>
          <t>White Daisy Heart</t>
        </is>
      </c>
      <c r="C107" s="30" t="inlineStr">
        <is>
          <t>Sympathy</t>
        </is>
      </c>
      <c r="D107" s="43" t="inlineStr">
        <is>
          <t>READY TO REVIEW</t>
        </is>
      </c>
      <c r="E107" s="30" t="inlineStr">
        <is>
          <t>Send your love with a beautiful funeral heart featuring white roses and daisies on a bed of greenery. Our memorial flower hearts are made with high quality fabric and are designed for outdoor use. A thoughtful tribute crafted with care to honour cherished memories. Why Choose Bloomex Australia? Australia-Wide Delivery — metro and regional Fresh Guaranteed — shipped budding, ready to bloom Same-Day Delivery — order by 2pm Family Owned since 1998 Best Value Guarantee</t>
        </is>
      </c>
      <c r="F107" s="30" t="inlineStr">
        <is>
          <t>Joomla (7 Oct)</t>
        </is>
      </c>
      <c r="G107" s="30" t="inlineStr">
        <is>
          <t>10 × Roses White; 18 × Gerbera Daisies White; 10 × Ruscus Israeli; 5 × Alstroemeria White; 1 × 18" Open Heart Oasis</t>
        </is>
      </c>
      <c r="H107" s="30" t="inlineStr">
        <is>
          <t>10 × Roses White; 18 × Gerbera Daisies White; 10 × Ruscus Israeli; 5 × Alstroemeria White; 1 × 18" Open Heart Oasis</t>
        </is>
      </c>
      <c r="I107" s="30" t="inlineStr">
        <is>
          <t>10 × Roses White; 18 × Gerbera Daisies White; 10 × Ruscus Israeli; 5 × Alstroemeria White; 1 × 18" Open Heart Oasis</t>
        </is>
      </c>
      <c r="J107" s="30" t="inlineStr">
        <is>
          <t>1 × 18" Open Heart Oasis; 10 × Ruscus Israeli; 10 × Roses White; 5 × Alstroemeria White; 18 × Gerbera Daisies White</t>
        </is>
      </c>
      <c r="K107" s="30" t="inlineStr">
        <is>
          <t>N</t>
        </is>
      </c>
      <c r="L107" s="30" t="n"/>
      <c r="M107" s="30" t="inlineStr">
        <is>
          <t>A tribute arrangement of 18 white gerberas, 10 white roses and 5 white alstroemeria, arranged on a 18-inch open heart form. A respectful, heartfelt tribute to express your condolences and share your support with those who are grieving.</t>
        </is>
      </c>
      <c r="N107" s="30">
        <f>LEN(TRIM(SUBSTITUTE(M107,CHAR(10)," ")))-LEN(SUBSTITUTE(TRIM(SUBSTITUTE(M107,CHAR(10)," "))," ",""))+1</f>
        <v/>
      </c>
      <c r="O107" s="30" t="inlineStr">
        <is>
          <t>&lt;p&gt;A tribute arrangement of 18 white gerberas, 10 white roses and 5 white alstroemeria, arranged on a 18-inch open heart form. A respectful, heartfelt tribute to express your condolences and share your support with those who are grieving.&lt;/p&gt;</t>
        </is>
      </c>
      <c r="P107" s="29" t="inlineStr">
        <is>
          <t>ok</t>
        </is>
      </c>
      <c r="Q107" s="30" t="inlineStr">
        <is>
          <t>White Daisy Heart brings together 18 white gerberas, 10 white roses and 5 white alstroemeria, arranged on a 18-inch open heart form. It is made to honour a life and offer comfort to the family.
White flowers carry remembrance and calm. We hand-arrange each tribute with care, from the team at Aussie Blooms.</t>
        </is>
      </c>
      <c r="R107" s="30" t="inlineStr">
        <is>
          <t>&lt;p&gt;White Daisy Heart brings together 18 white gerberas, 10 white roses and 5 white alstroemeria, arranged on a 18-inch open heart form. It is made to honour a life and offer comfort to the family.&lt;/p&gt;&lt;p&gt;White flowers carry remembrance and calm. We hand-arrange each tribute with care, from the team at Aussie Blooms.&lt;/p&gt;</t>
        </is>
      </c>
      <c r="S107" s="29" t="inlineStr">
        <is>
          <t>ok</t>
        </is>
      </c>
      <c r="T107" s="30" t="inlineStr">
        <is>
          <t>In this bunch: 18 white gerberas, 10 white roses and 5 white alstroemeria, on a 18-inch open heart form. A quiet tribute for the service or the family home, from people who are thinking of them.</t>
        </is>
      </c>
      <c r="U107" s="30" t="inlineStr">
        <is>
          <t>&lt;p&gt;In this bunch: 18 white gerberas, 10 white roses and 5 white alstroemeria, on a 18-inch open heart form. A quiet tribute for the service or the family home, from people who are thinking of them.&lt;/p&gt;</t>
        </is>
      </c>
      <c r="V107" s="29" t="inlineStr">
        <is>
          <t>ok</t>
        </is>
      </c>
      <c r="W107" s="30" t="n"/>
      <c r="X107" s="30" t="inlineStr">
        <is>
          <t>n/a (Mel's: mason jar products only)</t>
        </is>
      </c>
      <c r="Y107" s="30" t="n"/>
      <c r="Z107" s="48" t="inlineStr">
        <is>
          <t>-</t>
        </is>
      </c>
      <c r="AA107" t="inlineStr">
        <is>
          <t>no sales</t>
        </is>
      </c>
      <c r="AB107" s="44" t="n">
        <v>0</v>
      </c>
      <c r="AC107" t="n">
        <v>0</v>
      </c>
      <c r="AD107" s="45" t="n">
        <v>0</v>
      </c>
      <c r="AE107" s="45" t="n">
        <v>0</v>
      </c>
      <c r="AF107" t="inlineStr">
        <is>
          <t>no sales</t>
        </is>
      </c>
    </row>
    <row r="108" ht="109.5" customHeight="1" s="24">
      <c r="A108" s="30" t="inlineStr">
        <is>
          <t>AU199-03</t>
        </is>
      </c>
      <c r="B108" s="30" t="inlineStr">
        <is>
          <t>Red Remembrance</t>
        </is>
      </c>
      <c r="C108" s="30" t="inlineStr">
        <is>
          <t>Sympathy</t>
        </is>
      </c>
      <c r="D108" s="43" t="inlineStr">
        <is>
          <t>READY TO REVIEW</t>
        </is>
      </c>
      <c r="E108" s="30" t="inlineStr">
        <is>
          <t>Send your love with a beautiful funeral heart featuring red Roses and Gerberas on a bed of greenery. Our memorial flower hearts are made with high quality fabric and are designed for outdoor use. A thoughtful tribute crafted with care to honour cherished memories. Why Choose Bloomex Australia? Australia-Wide Delivery — metro and regional Fresh Guaranteed — shipped budding, ready to bloom Same-Day Delivery — order by 2pm Family Owned since 1998 Best Value Guarantee</t>
        </is>
      </c>
      <c r="F108" s="30" t="inlineStr">
        <is>
          <t>Joomla (7 Oct)</t>
        </is>
      </c>
      <c r="G108" s="30" t="inlineStr">
        <is>
          <t>6 × Roses Spray Red; 12 × Gerbera Daisies Red; 10 × Ruscus Israeli; 1 × 18" Open Heart Oasis</t>
        </is>
      </c>
      <c r="H108" s="30" t="inlineStr">
        <is>
          <t>6 × Roses Spray Red; 12 × Gerbera Daisies Red; 10 × Ruscus Israeli; 1 × 18" Open Heart Oasis</t>
        </is>
      </c>
      <c r="I108" s="30" t="inlineStr">
        <is>
          <t>6 × Roses Spray Red; 12 × Gerbera Daisies Red; 10 × Ruscus Israeli; 1 × 18" Open Heart Oasis</t>
        </is>
      </c>
      <c r="J108" s="30" t="inlineStr">
        <is>
          <t>12 × Gerbera Daisies Red; 6 × Roses Spray Red; 10 × Ruscus Israeli; 1 × 18" Open Heart Oasis</t>
        </is>
      </c>
      <c r="K108" s="30" t="inlineStr">
        <is>
          <t>N</t>
        </is>
      </c>
      <c r="L108" s="30" t="n"/>
      <c r="M108" s="30" t="inlineStr">
        <is>
          <t>A sympathy arrangement of 12 red gerberas and 6 red spray roses, arranged on a 18-inch open heart form. A respectful, heartfelt tribute to express your condolences and share your support with those who are grieving.</t>
        </is>
      </c>
      <c r="N108" s="30">
        <f>LEN(TRIM(SUBSTITUTE(M108,CHAR(10)," ")))-LEN(SUBSTITUTE(TRIM(SUBSTITUTE(M108,CHAR(10)," "))," ",""))+1</f>
        <v/>
      </c>
      <c r="O108" s="30" t="inlineStr">
        <is>
          <t>&lt;p&gt;A sympathy arrangement of 12 red gerberas and 6 red spray roses, arranged on a 18-inch open heart form. A respectful, heartfelt tribute to express your condolences and share your support with those who are grieving.&lt;/p&gt;</t>
        </is>
      </c>
      <c r="P108" s="29" t="inlineStr">
        <is>
          <t>ok</t>
        </is>
      </c>
      <c r="Q108" s="30" t="inlineStr">
        <is>
          <t>Red Remembrance brings together 12 red gerberas and 6 red spray roses, arranged on a 18-inch open heart form. It is made to honour a life and offer comfort to the family.
Red flowers carry remembrance and calm. We hand-arrange each tribute with care, from the team at Aussie Blooms.</t>
        </is>
      </c>
      <c r="R108" s="30" t="inlineStr">
        <is>
          <t>&lt;p&gt;Red Remembrance brings together 12 red gerberas and 6 red spray roses, arranged on a 18-inch open heart form. It is made to honour a life and offer comfort to the family.&lt;/p&gt;&lt;p&gt;Red flowers carry remembrance and calm. We hand-arrange each tribute with care, from the team at Aussie Blooms.&lt;/p&gt;</t>
        </is>
      </c>
      <c r="S108" s="29" t="inlineStr">
        <is>
          <t>ok</t>
        </is>
      </c>
      <c r="T108" s="30" t="inlineStr">
        <is>
          <t>Inside the bunch: 12 red gerberas and 6 red spray roses, on a 18-inch open heart form. Simple flowers for a hard day, sent to the service or the family home.</t>
        </is>
      </c>
      <c r="U108" s="30" t="inlineStr">
        <is>
          <t>&lt;p&gt;Inside the bunch: 12 red gerberas and 6 red spray roses, on a 18-inch open heart form. Simple flowers for a hard day, sent to the service or the family home.&lt;/p&gt;</t>
        </is>
      </c>
      <c r="V108" s="29" t="inlineStr">
        <is>
          <t>ok</t>
        </is>
      </c>
      <c r="W108" s="30" t="n"/>
      <c r="X108" s="30" t="inlineStr">
        <is>
          <t>n/a (Mel's: mason jar products only)</t>
        </is>
      </c>
      <c r="Y108" s="30" t="n"/>
      <c r="Z108" s="48" t="inlineStr">
        <is>
          <t>-</t>
        </is>
      </c>
      <c r="AA108" t="inlineStr">
        <is>
          <t>no sales</t>
        </is>
      </c>
      <c r="AB108" s="44" t="n">
        <v>0</v>
      </c>
      <c r="AC108" t="n">
        <v>0</v>
      </c>
      <c r="AD108" s="45" t="n">
        <v>0</v>
      </c>
      <c r="AE108" s="45" t="n">
        <v>0</v>
      </c>
      <c r="AF108" t="inlineStr">
        <is>
          <t>no sales</t>
        </is>
      </c>
    </row>
    <row r="109" ht="109.5" customHeight="1" s="24">
      <c r="A109" s="30" t="inlineStr">
        <is>
          <t>AL189-07AURP</t>
        </is>
      </c>
      <c r="B109" s="30" t="inlineStr">
        <is>
          <t>Hope and Honour Wreath</t>
        </is>
      </c>
      <c r="C109" s="30" t="inlineStr">
        <is>
          <t>Sympathy</t>
        </is>
      </c>
      <c r="D109" s="43" t="inlineStr">
        <is>
          <t>READY TO REVIEW</t>
        </is>
      </c>
      <c r="E109" s="30" t="inlineStr">
        <is>
          <t>This vivid red and white wreath honours a loved one by sharing a timeless message of hope. Included in this wreath are an array of carnations with lovely greens and fillers to create a full look appropriate to your message of condolence. A thoughtful tribute crafted with care to honour cherished memories. Why Choose Bloomex Australia? Australia-Wide Delivery — metro and regional Fresh Guaranteed — shipped budding, ready to bloom Same-Day Delivery — order by 2pm Family Owned since 1998 Best Value Guarantee</t>
        </is>
      </c>
      <c r="F109" s="30" t="inlineStr">
        <is>
          <t>Joomla (7 Oct)</t>
        </is>
      </c>
      <c r="G109" s="30" t="inlineStr">
        <is>
          <t>Not edited by Jarrod (master recipe used)</t>
        </is>
      </c>
      <c r="H109" s="30" t="inlineStr">
        <is>
          <t>14 × Carnation Red; 12 × Carnation White; 4 × Baby's Breath; 5 × Ruscus Israeli; 1 × 15" wreath form; 6 × Mini Carnations Red</t>
        </is>
      </c>
      <c r="I109" s="31" t="inlineStr">
        <is>
          <t>14 × Carnation Red; 12 × Carnation White; 4 × Baby's Breath; 5 × Ruscus Israeli; 1 × 15" wreath form; 6 × Mini Carnations Red</t>
        </is>
      </c>
      <c r="J109" s="30" t="inlineStr">
        <is>
          <t>14 × Carnation Red; 12 × Carnation White; 4 × Baby's Breath; 5 × Ruscus Israeli; 1 × 15" wreath form; 6 × Mini Carnations Red</t>
        </is>
      </c>
      <c r="K109" s="30" t="inlineStr">
        <is>
          <t>N</t>
        </is>
      </c>
      <c r="L109" s="30" t="n"/>
      <c r="M109" s="30" t="inlineStr">
        <is>
          <t>A tribute arrangement of 14 red carnations and 12 white carnations, arranged on a 15-inch wreath form. A respectful, heartfelt tribute to express your condolences and share your support with those who are grieving.</t>
        </is>
      </c>
      <c r="N109" s="30">
        <f>LEN(TRIM(SUBSTITUTE(M109,CHAR(10)," ")))-LEN(SUBSTITUTE(TRIM(SUBSTITUTE(M109,CHAR(10)," "))," ",""))+1</f>
        <v/>
      </c>
      <c r="O109" s="30" t="inlineStr">
        <is>
          <t>&lt;p&gt;A tribute arrangement of 14 red carnations and 12 white carnations, arranged on a 15-inch wreath form. A respectful, heartfelt tribute to express your condolences and share your support with those who are grieving.&lt;/p&gt;</t>
        </is>
      </c>
      <c r="P109" s="29" t="inlineStr">
        <is>
          <t>ok</t>
        </is>
      </c>
      <c r="Q109" s="30" t="inlineStr">
        <is>
          <t>Hope and Honour Wreath brings together 14 red carnations and 12 white carnations, arranged on a 15-inch wreath form. It is made to honour a life and offer comfort to the family.
Red flowers carry remembrance and calm. We hand-arrange each tribute with care, from the team at Aussie Blooms.</t>
        </is>
      </c>
      <c r="R109" s="30" t="inlineStr">
        <is>
          <t>&lt;p&gt;Hope and Honour Wreath brings together 14 red carnations and 12 white carnations, arranged on a 15-inch wreath form. It is made to honour a life and offer comfort to the family.&lt;/p&gt;&lt;p&gt;Red flowers carry remembrance and calm. We hand-arrange each tribute with care, from the team at Aussie Blooms.&lt;/p&gt;</t>
        </is>
      </c>
      <c r="S109" s="29" t="inlineStr">
        <is>
          <t>ok</t>
        </is>
      </c>
      <c r="T109" s="30" t="inlineStr">
        <is>
          <t>Inside the bunch: 14 red carnations and 12 white carnations, on a 15-inch wreath form. Simple flowers for a hard day, sent to the service or the family home.</t>
        </is>
      </c>
      <c r="U109" s="30" t="inlineStr">
        <is>
          <t>&lt;p&gt;Inside the bunch: 14 red carnations and 12 white carnations, on a 15-inch wreath form. Simple flowers for a hard day, sent to the service or the family home.&lt;/p&gt;</t>
        </is>
      </c>
      <c r="V109" s="29" t="inlineStr">
        <is>
          <t>ok</t>
        </is>
      </c>
      <c r="W109" s="30" t="n"/>
      <c r="X109" s="30" t="inlineStr">
        <is>
          <t>n/a (Mel's: mason jar products only)</t>
        </is>
      </c>
      <c r="Y109" s="30" t="n"/>
      <c r="Z109" s="48" t="inlineStr">
        <is>
          <t>-</t>
        </is>
      </c>
      <c r="AA109" t="inlineStr">
        <is>
          <t>no sales</t>
        </is>
      </c>
      <c r="AB109" s="44" t="n">
        <v>0</v>
      </c>
      <c r="AC109" t="n">
        <v>0</v>
      </c>
      <c r="AD109" s="45" t="n">
        <v>0</v>
      </c>
      <c r="AE109" s="45" t="n">
        <v>0</v>
      </c>
      <c r="AF109" t="inlineStr">
        <is>
          <t>no sales</t>
        </is>
      </c>
    </row>
    <row r="110" ht="109.5" customHeight="1" s="24">
      <c r="A110" s="30" t="inlineStr">
        <is>
          <t>AL100-75AURP</t>
        </is>
      </c>
      <c r="B110" s="30" t="inlineStr">
        <is>
          <t>Your Light Shines</t>
        </is>
      </c>
      <c r="C110" s="30" t="inlineStr">
        <is>
          <t>Sympathy</t>
        </is>
      </c>
      <c r="D110" s="43" t="inlineStr">
        <is>
          <t>READY TO REVIEW</t>
        </is>
      </c>
      <c r="E110" s="30" t="inlineStr">
        <is>
          <t>This softly elegant gesture of condolence and affection honouring the memory of a life well lived is a gentle touch during a difficult time. Includes flowers such as roses, monte cassino asters, eucalyptus and salal. These flowers are shipped fresh, budding and ready to bloom. Vase not included, but they are available. A thoughtful tribute crafted with care to honour cherished memories. Why Choose Bloomex Australia? Australia-Wide Delivery — metro and regional Fresh Guaranteed — shipped budding, ready to bloom Same-Day Delivery — order by 2pm Family Owned since 1998 Best Value Guarantee</t>
        </is>
      </c>
      <c r="F110" s="30" t="inlineStr">
        <is>
          <t>Joomla (7 Oct)</t>
        </is>
      </c>
      <c r="G110" s="30" t="inlineStr">
        <is>
          <t>5 × Roses Lavender; 3 × Roses Hot Pink; 3 × Roses Spray Pink; 3 × Roses Pink; 2 × Limonium Purple; 4 × Ruscus Israeli</t>
        </is>
      </c>
      <c r="H110" s="30" t="inlineStr">
        <is>
          <t>5 × Roses Lavender; 3 × Roses Hot Pink; 3 × Roses Spray Pink; 3 × Roses Pink; 2 × Limonium Purple; 4 × Ruscus Israeli</t>
        </is>
      </c>
      <c r="I110" s="30" t="inlineStr">
        <is>
          <t>5 × Roses Lavender; 3 × Roses Hot Pink; 3 × Roses Spray Pink; 3 × Roses Pink; 2 × Limonium Purple; 4 × Ruscus Israeli</t>
        </is>
      </c>
      <c r="J110" s="30" t="inlineStr">
        <is>
          <t>3 × Roses Spray Pink; 4 × Ruscus Israeli; 2 × Limonium Purple; 3 × Roses Pink; 3 × Roses Hot Pink; 5 × Roses Lavender</t>
        </is>
      </c>
      <c r="K110" s="30" t="inlineStr">
        <is>
          <t>N</t>
        </is>
      </c>
      <c r="L110" s="30" t="n"/>
      <c r="M110" s="30" t="inlineStr">
        <is>
          <t>A sympathy arrangement of 5 lavender roses, 3 hot pink roses, 3 pink roses and 3 pink spray roses. A respectful, heartfelt tribute to express your condolences and share your support with those who are grieving.</t>
        </is>
      </c>
      <c r="N110" s="30">
        <f>LEN(TRIM(SUBSTITUTE(M110,CHAR(10)," ")))-LEN(SUBSTITUTE(TRIM(SUBSTITUTE(M110,CHAR(10)," "))," ",""))+1</f>
        <v/>
      </c>
      <c r="O110" s="30" t="inlineStr">
        <is>
          <t>&lt;p&gt;A sympathy arrangement of 5 lavender roses, 3 hot pink roses, 3 pink roses and 3 pink spray roses. A respectful, heartfelt tribute to express your condolences and share your support with those who are grieving.&lt;/p&gt;</t>
        </is>
      </c>
      <c r="P110" s="29" t="inlineStr">
        <is>
          <t>ok</t>
        </is>
      </c>
      <c r="Q110" s="30" t="inlineStr">
        <is>
          <t>Your Light Shines brings together 5 lavender roses, 3 hot pink roses, 3 pink roses and 3 pink spray roses. It is made to honour a life and offer comfort to the family.
Pink flowers carry remembrance and calm. We hand-arrange each tribute with care, from the team at Aussie Blooms.</t>
        </is>
      </c>
      <c r="R110" s="30" t="inlineStr">
        <is>
          <t>&lt;p&gt;Your Light Shines brings together 5 lavender roses, 3 hot pink roses, 3 pink roses and 3 pink spray roses. It is made to honour a life and offer comfort to the family.&lt;/p&gt;&lt;p&gt;Pink flowers carry remembrance and calm. We hand-arrange each tribute with care, from the team at Aussie Blooms.&lt;/p&gt;</t>
        </is>
      </c>
      <c r="S110" s="29" t="inlineStr">
        <is>
          <t>ok</t>
        </is>
      </c>
      <c r="T110" s="30" t="inlineStr">
        <is>
          <t>The bunch holds: 5 lavender roses, 3 hot pink roses, 3 pink roses and 3 pink spray roses. Quiet and respectful, a way to say you are there for the family.</t>
        </is>
      </c>
      <c r="U110" s="30" t="inlineStr">
        <is>
          <t>&lt;p&gt;The bunch holds: 5 lavender roses, 3 hot pink roses, 3 pink roses and 3 pink spray roses. Quiet and respectful, a way to say you are there for the family.&lt;/p&gt;</t>
        </is>
      </c>
      <c r="V110" s="29" t="inlineStr">
        <is>
          <t>ok</t>
        </is>
      </c>
      <c r="W110" s="30" t="n"/>
      <c r="X110" s="30" t="inlineStr">
        <is>
          <t>n/a (Mel's: mason jar products only)</t>
        </is>
      </c>
      <c r="Y110" s="30" t="n"/>
      <c r="Z110" s="48" t="inlineStr">
        <is>
          <t>-</t>
        </is>
      </c>
      <c r="AA110" t="n">
        <v>132</v>
      </c>
      <c r="AB110" s="44" t="n">
        <v>8271.65</v>
      </c>
      <c r="AC110" t="n">
        <v>43</v>
      </c>
      <c r="AD110" s="45" t="n">
        <v>0.0009477405380111221</v>
      </c>
      <c r="AE110" s="45" t="n">
        <v>0.01601097284280675</v>
      </c>
      <c r="AF110" t="n">
        <v>10</v>
      </c>
    </row>
    <row r="111" ht="109.5" customHeight="1" s="24">
      <c r="A111" s="30" t="inlineStr">
        <is>
          <t>AL100-71AURP</t>
        </is>
      </c>
      <c r="B111" s="30" t="inlineStr">
        <is>
          <t>Full Heart</t>
        </is>
      </c>
      <c r="C111" s="30" t="inlineStr">
        <is>
          <t>Sympathy</t>
        </is>
      </c>
      <c r="D111" s="43" t="inlineStr">
        <is>
          <t>READY TO REVIEW</t>
        </is>
      </c>
      <c r="E111" s="30" t="inlineStr">
        <is>
          <t>When your heart is full of love. Of longing. Of loss. You can pay tribute with this incredible arrangement of roses and eucalyptus. Cherish the moments you had and the memories you will hold onto forever. Lovely red roses and graceful eucalyptus make up this heartfelt gift. These flowers are shipped fresh, budding and ready to bloom. Vase not included, but they are available. A thoughtful tribute crafted with care to honour cherished memories. Why Choose Bloomex Australia? Australia-Wide Delivery — metro and regional Fresh Guaranteed — shipped budding, ready to bloom Same-Day Delivery — order by 1pm Family Owned since 1998 Best Value Guarantee</t>
        </is>
      </c>
      <c r="F111" s="30" t="inlineStr">
        <is>
          <t>Joomla (7 Oct)</t>
        </is>
      </c>
      <c r="G111" s="30" t="inlineStr">
        <is>
          <t>16 × Roses Red; 2 × Baby's Breath; 3 × Ruscus Israeli</t>
        </is>
      </c>
      <c r="H111" s="30" t="inlineStr">
        <is>
          <t>16 × Roses Red; 2 × Baby's Breath; 3 × Ruscus Israeli</t>
        </is>
      </c>
      <c r="I111" s="30" t="inlineStr">
        <is>
          <t>16 × Roses Red; 2 × Baby's Breath; 3 × Ruscus Israeli</t>
        </is>
      </c>
      <c r="J111" s="30" t="inlineStr">
        <is>
          <t>3 × Ruscus Israeli; 2 × Baby's Breath; 16 × Roses Red</t>
        </is>
      </c>
      <c r="K111" s="30" t="inlineStr">
        <is>
          <t>Y</t>
        </is>
      </c>
      <c r="L111" s="30" t="n"/>
      <c r="M111" s="30" t="inlineStr">
        <is>
          <t>A sympathy arrangement of 16 red roses. A respectful, heartfelt tribute to express your condolences and share your support with those who are grieving.</t>
        </is>
      </c>
      <c r="N111" s="30">
        <f>LEN(TRIM(SUBSTITUTE(M111,CHAR(10)," ")))-LEN(SUBSTITUTE(TRIM(SUBSTITUTE(M111,CHAR(10)," "))," ",""))+1</f>
        <v/>
      </c>
      <c r="O111" s="30" t="inlineStr">
        <is>
          <t>&lt;p&gt;A sympathy arrangement of 16 red roses. A respectful, heartfelt tribute to express your condolences and share your support with those who are grieving.&lt;/p&gt;</t>
        </is>
      </c>
      <c r="P111" s="29" t="inlineStr">
        <is>
          <t>ok</t>
        </is>
      </c>
      <c r="Q111" s="30" t="inlineStr">
        <is>
          <t>Full Heart brings together 16 red roses. It is made to honour a life and offer comfort to the family.
Red flowers carry remembrance and calm. We hand-arrange each tribute with care, from the team at Aussie Blooms.</t>
        </is>
      </c>
      <c r="R111" s="30" t="inlineStr">
        <is>
          <t>&lt;p&gt;Full Heart brings together 16 red roses. It is made to honour a life and offer comfort to the family.&lt;/p&gt;&lt;p&gt;Red flowers carry remembrance and calm. We hand-arrange each tribute with care, from the team at Aussie Blooms.&lt;/p&gt;</t>
        </is>
      </c>
      <c r="S111" s="29" t="inlineStr">
        <is>
          <t>ok</t>
        </is>
      </c>
      <c r="T111" s="30" t="inlineStr">
        <is>
          <t>In this bunch: 16 red roses. A quiet tribute for the service or the family home, from people who are thinking of them.</t>
        </is>
      </c>
      <c r="U111" s="30" t="inlineStr">
        <is>
          <t>&lt;p&gt;In this bunch: 16 red roses. A quiet tribute for the service or the family home, from people who are thinking of them.&lt;/p&gt;</t>
        </is>
      </c>
      <c r="V111" s="29" t="inlineStr">
        <is>
          <t>ok</t>
        </is>
      </c>
      <c r="W111" s="30" t="n"/>
      <c r="X111" s="30" t="inlineStr">
        <is>
          <t>n/a (Mel's: mason jar products only)</t>
        </is>
      </c>
      <c r="Y111" s="30" t="n"/>
      <c r="Z111" s="48" t="inlineStr">
        <is>
          <t>-</t>
        </is>
      </c>
      <c r="AA111" t="n">
        <v>39</v>
      </c>
      <c r="AB111" s="44" t="n">
        <v>54712.97</v>
      </c>
      <c r="AC111" t="n">
        <v>395</v>
      </c>
      <c r="AD111" s="45" t="n">
        <v>0.006268845952619657</v>
      </c>
      <c r="AE111" s="45" t="n">
        <v>0.1059048529397763</v>
      </c>
      <c r="AF111" t="n">
        <v>3</v>
      </c>
    </row>
    <row r="112" ht="109.5" customHeight="1" s="24">
      <c r="A112" s="30" t="inlineStr">
        <is>
          <t>AL100-78AURP</t>
        </is>
      </c>
      <c r="B112" s="30" t="inlineStr">
        <is>
          <t>Rose Romanesque</t>
        </is>
      </c>
      <c r="C112" s="30" t="inlineStr">
        <is>
          <t>Sympathy</t>
        </is>
      </c>
      <c r="D112" s="43" t="inlineStr">
        <is>
          <t>READY TO REVIEW</t>
        </is>
      </c>
      <c r="E112" s="30" t="inlineStr">
        <is>
          <t>A beautiful gift. A heartfelt gesture. A loving tribute. This absolutely stunning red rose arrangement will deliver your care and compassion beautifully.Brilliant red roses and spray roses along with vibrant fern and ivy are perfectly arranged. Approximately 19 1/2" W x 20" H. Vase not included. A thoughtful tribute crafted with care to honour cherished memories. Why Choose Bloomex Australia? Australia-Wide Delivery — metro and regional Fresh Guaranteed — shipped budding, ready to bloom Same-Day Delivery — order by 1pm Family Owned since 1998 Best Value Guarantee</t>
        </is>
      </c>
      <c r="F112" s="30" t="inlineStr">
        <is>
          <t>Joomla (7 Oct)</t>
        </is>
      </c>
      <c r="G112" s="30" t="inlineStr">
        <is>
          <t>4 × Roses Spray Red; 14 × Roses Red; 2 × Baby's Breath; 3 × Ruscus Israeli</t>
        </is>
      </c>
      <c r="H112" s="30" t="inlineStr">
        <is>
          <t>4 × Roses Spray Red; 14 × Roses Red; 2 × Baby's Breath; 3 × Ruscus Israeli</t>
        </is>
      </c>
      <c r="I112" s="30" t="inlineStr">
        <is>
          <t>4 × Roses Spray Red; 14 × Roses Red; 2 × Baby's Breath; 3 × Ruscus Israeli</t>
        </is>
      </c>
      <c r="J112" s="30" t="inlineStr">
        <is>
          <t>2 × Baby's Breath; 3 × Ruscus Israeli; 14 × Roses Red; 4 × Roses Spray Red</t>
        </is>
      </c>
      <c r="K112" s="30" t="inlineStr">
        <is>
          <t>Y</t>
        </is>
      </c>
      <c r="L112" s="30" t="n"/>
      <c r="M112" s="30" t="inlineStr">
        <is>
          <t>A sympathy arrangement of 14 red roses and 4 red spray roses. A respectful, heartfelt tribute to express your condolences and share your support with those who are grieving.</t>
        </is>
      </c>
      <c r="N112" s="30">
        <f>LEN(TRIM(SUBSTITUTE(M112,CHAR(10)," ")))-LEN(SUBSTITUTE(TRIM(SUBSTITUTE(M112,CHAR(10)," "))," ",""))+1</f>
        <v/>
      </c>
      <c r="O112" s="30" t="inlineStr">
        <is>
          <t>&lt;p&gt;A sympathy arrangement of 14 red roses and 4 red spray roses. A respectful, heartfelt tribute to express your condolences and share your support with those who are grieving.&lt;/p&gt;</t>
        </is>
      </c>
      <c r="P112" s="29" t="inlineStr">
        <is>
          <t>ok</t>
        </is>
      </c>
      <c r="Q112" s="30" t="inlineStr">
        <is>
          <t>Rose Romanesque brings together 14 red roses and 4 red spray roses. It is made to honour a life and offer comfort to the family.
Red flowers carry remembrance and calm. We hand-arrange each tribute with care, from the team at Aussie Blooms.</t>
        </is>
      </c>
      <c r="R112" s="30" t="inlineStr">
        <is>
          <t>&lt;p&gt;Rose Romanesque brings together 14 red roses and 4 red spray roses. It is made to honour a life and offer comfort to the family.&lt;/p&gt;&lt;p&gt;Red flowers carry remembrance and calm. We hand-arrange each tribute with care, from the team at Aussie Blooms.&lt;/p&gt;</t>
        </is>
      </c>
      <c r="S112" s="29" t="inlineStr">
        <is>
          <t>ok</t>
        </is>
      </c>
      <c r="T112" s="30" t="inlineStr">
        <is>
          <t>In this bunch: 14 red roses and 4 red spray roses. A quiet tribute for the service or the family home, from people who are thinking of them.</t>
        </is>
      </c>
      <c r="U112" s="30" t="inlineStr">
        <is>
          <t>&lt;p&gt;In this bunch: 14 red roses and 4 red spray roses. A quiet tribute for the service or the family home, from people who are thinking of them.&lt;/p&gt;</t>
        </is>
      </c>
      <c r="V112" s="29" t="inlineStr">
        <is>
          <t>ok</t>
        </is>
      </c>
      <c r="W112" s="30" t="n"/>
      <c r="X112" s="30" t="inlineStr">
        <is>
          <t>n/a (Mel's: mason jar products only)</t>
        </is>
      </c>
      <c r="Y112" s="30" t="n"/>
      <c r="Z112" s="48" t="inlineStr">
        <is>
          <t>-</t>
        </is>
      </c>
      <c r="AA112" t="n">
        <v>242</v>
      </c>
      <c r="AB112" s="44" t="n">
        <v>284.9</v>
      </c>
      <c r="AC112" t="n">
        <v>2</v>
      </c>
      <c r="AD112" s="45" t="n">
        <v>3.264297682800513e-05</v>
      </c>
      <c r="AE112" s="45" t="n">
        <v>0.0005514650841024031</v>
      </c>
      <c r="AF112" t="n">
        <v>20</v>
      </c>
    </row>
    <row r="113" ht="109.5" customHeight="1" s="24">
      <c r="A113" s="30" t="inlineStr">
        <is>
          <t>AU160-26</t>
        </is>
      </c>
      <c r="B113" s="30" t="inlineStr">
        <is>
          <t>Truly Beloved</t>
        </is>
      </c>
      <c r="C113" s="30" t="inlineStr">
        <is>
          <t>Sympathy</t>
        </is>
      </c>
      <c r="D113" s="43" t="inlineStr">
        <is>
          <t>READY TO REVIEW</t>
        </is>
      </c>
      <c r="E113" s="30" t="inlineStr">
        <is>
          <t>Reach out to the family at home with this lovely array of classic blooms artistically arranged. They'll be deeply touched. Vases and sympathy cards are available to enhance your bouquet. A thoughtful tribute crafted with care to honour cherished memories. Why Choose Bloomex Australia? Australia-Wide Delivery — metro and regional Fresh Guaranteed — shipped budding, ready to bloom Same-Day Delivery — order by 2pm Family Owned since 1998 Best Value Guarantee</t>
        </is>
      </c>
      <c r="F113" s="30" t="inlineStr">
        <is>
          <t>Joomla (7 Oct)</t>
        </is>
      </c>
      <c r="G113" s="30" t="inlineStr">
        <is>
          <t>7 × Roses Red; 10 × Carnation Red; 4 × Ruscus Israeli; 6 × Alstroemeria White</t>
        </is>
      </c>
      <c r="H113" s="30" t="inlineStr">
        <is>
          <t>7 × Roses Red; 10 × Carnation Red; 4 × Ruscus Israeli; 6 × Alstroemeria White</t>
        </is>
      </c>
      <c r="I113" s="30" t="inlineStr">
        <is>
          <t>7 × Roses Red; 10 × Carnation Red; 4 × Ruscus Israeli; 6 × Alstroemeria White</t>
        </is>
      </c>
      <c r="J113" s="30" t="inlineStr">
        <is>
          <t>4 × Ruscus Israeli; 6 × Alstroemeria White; 10 × Carnation Red; 7 × Roses Red</t>
        </is>
      </c>
      <c r="K113" s="30" t="inlineStr">
        <is>
          <t>N</t>
        </is>
      </c>
      <c r="L113" s="30" t="n"/>
      <c r="M113" s="30" t="inlineStr">
        <is>
          <t>A sympathy arrangement of 10 red carnations, 7 red roses and 6 white alstroemeria. A respectful, heartfelt tribute to express your condolences and share your support with those who are grieving.</t>
        </is>
      </c>
      <c r="N113" s="30">
        <f>LEN(TRIM(SUBSTITUTE(M113,CHAR(10)," ")))-LEN(SUBSTITUTE(TRIM(SUBSTITUTE(M113,CHAR(10)," "))," ",""))+1</f>
        <v/>
      </c>
      <c r="O113" s="30" t="inlineStr">
        <is>
          <t>&lt;p&gt;A sympathy arrangement of 10 red carnations, 7 red roses and 6 white alstroemeria. A respectful, heartfelt tribute to express your condolences and share your support with those who are grieving.&lt;/p&gt;</t>
        </is>
      </c>
      <c r="P113" s="29" t="inlineStr">
        <is>
          <t>ok</t>
        </is>
      </c>
      <c r="Q113" s="30" t="inlineStr">
        <is>
          <t>Truly Beloved brings together 10 red carnations, 7 red roses and 6 white alstroemeria. It is made to honour a life and offer comfort to the family.
Red flowers carry remembrance and calm. We hand-arrange each tribute with care, from the team at Aussie Blooms.</t>
        </is>
      </c>
      <c r="R113" s="30" t="inlineStr">
        <is>
          <t>&lt;p&gt;Truly Beloved brings together 10 red carnations, 7 red roses and 6 white alstroemeria. It is made to honour a life and offer comfort to the family.&lt;/p&gt;&lt;p&gt;Red flowers carry remembrance and calm. We hand-arrange each tribute with care, from the team at Aussie Blooms.&lt;/p&gt;</t>
        </is>
      </c>
      <c r="S113" s="29" t="inlineStr">
        <is>
          <t>ok</t>
        </is>
      </c>
      <c r="T113" s="30" t="inlineStr">
        <is>
          <t>The bunch holds: 10 red carnations, 7 red roses and 6 white alstroemeria. Quiet and respectful, a way to say you are there for the family.</t>
        </is>
      </c>
      <c r="U113" s="30" t="inlineStr">
        <is>
          <t>&lt;p&gt;The bunch holds: 10 red carnations, 7 red roses and 6 white alstroemeria. Quiet and respectful, a way to say you are there for the family.&lt;/p&gt;</t>
        </is>
      </c>
      <c r="V113" s="29" t="inlineStr">
        <is>
          <t>ok</t>
        </is>
      </c>
      <c r="W113" s="30" t="n"/>
      <c r="X113" s="30" t="inlineStr">
        <is>
          <t>n/a (Mel's: mason jar products only)</t>
        </is>
      </c>
      <c r="Y113" s="30" t="n"/>
      <c r="Z113" s="48" t="inlineStr">
        <is>
          <t>-</t>
        </is>
      </c>
      <c r="AA113" t="n">
        <v>207</v>
      </c>
      <c r="AB113" s="44" t="n">
        <v>2387.6</v>
      </c>
      <c r="AC113" t="n">
        <v>15</v>
      </c>
      <c r="AD113" s="45" t="n">
        <v>0.0002735639574396106</v>
      </c>
      <c r="AE113" s="45" t="n">
        <v>0.004621544523702694</v>
      </c>
      <c r="AF113" t="n">
        <v>17</v>
      </c>
    </row>
    <row r="114" ht="109.5" customHeight="1" s="24">
      <c r="A114" s="30" t="inlineStr">
        <is>
          <t>AU116-10</t>
        </is>
      </c>
      <c r="B114" s="30" t="inlineStr">
        <is>
          <t>Sublime Sentiments</t>
        </is>
      </c>
      <c r="C114" s="30" t="inlineStr">
        <is>
          <t>Sympathy</t>
        </is>
      </c>
      <c r="D114" s="43" t="inlineStr">
        <is>
          <t>READY TO REVIEW</t>
        </is>
      </c>
      <c r="E114" s="30" t="inlineStr">
        <is>
          <t>As strong as it is soft, the colour pink as it is featured here creates a loving and utterly feminine tribute. Many shades of pink blossoms blend together for an effect that is beautifully subtle and sublime. Vases and sympathy cards are available to enhance your bouquet. A thoughtful tribute crafted with care to honour cherished memories. Why Choose Bloomex Australia? Australia-Wide Delivery — metro and regional Fresh Guaranteed — shipped budding, ready to bloom Same-Day Delivery — order by 1pm Family Owned since 1998 Best Value Guarantee</t>
        </is>
      </c>
      <c r="F114" s="30" t="inlineStr">
        <is>
          <t>Joomla (7 Oct)</t>
        </is>
      </c>
      <c r="G114" s="30" t="inlineStr">
        <is>
          <t>4 × Roses Pink; 3 × Roses Spray Pink; 1 × Baby's Breath; 2 × Ruscus Israeli; 4 × Alstroemeria Pink</t>
        </is>
      </c>
      <c r="H114" s="30" t="inlineStr">
        <is>
          <t>4 × Roses Pink; 3 × Roses Spray Pink; 1 × Baby's Breath; 2 × Ruscus Israeli; 4 × Alstroemeria Pink</t>
        </is>
      </c>
      <c r="I114" s="30" t="inlineStr">
        <is>
          <t>4 × Roses Pink; 3 × Roses Spray Pink; 1 × Baby's Breath; 2 × Ruscus Israeli; 4 × Alstroemeria Pink</t>
        </is>
      </c>
      <c r="J114" s="30" t="inlineStr">
        <is>
          <t>1 × Baby's Breath; 4 × Alstroemeria Pink; 2 × Ruscus Israeli; 3 × Roses Spray Pink; 4 × Roses Pink</t>
        </is>
      </c>
      <c r="K114" s="30" t="inlineStr">
        <is>
          <t>Y</t>
        </is>
      </c>
      <c r="L114" s="30" t="n"/>
      <c r="M114" s="30" t="inlineStr">
        <is>
          <t>A sympathy arrangement of 4 pink alstroemeria, 4 pink roses and 3 pink spray roses. A respectful, heartfelt tribute to express your condolences and share your support with those who are grieving.</t>
        </is>
      </c>
      <c r="N114" s="30">
        <f>LEN(TRIM(SUBSTITUTE(M114,CHAR(10)," ")))-LEN(SUBSTITUTE(TRIM(SUBSTITUTE(M114,CHAR(10)," "))," ",""))+1</f>
        <v/>
      </c>
      <c r="O114" s="30" t="inlineStr">
        <is>
          <t>&lt;p&gt;A sympathy arrangement of 4 pink alstroemeria, 4 pink roses and 3 pink spray roses. A respectful, heartfelt tribute to express your condolences and share your support with those who are grieving.&lt;/p&gt;</t>
        </is>
      </c>
      <c r="P114" s="29" t="inlineStr">
        <is>
          <t>ok</t>
        </is>
      </c>
      <c r="Q114" s="30" t="inlineStr">
        <is>
          <t>Sublime Sentiments brings together 4 pink alstroemeria, 4 pink roses and 3 pink spray roses. It is made to honour a life and offer comfort to the family.
Pink flowers carry remembrance and calm. We hand-arrange each tribute with care, from the team at Aussie Blooms.</t>
        </is>
      </c>
      <c r="R114" s="30" t="inlineStr">
        <is>
          <t>&lt;p&gt;Sublime Sentiments brings together 4 pink alstroemeria, 4 pink roses and 3 pink spray roses. It is made to honour a life and offer comfort to the family.&lt;/p&gt;&lt;p&gt;Pink flowers carry remembrance and calm. We hand-arrange each tribute with care, from the team at Aussie Blooms.&lt;/p&gt;</t>
        </is>
      </c>
      <c r="S114" s="29" t="inlineStr">
        <is>
          <t>ok</t>
        </is>
      </c>
      <c r="T114" s="30" t="inlineStr">
        <is>
          <t>In this bunch: 4 pink alstroemeria, 4 pink roses and 3 pink spray roses. A quiet tribute for the service or the family home, from people who are thinking of them.</t>
        </is>
      </c>
      <c r="U114" s="30" t="inlineStr">
        <is>
          <t>&lt;p&gt;In this bunch: 4 pink alstroemeria, 4 pink roses and 3 pink spray roses. A quiet tribute for the service or the family home, from people who are thinking of them.&lt;/p&gt;</t>
        </is>
      </c>
      <c r="V114" s="29" t="inlineStr">
        <is>
          <t>ok</t>
        </is>
      </c>
      <c r="W114" s="30" t="n"/>
      <c r="X114" s="30" t="inlineStr">
        <is>
          <t>n/a (Mel's: mason jar products only)</t>
        </is>
      </c>
      <c r="Y114" s="30" t="n"/>
      <c r="Z114" s="48" t="inlineStr">
        <is>
          <t>-</t>
        </is>
      </c>
      <c r="AA114" t="n">
        <v>131</v>
      </c>
      <c r="AB114" s="44" t="n">
        <v>8345.219999999999</v>
      </c>
      <c r="AC114" t="n">
        <v>70</v>
      </c>
      <c r="AD114" s="45" t="n">
        <v>0.0009561704235047818</v>
      </c>
      <c r="AE114" s="45" t="n">
        <v>0.01615338594248295</v>
      </c>
      <c r="AF114" t="n">
        <v>9</v>
      </c>
    </row>
    <row r="115" ht="109.5" customHeight="1" s="24">
      <c r="A115" s="30" t="inlineStr">
        <is>
          <t>AU116-30</t>
        </is>
      </c>
      <c r="B115" s="30" t="inlineStr">
        <is>
          <t>Fairest Sentiments</t>
        </is>
      </c>
      <c r="C115" s="30" t="inlineStr">
        <is>
          <t>Sympathy</t>
        </is>
      </c>
      <c r="D115" s="43" t="inlineStr">
        <is>
          <t>READY TO REVIEW</t>
        </is>
      </c>
      <c r="E115" s="30" t="inlineStr">
        <is>
          <t>Who's the fairest of them all? This snow-white bouquet. A stunning statement of your purest love, this mix of carnations, alstroemeria and lilies will take their heart away. Vases and sympathy cards are available to enhance your bouquet. A thoughtful tribute crafted with care to honour cherished memories. Why Choose Bloomex Australia? Australia-Wide Delivery — metro and regional Fresh Guaranteed — shipped budding, ready to bloom Same-Day Delivery — order by 2pm Family Owned since 1998 Best Value Guarantee</t>
        </is>
      </c>
      <c r="F115" s="30" t="inlineStr">
        <is>
          <t>Joomla (7 Oct)</t>
        </is>
      </c>
      <c r="G115" s="30" t="inlineStr">
        <is>
          <t>5 × Roses White; 3 × Fuji Spider Mums White; 4 × Cushion Daisy White; 3 × Ruscus Israeli; 3 × Mini Carnations White; 5 × Alstroemeria White</t>
        </is>
      </c>
      <c r="H115" s="30" t="inlineStr">
        <is>
          <t>5 × Roses White; 3 × Fuji Spider Mums White; 4 × Cushion Daisy White; 3 × Ruscus Israeli; 3 × Mini Carnations White; 5 × Alstroemeria White</t>
        </is>
      </c>
      <c r="I115" s="30" t="inlineStr">
        <is>
          <t>5 × Roses White; 3 × Fuji Spider Mums White; 4 × Cushion Daisy White; 3 × Ruscus Israeli; 3 × Mini Carnations White; 5 × Alstroemeria White</t>
        </is>
      </c>
      <c r="J115" s="30" t="inlineStr">
        <is>
          <t>4 × Cushion Daisy White; 5 × Alstroemeria White; 3 × Mini Carnations White; 3 × Ruscus Israeli; 3 × Fuji Spider Mums White; 5 × Roses White</t>
        </is>
      </c>
      <c r="K115" s="30" t="inlineStr">
        <is>
          <t>N</t>
        </is>
      </c>
      <c r="L115" s="30" t="n"/>
      <c r="M115" s="30" t="inlineStr">
        <is>
          <t>A tribute arrangement of 5 white alstroemeria, 5 white roses, 4 white cushion chrysanthemums and 3 white Fuji spider chrysanthemums. A respectful, heartfelt tribute to express your condolences and share your support with those who are grieving.</t>
        </is>
      </c>
      <c r="N115" s="30">
        <f>LEN(TRIM(SUBSTITUTE(M115,CHAR(10)," ")))-LEN(SUBSTITUTE(TRIM(SUBSTITUTE(M115,CHAR(10)," "))," ",""))+1</f>
        <v/>
      </c>
      <c r="O115" s="30" t="inlineStr">
        <is>
          <t>&lt;p&gt;A tribute arrangement of 5 white alstroemeria, 5 white roses, 4 white cushion chrysanthemums and 3 white Fuji spider chrysanthemums. A respectful, heartfelt tribute to express your condolences and share your support with those who are grieving.&lt;/p&gt;</t>
        </is>
      </c>
      <c r="P115" s="29" t="inlineStr">
        <is>
          <t>ok</t>
        </is>
      </c>
      <c r="Q115" s="30" t="inlineStr">
        <is>
          <t>Fairest Sentiments brings together 5 white alstroemeria, 5 white roses, 4 white cushion chrysanthemums and 3 white Fuji spider chrysanthemums. It is made to honour a life and offer comfort to the family.
White flowers carry remembrance and calm. We hand-arrange each tribute with care, from the team at Aussie Blooms.</t>
        </is>
      </c>
      <c r="R115" s="30" t="inlineStr">
        <is>
          <t>&lt;p&gt;Fairest Sentiments brings together 5 white alstroemeria, 5 white roses, 4 white cushion chrysanthemums and 3 white Fuji spider chrysanthemums. It is made to honour a life and offer comfort to the family.&lt;/p&gt;&lt;p&gt;White flowers carry remembrance and calm. We hand-arrange each tribute with care, from the team at Aussie Blooms.&lt;/p&gt;</t>
        </is>
      </c>
      <c r="S115" s="29" t="inlineStr">
        <is>
          <t>ok</t>
        </is>
      </c>
      <c r="T115" s="30" t="inlineStr">
        <is>
          <t>The bunch holds: 5 white alstroemeria, 5 white roses, 4 white cushion chrysanthemums and 3 white Fuji spider chrysanthemums. Quiet and respectful, a way to say you are there for the family.</t>
        </is>
      </c>
      <c r="U115" s="30" t="inlineStr">
        <is>
          <t>&lt;p&gt;The bunch holds: 5 white alstroemeria, 5 white roses, 4 white cushion chrysanthemums and 3 white Fuji spider chrysanthemums. Quiet and respectful, a way to say you are there for the family.&lt;/p&gt;</t>
        </is>
      </c>
      <c r="V115" s="29" t="inlineStr">
        <is>
          <t>ok</t>
        </is>
      </c>
      <c r="W115" s="30" t="n"/>
      <c r="X115" s="30" t="inlineStr">
        <is>
          <t>n/a (Mel's: mason jar products only)</t>
        </is>
      </c>
      <c r="Y115" s="30" t="n"/>
      <c r="Z115" s="48" t="inlineStr">
        <is>
          <t>-</t>
        </is>
      </c>
      <c r="AA115" t="n">
        <v>167</v>
      </c>
      <c r="AB115" s="44" t="n">
        <v>4537.1</v>
      </c>
      <c r="AC115" t="n">
        <v>30</v>
      </c>
      <c r="AD115" s="45" t="n">
        <v>0.0005198471399310007</v>
      </c>
      <c r="AE115" s="45" t="n">
        <v>0.008782212120326477</v>
      </c>
      <c r="AF115" t="n">
        <v>13</v>
      </c>
    </row>
    <row r="116" ht="109.5" customHeight="1" s="24">
      <c r="A116" s="30" t="inlineStr">
        <is>
          <t>AL160-26AURP</t>
        </is>
      </c>
      <c r="B116" s="30" t="inlineStr">
        <is>
          <t>Truly Beloved</t>
        </is>
      </c>
      <c r="C116" s="30" t="inlineStr">
        <is>
          <t>Sympathy</t>
        </is>
      </c>
      <c r="D116" s="43" t="inlineStr">
        <is>
          <t>READY TO REVIEW</t>
        </is>
      </c>
      <c r="E116" s="30" t="inlineStr">
        <is>
          <t>Reach out to the family at home with this lovely array of classic blooms artistically arranged. They'll be deeply touched. Vases and sympathy cards are available to enhance your bouquet. A thoughtful tribute crafted with care to honour cherished memories. Why Choose Bloomex Australia? Australia-Wide Delivery — metro and regional Fresh Guaranteed — shipped budding, ready to bloom Same-Day Delivery — order by 2pm Family Owned since 1998 Best Value Guarantee</t>
        </is>
      </c>
      <c r="F116" s="30" t="inlineStr">
        <is>
          <t>Joomla (7 Oct)</t>
        </is>
      </c>
      <c r="G116" s="30" t="inlineStr">
        <is>
          <t>7 × Roses Red; 13 × Carnation Red; 5 × Ruscus Israeli; 6 × Alstroemeria White</t>
        </is>
      </c>
      <c r="H116" s="30" t="inlineStr">
        <is>
          <t>7 × Roses Red; 13 × Carnation Red; 5 × Ruscus Israeli; 6 × Alstroemeria White</t>
        </is>
      </c>
      <c r="I116" s="30" t="inlineStr">
        <is>
          <t>7 × Roses Red; 13 × Carnation Red; 5 × Ruscus Israeli; 6 × Alstroemeria White</t>
        </is>
      </c>
      <c r="J116" s="30" t="inlineStr">
        <is>
          <t>5 × Ruscus Israeli; 6 × Alstroemeria White; 13 × Carnation Red; 7 × Roses Red</t>
        </is>
      </c>
      <c r="K116" s="30" t="inlineStr">
        <is>
          <t>N</t>
        </is>
      </c>
      <c r="L116" s="30" t="n"/>
      <c r="M116" s="30" t="inlineStr">
        <is>
          <t>A sympathy arrangement of 13 red carnations, 7 red roses and 6 white alstroemeria. A respectful, heartfelt tribute to express your condolences and share your support with those who are grieving.</t>
        </is>
      </c>
      <c r="N116" s="30">
        <f>LEN(TRIM(SUBSTITUTE(M116,CHAR(10)," ")))-LEN(SUBSTITUTE(TRIM(SUBSTITUTE(M116,CHAR(10)," "))," ",""))+1</f>
        <v/>
      </c>
      <c r="O116" s="30" t="inlineStr">
        <is>
          <t>&lt;p&gt;A sympathy arrangement of 13 red carnations, 7 red roses and 6 white alstroemeria. A respectful, heartfelt tribute to express your condolences and share your support with those who are grieving.&lt;/p&gt;</t>
        </is>
      </c>
      <c r="P116" s="29" t="inlineStr">
        <is>
          <t>ok</t>
        </is>
      </c>
      <c r="Q116" s="30" t="inlineStr">
        <is>
          <t>Truly Beloved brings together 13 red carnations, 7 red roses and 6 white alstroemeria. It is made to honour a life and offer comfort to the family.
Red flowers carry remembrance and calm. We hand-arrange each tribute with care, from the team at Aussie Blooms.</t>
        </is>
      </c>
      <c r="R116" s="30" t="inlineStr">
        <is>
          <t>&lt;p&gt;Truly Beloved brings together 13 red carnations, 7 red roses and 6 white alstroemeria. It is made to honour a life and offer comfort to the family.&lt;/p&gt;&lt;p&gt;Red flowers carry remembrance and calm. We hand-arrange each tribute with care, from the team at Aussie Blooms.&lt;/p&gt;</t>
        </is>
      </c>
      <c r="S116" s="29" t="inlineStr">
        <is>
          <t>ok</t>
        </is>
      </c>
      <c r="T116" s="30" t="inlineStr">
        <is>
          <t>In this bunch: 13 red carnations, 7 red roses and 6 white alstroemeria. A quiet tribute for the service or the family home, from people who are thinking of them.</t>
        </is>
      </c>
      <c r="U116" s="30" t="inlineStr">
        <is>
          <t>&lt;p&gt;In this bunch: 13 red carnations, 7 red roses and 6 white alstroemeria. A quiet tribute for the service or the family home, from people who are thinking of them.&lt;/p&gt;</t>
        </is>
      </c>
      <c r="V116" s="29" t="inlineStr">
        <is>
          <t>ok</t>
        </is>
      </c>
      <c r="W116" s="30" t="n"/>
      <c r="X116" s="30" t="inlineStr">
        <is>
          <t>n/a (Mel's: mason jar products only)</t>
        </is>
      </c>
      <c r="Y116" s="30" t="n"/>
      <c r="Z116" s="48" t="inlineStr">
        <is>
          <t>-</t>
        </is>
      </c>
      <c r="AA116" t="n">
        <v>207</v>
      </c>
      <c r="AB116" s="44" t="n">
        <v>2387.6</v>
      </c>
      <c r="AC116" t="n">
        <v>15</v>
      </c>
      <c r="AD116" s="45" t="n">
        <v>0.0002735639574396106</v>
      </c>
      <c r="AE116" s="45" t="n">
        <v>0.004621544523702694</v>
      </c>
      <c r="AF116" t="n">
        <v>17</v>
      </c>
    </row>
    <row r="117" ht="109.5" customHeight="1" s="24">
      <c r="A117" s="30" t="inlineStr">
        <is>
          <t>AU11-43</t>
        </is>
      </c>
      <c r="B117" s="30" t="inlineStr">
        <is>
          <t>Warm Embrace</t>
        </is>
      </c>
      <c r="C117" s="30" t="inlineStr">
        <is>
          <t>Sympathy</t>
        </is>
      </c>
      <c r="D117" s="43" t="inlineStr">
        <is>
          <t>READY TO REVIEW</t>
        </is>
      </c>
      <c r="E117" s="30" t="inlineStr">
        <is>
          <t>If you can't see her in person, send her a Warm Embrace instead. This beautiful Mothers Day bouquet features 12 White &amp; Lavender Roses, accented with fresh floral greens - the perfect symbol of your love and appreciation. A thoughtful tribute crafted with care to honour cherished memories. Why Choose Bloomex Australia? Australia-Wide Delivery — metro and regional Fresh Guaranteed — shipped budding, ready to bloom Same-Day Delivery — order by 1pm Family Owned since 1998 Best Value Guarantee</t>
        </is>
      </c>
      <c r="F117" s="30" t="inlineStr">
        <is>
          <t>Joomla (7 Oct)</t>
        </is>
      </c>
      <c r="G117" s="30" t="inlineStr">
        <is>
          <t>6 × Roses White; 6 × Roses Lavender; 2 × Baby's Breath; 3 × Ruscus Israeli</t>
        </is>
      </c>
      <c r="H117" s="30" t="inlineStr">
        <is>
          <t>6 × Roses White; 6 × Roses Lavender; 2 × Baby's Breath; 3 × Ruscus Israeli</t>
        </is>
      </c>
      <c r="I117" s="30" t="inlineStr">
        <is>
          <t>6 × Roses White; 6 × Roses Lavender; 2 × Baby's Breath; 3 × Ruscus Israeli</t>
        </is>
      </c>
      <c r="J117" s="30" t="inlineStr">
        <is>
          <t>2 × Baby's Breath; 3 × Ruscus Israeli; 6 × Roses Lavender; 6 × Roses White</t>
        </is>
      </c>
      <c r="K117" s="30" t="inlineStr">
        <is>
          <t>Y</t>
        </is>
      </c>
      <c r="L117" s="30" t="n"/>
      <c r="M117" s="30" t="inlineStr">
        <is>
          <t>A tribute arrangement of 6 lavender roses and 6 white roses. A respectful, heartfelt tribute to express your condolences and share your support with those who are grieving.</t>
        </is>
      </c>
      <c r="N117" s="30">
        <f>LEN(TRIM(SUBSTITUTE(M117,CHAR(10)," ")))-LEN(SUBSTITUTE(TRIM(SUBSTITUTE(M117,CHAR(10)," "))," ",""))+1</f>
        <v/>
      </c>
      <c r="O117" s="30" t="inlineStr">
        <is>
          <t>&lt;p&gt;A tribute arrangement of 6 lavender roses and 6 white roses. A respectful, heartfelt tribute to express your condolences and share your support with those who are grieving.&lt;/p&gt;</t>
        </is>
      </c>
      <c r="P117" s="29" t="inlineStr">
        <is>
          <t>ok</t>
        </is>
      </c>
      <c r="Q117" s="30" t="inlineStr">
        <is>
          <t>Warm Embrace brings together 6 lavender roses and 6 white roses. It is made to honour a life and offer comfort to the family.
Lavender flowers carry remembrance and calm. We hand-arrange each tribute with care, from the team at Aussie Blooms.</t>
        </is>
      </c>
      <c r="R117" s="30" t="inlineStr">
        <is>
          <t>&lt;p&gt;Warm Embrace brings together 6 lavender roses and 6 white roses. It is made to honour a life and offer comfort to the family.&lt;/p&gt;&lt;p&gt;Lavender flowers carry remembrance and calm. We hand-arrange each tribute with care, from the team at Aussie Blooms.&lt;/p&gt;</t>
        </is>
      </c>
      <c r="S117" s="29" t="inlineStr">
        <is>
          <t>ok</t>
        </is>
      </c>
      <c r="T117" s="30" t="inlineStr">
        <is>
          <t>The bunch holds: 6 lavender roses and 6 white roses. Quiet and respectful, a way to say you are there for the family.</t>
        </is>
      </c>
      <c r="U117" s="30" t="inlineStr">
        <is>
          <t>&lt;p&gt;The bunch holds: 6 lavender roses and 6 white roses. Quiet and respectful, a way to say you are there for the family.&lt;/p&gt;</t>
        </is>
      </c>
      <c r="V117" s="29" t="inlineStr">
        <is>
          <t>ok</t>
        </is>
      </c>
      <c r="W117" s="30" t="n"/>
      <c r="X117" s="30" t="inlineStr">
        <is>
          <t>n/a (Mel's: mason jar products only)</t>
        </is>
      </c>
      <c r="Y117" s="30" t="n"/>
      <c r="Z117" s="48" t="inlineStr">
        <is>
          <t>-</t>
        </is>
      </c>
      <c r="AA117" t="n">
        <v>7</v>
      </c>
      <c r="AB117" s="44" t="n">
        <v>230901.73</v>
      </c>
      <c r="AC117" t="n">
        <v>2508</v>
      </c>
      <c r="AD117" s="45" t="n">
        <v>0.02645601891643848</v>
      </c>
      <c r="AE117" s="45" t="n">
        <v>0.4469436342659715</v>
      </c>
      <c r="AF117" t="n">
        <v>1</v>
      </c>
    </row>
    <row r="118" ht="109.5" customHeight="1" s="24">
      <c r="A118" s="30" t="inlineStr">
        <is>
          <t>AU100-599</t>
        </is>
      </c>
      <c r="B118" s="30" t="inlineStr">
        <is>
          <t>Deep in Our Hearts Spray</t>
        </is>
      </c>
      <c r="C118" s="30" t="inlineStr">
        <is>
          <t>Sympathy</t>
        </is>
      </c>
      <c r="D118" s="43" t="inlineStr">
        <is>
          <t>READY TO REVIEW</t>
        </is>
      </c>
      <c r="E118" s="30" t="inlineStr">
        <is>
          <t>This elegant, lovely spray contains roses, carnations and other rich red flowers to convey sympathy during loss. It is sure to convey your meaning of support and care when times are difficult. Easel is not included. Sorry not Available for Same Day Delivery A thoughtful tribute crafted with care to honour cherished memories. Why Choose Bloomex Australia? Australia-Wide Delivery — metro and regional Fresh Guaranteed — shipped budding, ready to bloom Same-Day Delivery — order by 1pm Family Owned since 1998 Best Value Guarantee</t>
        </is>
      </c>
      <c r="F118" s="30" t="inlineStr">
        <is>
          <t>Joomla (7 Oct)</t>
        </is>
      </c>
      <c r="G118" s="30" t="inlineStr">
        <is>
          <t>12 × Roses Red; 12 × Carnation Red; 10 × Ruscus Israeli; 8 × Roses Spray Red; 1 × Casket saddle single green; 5 × Leather Fern; 11 × Mini Carnations Red 1 x Large Box</t>
        </is>
      </c>
      <c r="H118" s="30" t="inlineStr">
        <is>
          <t>12 × Roses Red; 12 × Carnation Red; 10 × Ruscus Israeli; 8 × Roses Spray Red; 1 × Casket saddle single green; 5 × Leather Fern; 11 × Mini Carnations Red</t>
        </is>
      </c>
      <c r="I118" s="31" t="inlineStr">
        <is>
          <t>12 × Roses Red; 12 × Carnation Red; 10 × Ruscus Israeli; 8 × Roses Spray Red; 1 × Casket saddle single green; 5 × Leather Fern; 11 × Mini Carnations Red</t>
        </is>
      </c>
      <c r="J118" s="30" t="inlineStr">
        <is>
          <t>11 × Mini Carnations Red; 5 × Leather Fern; 1 × Casket saddle single green; 8 × Roses Spray Red; 12 × Carnation Red; 12 × Roses Red; 10 × Ruscus Israeli</t>
        </is>
      </c>
      <c r="K118" s="30" t="inlineStr">
        <is>
          <t>Y</t>
        </is>
      </c>
      <c r="L118" s="30" t="n"/>
      <c r="M118" s="30" t="inlineStr">
        <is>
          <t>A sympathy arrangement of 12 red carnations, 12 red roses and 8 red spray roses. A respectful, heartfelt tribute to express your condolences and share your support with those who are grieving.</t>
        </is>
      </c>
      <c r="N118" s="30">
        <f>LEN(TRIM(SUBSTITUTE(M118,CHAR(10)," ")))-LEN(SUBSTITUTE(TRIM(SUBSTITUTE(M118,CHAR(10)," "))," ",""))+1</f>
        <v/>
      </c>
      <c r="O118" s="30" t="inlineStr">
        <is>
          <t>&lt;p&gt;A sympathy arrangement of 12 red carnations, 12 red roses and 8 red spray roses. A respectful, heartfelt tribute to express your condolences and share your support with those who are grieving.&lt;/p&gt;</t>
        </is>
      </c>
      <c r="P118" s="29" t="inlineStr">
        <is>
          <t>ok</t>
        </is>
      </c>
      <c r="Q118" s="30" t="inlineStr">
        <is>
          <t>Deep in Our Hearts Spray brings together 12 red carnations, 12 red roses and 8 red spray roses. It is made to honour a life and offer comfort to the family.
Red flowers carry remembrance and calm. We hand-arrange each tribute with care, from the team at Aussie Blooms.</t>
        </is>
      </c>
      <c r="R118" s="30" t="inlineStr">
        <is>
          <t>&lt;p&gt;Deep in Our Hearts Spray brings together 12 red carnations, 12 red roses and 8 red spray roses. It is made to honour a life and offer comfort to the family.&lt;/p&gt;&lt;p&gt;Red flowers carry remembrance and calm. We hand-arrange each tribute with care, from the team at Aussie Blooms.&lt;/p&gt;</t>
        </is>
      </c>
      <c r="S118" s="29" t="inlineStr">
        <is>
          <t>ok</t>
        </is>
      </c>
      <c r="T118" s="30" t="inlineStr">
        <is>
          <t>Inside the bunch: 12 red carnations, 12 red roses and 8 red spray roses. Simple flowers for a hard day, sent to the service or the family home.</t>
        </is>
      </c>
      <c r="U118" s="30" t="inlineStr">
        <is>
          <t>&lt;p&gt;Inside the bunch: 12 red carnations, 12 red roses and 8 red spray roses. Simple flowers for a hard day, sent to the service or the family home.&lt;/p&gt;</t>
        </is>
      </c>
      <c r="V118" s="29" t="inlineStr">
        <is>
          <t>ok</t>
        </is>
      </c>
      <c r="W118" s="30" t="n"/>
      <c r="X118" s="30" t="inlineStr">
        <is>
          <t>n/a (Mel's: mason jar products only)</t>
        </is>
      </c>
      <c r="Y118" s="30" t="n"/>
      <c r="Z118" s="48" t="inlineStr">
        <is>
          <t>-</t>
        </is>
      </c>
      <c r="AA118" t="inlineStr">
        <is>
          <t>no sales</t>
        </is>
      </c>
      <c r="AB118" s="44" t="n">
        <v>0</v>
      </c>
      <c r="AC118" t="n">
        <v>0</v>
      </c>
      <c r="AD118" s="45" t="n">
        <v>0</v>
      </c>
      <c r="AE118" s="45" t="n">
        <v>0</v>
      </c>
      <c r="AF118" t="inlineStr">
        <is>
          <t>no sales</t>
        </is>
      </c>
    </row>
    <row r="119" ht="109.5" customHeight="1" s="24">
      <c r="A119" s="30" t="inlineStr">
        <is>
          <t>AU100-555</t>
        </is>
      </c>
      <c r="B119" s="30" t="inlineStr">
        <is>
          <t>Deepest Faith</t>
        </is>
      </c>
      <c r="C119" s="30" t="inlineStr">
        <is>
          <t>Sympathy</t>
        </is>
      </c>
      <c r="D119" s="43" t="inlineStr">
        <is>
          <t>READY TO REVIEW</t>
        </is>
      </c>
      <c r="E119" s="30" t="inlineStr">
        <is>
          <t>This lovely sympathy arrangement will convey elegance, pride, caring and deep faith in a beautiful display that is sure to be admired. It will provide meaning and support along with your heartfelt sentiments to the recipient. Easel is not included. Sorry not Available for Same Day Delivery A thoughtful tribute crafted with care to honour cherished memories. Why Choose Bloomex Australia? Australia-Wide Delivery — metro and regional Fresh Guaranteed — shipped budding, ready to bloom Same-Day Delivery — order by 2pm Family Owned since 1998 Best Value Guarantee</t>
        </is>
      </c>
      <c r="F119" s="30" t="inlineStr">
        <is>
          <t>Joomla (7 Oct)</t>
        </is>
      </c>
      <c r="G119" s="30" t="inlineStr">
        <is>
          <t>11 × Roses Lavender; 6 × Chrysanthemum button purple; 13 × Carnation Fuscia; 21 × Carnation Purple; 10 × Carnation Lavender; 8 × Ruscus Israeli; 1 × 30" Cross; 9 × Chrysanthemum cushion lavender</t>
        </is>
      </c>
      <c r="H119" s="30" t="inlineStr">
        <is>
          <t>11 × Roses Lavender; 6 × Chrysanthemum button purple; 13 × Carnation Fuscia; 21 × Carnation Purple; 10 × Carnation Lavender; 8 × Ruscus Israeli; 1 × 30" Cross; 9 × Chrysanthemum cushion lavender</t>
        </is>
      </c>
      <c r="I119" s="30" t="inlineStr">
        <is>
          <t>11 × Roses Lavender; 6 × Chrysanthemum button purple; 13 × Carnation Fuscia; 21 × Carnation Purple; 10 × Carnation Lavender; 8 × Ruscus Israeli; 1 × 30" Cross; 9 × Chrysanthemum cushion lavender</t>
        </is>
      </c>
      <c r="J119" s="30" t="inlineStr">
        <is>
          <t>13 × Carnation Fuscia; 8 × Ruscus Israeli; 21 × Carnation Purple; 6 × Chrysanthemum button purple; 9 × Chrysanthemum cushion lavender; 11 × Roses Lavender; 1 × 30" Cross; 10 × Carnation Lavender</t>
        </is>
      </c>
      <c r="K119" s="30" t="inlineStr">
        <is>
          <t>N</t>
        </is>
      </c>
      <c r="L119" s="30" t="n"/>
      <c r="M119" s="30" t="inlineStr">
        <is>
          <t>A sympathy arrangement of 21 purple carnations, 13 fuchsia carnations, 11 lavender roses, 10 lavender carnations and 9 lavender cushion chrysanthemums, arranged on a 30-inch cross form. A respectful, heartfelt tribute to express your condolences and share your support with those who are grieving.</t>
        </is>
      </c>
      <c r="N119" s="30">
        <f>LEN(TRIM(SUBSTITUTE(M119,CHAR(10)," ")))-LEN(SUBSTITUTE(TRIM(SUBSTITUTE(M119,CHAR(10)," "))," ",""))+1</f>
        <v/>
      </c>
      <c r="O119" s="30" t="inlineStr">
        <is>
          <t>&lt;p&gt;A sympathy arrangement of 21 purple carnations, 13 fuchsia carnations, 11 lavender roses, 10 lavender carnations and 9 lavender cushion chrysanthemums, arranged on a 30-inch cross form. A respectful, heartfelt tribute to express your condolences and share your support with those who are grieving.&lt;/p&gt;</t>
        </is>
      </c>
      <c r="P119" s="29" t="inlineStr">
        <is>
          <t>ok</t>
        </is>
      </c>
      <c r="Q119" s="30" t="inlineStr">
        <is>
          <t>Deepest Faith brings together 21 purple carnations, 13 fuchsia carnations, 11 lavender roses, 10 lavender carnations and 9 lavender cushion chrysanthemums, arranged on a 30-inch cross form. It is made to honour a life and offer comfort to the family.
Lavender flowers carry remembrance and calm. We hand-arrange each tribute with care, from the team at Aussie Blooms.</t>
        </is>
      </c>
      <c r="R119" s="30" t="inlineStr">
        <is>
          <t>&lt;p&gt;Deepest Faith brings together 21 purple carnations, 13 fuchsia carnations, 11 lavender roses, 10 lavender carnations and 9 lavender cushion chrysanthemums, arranged on a 30-inch cross form. It is made to honour a life and offer comfort to the family.&lt;/p&gt;&lt;p&gt;Lavender flowers carry remembrance and calm. We hand-arrange each tribute with care, from the team at Aussie Blooms.&lt;/p&gt;</t>
        </is>
      </c>
      <c r="S119" s="29" t="inlineStr">
        <is>
          <t>ok</t>
        </is>
      </c>
      <c r="T119" s="30" t="inlineStr">
        <is>
          <t>Inside the bunch: 21 purple carnations, 13 fuchsia carnations, 11 lavender roses, 10 lavender carnations and 9 lavender cushion chrysanthemums, on a 30-inch cross form. Simple flowers for a hard day, sent to the service or the family home.</t>
        </is>
      </c>
      <c r="U119" s="30" t="inlineStr">
        <is>
          <t>&lt;p&gt;Inside the bunch: 21 purple carnations, 13 fuchsia carnations, 11 lavender roses, 10 lavender carnations and 9 lavender cushion chrysanthemums, on a 30-inch cross form. Simple flowers for a hard day, sent to the service or the family home.&lt;/p&gt;</t>
        </is>
      </c>
      <c r="V119" s="29" t="inlineStr">
        <is>
          <t>ok</t>
        </is>
      </c>
      <c r="W119" s="30" t="n"/>
      <c r="X119" s="30" t="inlineStr">
        <is>
          <t>n/a (Mel's: mason jar products only)</t>
        </is>
      </c>
      <c r="Y119" s="30" t="n"/>
      <c r="Z119" s="48" t="inlineStr">
        <is>
          <t>-</t>
        </is>
      </c>
      <c r="AA119" t="inlineStr">
        <is>
          <t>no sales</t>
        </is>
      </c>
      <c r="AB119" s="44" t="n">
        <v>0</v>
      </c>
      <c r="AC119" t="n">
        <v>0</v>
      </c>
      <c r="AD119" s="45" t="n">
        <v>0</v>
      </c>
      <c r="AE119" s="45" t="n">
        <v>0</v>
      </c>
      <c r="AF119" t="inlineStr">
        <is>
          <t>no sales</t>
        </is>
      </c>
    </row>
    <row r="120" ht="109.5" customHeight="1" s="24">
      <c r="A120" s="30" t="inlineStr">
        <is>
          <t>AU100-577</t>
        </is>
      </c>
      <c r="B120" s="30" t="inlineStr">
        <is>
          <t>Garden of Grandeur Casket Spray</t>
        </is>
      </c>
      <c r="C120" s="30" t="inlineStr">
        <is>
          <t>Sympathy</t>
        </is>
      </c>
      <c r="D120" s="43" t="inlineStr">
        <is>
          <t>READY TO REVIEW</t>
        </is>
      </c>
      <c r="E120" s="30" t="inlineStr">
        <is>
          <t>This enduring tribute shows your endless love and commitment. This stunning white and red casket spray works equally well for a closed casket or a full couch, showcasing dozens of rich red roses along with the purity of white blooms. Sorry not Available for Same Day Delivery A thoughtful tribute crafted with care to honour cherished memories. Why Choose Bloomex Australia? Australia-Wide Delivery — metro and regional Fresh Guaranteed — shipped budding, ready to bloom Same-Day Delivery — order by 1pm Family Owned since 1998 Best Value Guarantee</t>
        </is>
      </c>
      <c r="F120" s="30" t="inlineStr">
        <is>
          <t>Joomla (7 Oct)</t>
        </is>
      </c>
      <c r="G120" s="30" t="inlineStr">
        <is>
          <t>45 × Roses Red; 5 × Roses Spray Red; 40 × Carnation Red; 12 × Ruscus Israeli; 1 × Casket saddle double black; 10 × Mini Carnations White; 6 × Baby's Breath; 1 × Large Box; 10 × Leather Fern</t>
        </is>
      </c>
      <c r="H120" s="30" t="inlineStr">
        <is>
          <t>45 × Roses Red; 5 × Roses Spray Red; 40 × Carnation Red; 12 × Ruscus Israeli; 10 × Mini Carnations White; 6 × Baby's Breath; 10 × Leather Fern</t>
        </is>
      </c>
      <c r="I120" s="31" t="inlineStr">
        <is>
          <t>45 × Roses Red; 5 × Roses Spray Red; 40 × Carnation Red; 12 × Ruscus Israeli; 10 × Mini Carnations White; 6 × Baby's Breath; 10 × Leather Fern</t>
        </is>
      </c>
      <c r="J120" s="30" t="inlineStr">
        <is>
          <t>12 × Ruscus Israeli; 10 × Leather Fern; 6 × Baby's Breath; 40 × Carnation Red; 5 × Roses Spray Red; 45 × Roses Red; 10 × Mini Carnations White</t>
        </is>
      </c>
      <c r="K120" s="30" t="inlineStr">
        <is>
          <t>Y</t>
        </is>
      </c>
      <c r="L120" s="30" t="n"/>
      <c r="M120" s="30" t="inlineStr">
        <is>
          <t>A tribute arrangement of 45 red roses, 40 red carnations and 5 red spray roses. A respectful, heartfelt tribute to express your condolences and share your support with those who are grieving.</t>
        </is>
      </c>
      <c r="N120" s="30">
        <f>LEN(TRIM(SUBSTITUTE(M120,CHAR(10)," ")))-LEN(SUBSTITUTE(TRIM(SUBSTITUTE(M120,CHAR(10)," "))," ",""))+1</f>
        <v/>
      </c>
      <c r="O120" s="30" t="inlineStr">
        <is>
          <t>&lt;p&gt;A tribute arrangement of 45 red roses, 40 red carnations and 5 red spray roses. A respectful, heartfelt tribute to express your condolences and share your support with those who are grieving.&lt;/p&gt;</t>
        </is>
      </c>
      <c r="P120" s="29" t="inlineStr">
        <is>
          <t>ok</t>
        </is>
      </c>
      <c r="Q120" s="30" t="inlineStr">
        <is>
          <t>Garden of Grandeur Casket Spray brings together 45 red roses, 40 red carnations and 5 red spray roses. It is made to honour a life and offer comfort to the family.
Red flowers carry remembrance and calm. We hand-arrange each tribute with care, from the team at Aussie Blooms.</t>
        </is>
      </c>
      <c r="R120" s="30" t="inlineStr">
        <is>
          <t>&lt;p&gt;Garden of Grandeur Casket Spray brings together 45 red roses, 40 red carnations and 5 red spray roses. It is made to honour a life and offer comfort to the family.&lt;/p&gt;&lt;p&gt;Red flowers carry remembrance and calm. We hand-arrange each tribute with care, from the team at Aussie Blooms.&lt;/p&gt;</t>
        </is>
      </c>
      <c r="S120" s="29" t="inlineStr">
        <is>
          <t>ok</t>
        </is>
      </c>
      <c r="T120" s="30" t="inlineStr">
        <is>
          <t>The bunch holds: 45 red roses, 40 red carnations and 5 red spray roses. Quiet and respectful, a way to say you are there for the family.</t>
        </is>
      </c>
      <c r="U120" s="30" t="inlineStr">
        <is>
          <t>&lt;p&gt;The bunch holds: 45 red roses, 40 red carnations and 5 red spray roses. Quiet and respectful, a way to say you are there for the family.&lt;/p&gt;</t>
        </is>
      </c>
      <c r="V120" s="29" t="inlineStr">
        <is>
          <t>ok</t>
        </is>
      </c>
      <c r="W120" s="30" t="n"/>
      <c r="X120" s="30" t="inlineStr">
        <is>
          <t>n/a (Mel's: mason jar products only)</t>
        </is>
      </c>
      <c r="Y120" s="30" t="n"/>
      <c r="Z120" s="48" t="inlineStr">
        <is>
          <t>-</t>
        </is>
      </c>
      <c r="AA120" t="n">
        <v>223</v>
      </c>
      <c r="AB120" s="44" t="n">
        <v>1295.37</v>
      </c>
      <c r="AC120" t="n">
        <v>2</v>
      </c>
      <c r="AD120" s="45" t="n">
        <v>0.0001484195608764234</v>
      </c>
      <c r="AE120" s="45" t="n">
        <v>0.002507375661613653</v>
      </c>
      <c r="AF120" t="n">
        <v>19</v>
      </c>
    </row>
    <row r="121" ht="109.5" customHeight="1" s="24">
      <c r="A121" s="30" t="inlineStr">
        <is>
          <t>AU100-545</t>
        </is>
      </c>
      <c r="B121" s="30" t="inlineStr">
        <is>
          <t>Gentle Thoughts Spray</t>
        </is>
      </c>
      <c r="C121" s="30" t="inlineStr">
        <is>
          <t>Sympathy</t>
        </is>
      </c>
      <c r="D121" s="43" t="inlineStr">
        <is>
          <t>READY TO REVIEW</t>
        </is>
      </c>
      <c r="E121" s="30" t="inlineStr">
        <is>
          <t>This exquisite spray with its pink and white flowers is sure to convey your heartfelt sympathy with gentle dignity to all who attend the service. Sorry, not available for Same Day Delivery A thoughtful tribute crafted with care to honour cherished memories. Why Choose Bloomex Australia? Australia-Wide Delivery — metro and regional Fresh Guaranteed — shipped budding, ready to bloom Same-Day Delivery — order by 1pm Family Owned since 1998 Best Value Guarantee</t>
        </is>
      </c>
      <c r="F121" s="30" t="inlineStr">
        <is>
          <t>Joomla (7 Oct)</t>
        </is>
      </c>
      <c r="G121" s="30" t="inlineStr">
        <is>
          <t>8 × Roses Peach; 10 × Chrysanthemum Daisies White; 8 × Carnation Pink; 5 × Ruscus Israeli; 10 × Leather Fern; 1 × Casket Saddle Single; 1 × Large Box; 10 × Mini Carnation White</t>
        </is>
      </c>
      <c r="H121" s="30" t="inlineStr">
        <is>
          <t>8 × Roses Peach; 10 × Chrysanthemum Daisies White; 8 × Carnation Pink; 5 × Ruscus Israeli; 10 × Leather Fern; 1 × Casket saddle single green; 10 × Mini Carnations White</t>
        </is>
      </c>
      <c r="I121" s="31" t="inlineStr">
        <is>
          <t>8 × Roses Peach; 10 × Chrysanthemum Daisies White; 8 × Carnation Pink; 5 × Ruscus Israeli; 10 × Leather Fern; 1 × Casket saddle single green; 10 × Mini Carnations White</t>
        </is>
      </c>
      <c r="J121" s="30" t="inlineStr">
        <is>
          <t>10 × Mini Carnations White; 1 × Casket saddle single green; 10 × Leather Fern; 5 × Ruscus Israeli; 8 × Roses Peach; 8 × Carnation Pink; 10 × Chrysanthemum Daisies White</t>
        </is>
      </c>
      <c r="K121" s="30" t="inlineStr">
        <is>
          <t>Y</t>
        </is>
      </c>
      <c r="L121" s="30" t="n"/>
      <c r="M121" s="30" t="inlineStr">
        <is>
          <t>A sympathy arrangement of 10 white chrysanthemum daisies, 8 peach roses and 8 pink carnations. A respectful, heartfelt tribute to express your condolences and share your support with those who are grieving.</t>
        </is>
      </c>
      <c r="N121" s="30">
        <f>LEN(TRIM(SUBSTITUTE(M121,CHAR(10)," ")))-LEN(SUBSTITUTE(TRIM(SUBSTITUTE(M121,CHAR(10)," "))," ",""))+1</f>
        <v/>
      </c>
      <c r="O121" s="30" t="inlineStr">
        <is>
          <t>&lt;p&gt;A sympathy arrangement of 10 white chrysanthemum daisies, 8 peach roses and 8 pink carnations. A respectful, heartfelt tribute to express your condolences and share your support with those who are grieving.&lt;/p&gt;</t>
        </is>
      </c>
      <c r="P121" s="29" t="inlineStr">
        <is>
          <t>ok</t>
        </is>
      </c>
      <c r="Q121" s="30" t="inlineStr">
        <is>
          <t>Gentle Thoughts Spray brings together 10 white chrysanthemum daisies, 8 peach roses and 8 pink carnations. It is made to honour a life and offer comfort to the family.
White flowers carry remembrance and calm. We hand-arrange each tribute with care, from the team at Aussie Blooms.</t>
        </is>
      </c>
      <c r="R121" s="30" t="inlineStr">
        <is>
          <t>&lt;p&gt;Gentle Thoughts Spray brings together 10 white chrysanthemum daisies, 8 peach roses and 8 pink carnations. It is made to honour a life and offer comfort to the family.&lt;/p&gt;&lt;p&gt;White flowers carry remembrance and calm. We hand-arrange each tribute with care, from the team at Aussie Blooms.&lt;/p&gt;</t>
        </is>
      </c>
      <c r="S121" s="29" t="inlineStr">
        <is>
          <t>ok</t>
        </is>
      </c>
      <c r="T121" s="30" t="inlineStr">
        <is>
          <t>Inside the bunch: 10 white chrysanthemum daisies, 8 peach roses and 8 pink carnations. Simple flowers for a hard day, sent to the service or the family home.</t>
        </is>
      </c>
      <c r="U121" s="30" t="inlineStr">
        <is>
          <t>&lt;p&gt;Inside the bunch: 10 white chrysanthemum daisies, 8 peach roses and 8 pink carnations. Simple flowers for a hard day, sent to the service or the family home.&lt;/p&gt;</t>
        </is>
      </c>
      <c r="V121" s="29" t="inlineStr">
        <is>
          <t>ok</t>
        </is>
      </c>
      <c r="W121" s="30" t="n"/>
      <c r="X121" s="30" t="inlineStr">
        <is>
          <t>n/a (Mel's: mason jar products only)</t>
        </is>
      </c>
      <c r="Y121" s="30" t="n"/>
      <c r="Z121" s="48" t="inlineStr">
        <is>
          <t>-</t>
        </is>
      </c>
      <c r="AA121" t="n">
        <v>82</v>
      </c>
      <c r="AB121" s="44" t="n">
        <v>20968.89</v>
      </c>
      <c r="AC121" t="n">
        <v>107</v>
      </c>
      <c r="AD121" s="45" t="n">
        <v>0.002402551738781989</v>
      </c>
      <c r="AE121" s="45" t="n">
        <v>0.04058831410103208</v>
      </c>
      <c r="AF121" t="n">
        <v>7</v>
      </c>
    </row>
    <row r="122" ht="109.5" customHeight="1" s="24">
      <c r="A122" s="30" t="inlineStr">
        <is>
          <t>LF100-578</t>
        </is>
      </c>
      <c r="B122" s="30" t="inlineStr">
        <is>
          <t>Golden Garden Casket Spray</t>
        </is>
      </c>
      <c r="C122" s="30" t="inlineStr">
        <is>
          <t>Sympathy</t>
        </is>
      </c>
      <c r="D122" s="43" t="inlineStr">
        <is>
          <t>READY TO REVIEW</t>
        </is>
      </c>
      <c r="E122" s="30" t="inlineStr">
        <is>
          <t>A bright display of sunshine will warm hearts in even the darkest times, especially when the sunshine is delivered in such a lovely arrangement. This casket spray will provide a generous array of bright yellow blooms. HEY MINAS Sorry not Available for Same Day Delivery A thoughtful tribute crafted with care to honour cherished memories. Why Choose Bloomex Australia? Australia-Wide Delivery — metro and regional Fresh Guaranteed — shipped budding, ready to bloom Same-Day Delivery — order by 1pm Family Owned since 1998 Best Value Guarantee</t>
        </is>
      </c>
      <c r="F122" s="30" t="inlineStr">
        <is>
          <t>Joomla (7 Oct)</t>
        </is>
      </c>
      <c r="G122" s="30" t="inlineStr">
        <is>
          <t>30 × Roses Yellow; 10 × Baby's Breath; 10 × Chrysanthemum Daisies Yellow; 15 × Chrysanthemum Spray yellow; 30 × Carnation Yellow; 13 × Ruscus Israeli; 1 × Casket Saddle Single; 1 × Large Box</t>
        </is>
      </c>
      <c r="H122" s="30" t="inlineStr">
        <is>
          <t>30 × Roses Yellow; 10 × Baby's Breath; 10 × Chrysanthemum Daisies Yellow; 15 × Chrysanthemum Spray yellow; 30 × Carnation Yellow; 13 × Ruscus Israeli; 1 × Casket saddle single green</t>
        </is>
      </c>
      <c r="I122" s="31" t="inlineStr">
        <is>
          <t>30 × Roses Yellow; 10 × Baby's Breath; 10 × Chrysanthemum Daisies Yellow; 15 × Chrysanthemum Spray yellow; 30 × Carnation Yellow; 13 × Ruscus Israeli; 1 × Casket saddle single green</t>
        </is>
      </c>
      <c r="J122" s="30" t="inlineStr">
        <is>
          <t>10 × Chrysanthemum Daisies Yellow; 1 × Casket saddle single green; 10 × Baby's Breath; 30 × Roses Yellow; 13 × Ruscus Israeli; 15 × Chrysanthemum Spray yellow; 30 × Carnation Yellow</t>
        </is>
      </c>
      <c r="K122" s="30" t="inlineStr">
        <is>
          <t>Y</t>
        </is>
      </c>
      <c r="L122" s="30" t="n"/>
      <c r="M122" s="30" t="inlineStr">
        <is>
          <t>A sympathy arrangement of 30 yellow carnations, 30 yellow roses, 15 yellow spray chrysanthemums and 10 yellow chrysanthemum daisies. A respectful, heartfelt tribute to express your condolences and share your support with those who are grieving.</t>
        </is>
      </c>
      <c r="N122" s="30">
        <f>LEN(TRIM(SUBSTITUTE(M122,CHAR(10)," ")))-LEN(SUBSTITUTE(TRIM(SUBSTITUTE(M122,CHAR(10)," "))," ",""))+1</f>
        <v/>
      </c>
      <c r="O122" s="30" t="inlineStr">
        <is>
          <t>&lt;p&gt;A sympathy arrangement of 30 yellow carnations, 30 yellow roses, 15 yellow spray chrysanthemums and 10 yellow chrysanthemum daisies. A respectful, heartfelt tribute to express your condolences and share your support with those who are grieving.&lt;/p&gt;</t>
        </is>
      </c>
      <c r="P122" s="29" t="inlineStr">
        <is>
          <t>ok</t>
        </is>
      </c>
      <c r="Q122" s="30" t="inlineStr">
        <is>
          <t>Golden Garden Casket Spray brings together 30 yellow carnations, 30 yellow roses, 15 yellow spray chrysanthemums and 10 yellow chrysanthemum daisies. It is made to honour a life and offer comfort to the family.
Yellow flowers carry remembrance and calm. We hand-arrange each tribute with care, from the team at Aussie Blooms.</t>
        </is>
      </c>
      <c r="R122" s="30" t="inlineStr">
        <is>
          <t>&lt;p&gt;Golden Garden Casket Spray brings together 30 yellow carnations, 30 yellow roses, 15 yellow spray chrysanthemums and 10 yellow chrysanthemum daisies. It is made to honour a life and offer comfort to the family.&lt;/p&gt;&lt;p&gt;Yellow flowers carry remembrance and calm. We hand-arrange each tribute with care, from the team at Aussie Blooms.&lt;/p&gt;</t>
        </is>
      </c>
      <c r="S122" s="29" t="inlineStr">
        <is>
          <t>ok</t>
        </is>
      </c>
      <c r="T122" s="30" t="inlineStr">
        <is>
          <t>Inside the bunch: 30 yellow carnations, 30 yellow roses, 15 yellow spray chrysanthemums and 10 yellow chrysanthemum daisies. Simple flowers for a hard day, sent to the service or the family home.</t>
        </is>
      </c>
      <c r="U122" s="30" t="inlineStr">
        <is>
          <t>&lt;p&gt;Inside the bunch: 30 yellow carnations, 30 yellow roses, 15 yellow spray chrysanthemums and 10 yellow chrysanthemum daisies. Simple flowers for a hard day, sent to the service or the family home.&lt;/p&gt;</t>
        </is>
      </c>
      <c r="V122" s="29" t="inlineStr">
        <is>
          <t>ok</t>
        </is>
      </c>
      <c r="W122" s="30" t="n"/>
      <c r="X122" s="30" t="inlineStr">
        <is>
          <t>n/a (Mel's: mason jar products only)</t>
        </is>
      </c>
      <c r="Y122" s="30" t="n"/>
      <c r="Z122" s="48" t="inlineStr">
        <is>
          <t>-</t>
        </is>
      </c>
      <c r="AA122" t="inlineStr">
        <is>
          <t>no sales</t>
        </is>
      </c>
      <c r="AB122" s="44" t="n">
        <v>0</v>
      </c>
      <c r="AC122" t="n">
        <v>0</v>
      </c>
      <c r="AD122" s="45" t="n">
        <v>0</v>
      </c>
      <c r="AE122" s="45" t="n">
        <v>0</v>
      </c>
      <c r="AF122" t="inlineStr">
        <is>
          <t>no sales</t>
        </is>
      </c>
    </row>
    <row r="123" ht="109.5" customHeight="1" s="24">
      <c r="A123" s="30" t="inlineStr">
        <is>
          <t>AU100-571</t>
        </is>
      </c>
      <c r="B123" s="30" t="inlineStr">
        <is>
          <t>Hope &amp; Honour Cross</t>
        </is>
      </c>
      <c r="C123" s="30" t="inlineStr">
        <is>
          <t>Sympathy</t>
        </is>
      </c>
      <c r="D123" s="43" t="inlineStr">
        <is>
          <t>READY TO REVIEW</t>
        </is>
      </c>
      <c r="E123" s="30" t="inlineStr">
        <is>
          <t>Sending a floral cross has been a respected tribute both for funeral services and other commemorations. This distinguished red and white arrangement will honour your lost loved one with grace. Easel not included. A thoughtful tribute crafted with care to honour cherished memories. Why Choose Bloomex Australia? Australia-Wide Delivery — metro and regional Fresh Guaranteed — shipped budding, ready to bloom Same-Day Delivery — order by 1pm Family Owned since 1998 Best Value Guarantee</t>
        </is>
      </c>
      <c r="F123" s="30" t="inlineStr">
        <is>
          <t>Joomla (7 Oct)</t>
        </is>
      </c>
      <c r="G123" s="30" t="inlineStr">
        <is>
          <t>6 × Carnation Red; 20 × Chrysanthemum Daisies White; 10 × Ruscus Israeli; 1 × 20" Cross; 1 × Large Box</t>
        </is>
      </c>
      <c r="H123" s="30" t="inlineStr">
        <is>
          <t>6 × Carnation Red; 20 × Chrysanthemum Daisies White; 10 × Ruscus Israeli; 1 × 20" Cross</t>
        </is>
      </c>
      <c r="I123" s="31" t="inlineStr">
        <is>
          <t>6 × Carnation Red; 20 × Chrysanthemum Daisies White; 10 × Ruscus Israeli; 1 × 20" Cross</t>
        </is>
      </c>
      <c r="J123" s="30" t="inlineStr">
        <is>
          <t>1 × 20" Cross; 6 × Carnation Red; 20 × Chrysanthemum Daisies White; 10 × Ruscus Israeli</t>
        </is>
      </c>
      <c r="K123" s="30" t="inlineStr">
        <is>
          <t>Y</t>
        </is>
      </c>
      <c r="L123" s="30" t="n"/>
      <c r="M123" s="30" t="inlineStr">
        <is>
          <t>A tribute arrangement of 20 white chrysanthemum daisies and 6 red carnations, arranged on a 20-inch cross form. A respectful, heartfelt tribute to express your condolences and share your support with those who are grieving.</t>
        </is>
      </c>
      <c r="N123" s="30">
        <f>LEN(TRIM(SUBSTITUTE(M123,CHAR(10)," ")))-LEN(SUBSTITUTE(TRIM(SUBSTITUTE(M123,CHAR(10)," "))," ",""))+1</f>
        <v/>
      </c>
      <c r="O123" s="30" t="inlineStr">
        <is>
          <t>&lt;p&gt;A tribute arrangement of 20 white chrysanthemum daisies and 6 red carnations, arranged on a 20-inch cross form. A respectful, heartfelt tribute to express your condolences and share your support with those who are grieving.&lt;/p&gt;</t>
        </is>
      </c>
      <c r="P123" s="29" t="inlineStr">
        <is>
          <t>ok</t>
        </is>
      </c>
      <c r="Q123" s="30" t="inlineStr">
        <is>
          <t>Hope &amp; Honour Cross brings together 20 white chrysanthemum daisies and 6 red carnations, arranged on a 20-inch cross form. It is made to honour a life and offer comfort to the family.
White flowers carry remembrance and calm. We hand-arrange each tribute with care, from the team at Aussie Blooms.</t>
        </is>
      </c>
      <c r="R123" s="30" t="inlineStr">
        <is>
          <t>&lt;p&gt;Hope &amp;amp; Honour Cross brings together 20 white chrysanthemum daisies and 6 red carnations, arranged on a 20-inch cross form. It is made to honour a life and offer comfort to the family.&lt;/p&gt;&lt;p&gt;White flowers carry remembrance and calm. We hand-arrange each tribute with care, from the team at Aussie Blooms.&lt;/p&gt;</t>
        </is>
      </c>
      <c r="S123" s="29" t="inlineStr">
        <is>
          <t>ok</t>
        </is>
      </c>
      <c r="T123" s="30" t="inlineStr">
        <is>
          <t>Inside the bunch: 20 white chrysanthemum daisies and 6 red carnations, on a 20-inch cross form. Simple flowers for a hard day, sent to the service or the family home.</t>
        </is>
      </c>
      <c r="U123" s="30" t="inlineStr">
        <is>
          <t>&lt;p&gt;Inside the bunch: 20 white chrysanthemum daisies and 6 red carnations, on a 20-inch cross form. Simple flowers for a hard day, sent to the service or the family home.&lt;/p&gt;</t>
        </is>
      </c>
      <c r="V123" s="29" t="inlineStr">
        <is>
          <t>ok</t>
        </is>
      </c>
      <c r="W123" s="30" t="n"/>
      <c r="X123" s="30" t="inlineStr">
        <is>
          <t>n/a (Mel's: mason jar products only)</t>
        </is>
      </c>
      <c r="Y123" s="30" t="n"/>
      <c r="Z123" s="48" t="inlineStr">
        <is>
          <t>-</t>
        </is>
      </c>
      <c r="AA123" t="n">
        <v>138</v>
      </c>
      <c r="AB123" s="44" t="n">
        <v>7353.34</v>
      </c>
      <c r="AC123" t="n">
        <v>30</v>
      </c>
      <c r="AD123" s="45" t="n">
        <v>0.0008425233668952029</v>
      </c>
      <c r="AE123" s="45" t="n">
        <v>0.01423345125143406</v>
      </c>
      <c r="AF123" t="n">
        <v>11</v>
      </c>
    </row>
    <row r="124" ht="109.5" customHeight="1" s="24">
      <c r="A124" s="30" t="inlineStr">
        <is>
          <t>AU100-557</t>
        </is>
      </c>
      <c r="B124" s="30" t="inlineStr">
        <is>
          <t>Pink Tribute Spray</t>
        </is>
      </c>
      <c r="C124" s="30" t="inlineStr">
        <is>
          <t>Sympathy</t>
        </is>
      </c>
      <c r="D124" s="43" t="inlineStr">
        <is>
          <t>READY TO REVIEW</t>
        </is>
      </c>
      <c r="E124" s="30" t="inlineStr">
        <is>
          <t>This pretty spray with its luxurious presentation of pink flowers and rich greens, will let you beautifully express your heartfelt sympathy. Easel is not included. A thoughtful tribute crafted with care to honour cherished memories. Why Choose Bloomex Australia? Australia-Wide Delivery — metro and regional Fresh Guaranteed — shipped budding, ready to bloom Same-Day Delivery — order by 1pm Family Owned since 1998 Best Value Guarantee</t>
        </is>
      </c>
      <c r="F124" s="30" t="inlineStr">
        <is>
          <t>Joomla (7 Oct)</t>
        </is>
      </c>
      <c r="G124" s="30" t="inlineStr">
        <is>
          <t>14 × Carnations Hot Pink; 10 × Alstroemeria Pink; 1 × Casket Saddloe Single; 10 × Mini Carnations Pink; 10 × Ruscus Israeli; 10 × Leather Fern; 1 × Large Box</t>
        </is>
      </c>
      <c r="H124" s="30" t="inlineStr">
        <is>
          <t>14 × Carnations Hot Pink; 10 × Alstroemeria Pink; 1 × Casket saddle single green; 10 × Mini Carnations Pink; 10 × Ruscus Israeli; 10 × Leather Fern</t>
        </is>
      </c>
      <c r="I124" s="31" t="inlineStr">
        <is>
          <t>14 × Carnations Hot Pink; 10 × Alstroemeria Pink; 1 × Casket saddle single green; 10 × Mini Carnations Pink; 10 × Ruscus Israeli; 10 × Leather Fern</t>
        </is>
      </c>
      <c r="J124" s="30" t="inlineStr">
        <is>
          <t>10 × Leather Fern; 1 × Casket saddle single green; 10 × Ruscus Israeli; 10 × Mini Carnations Pink; 14 × Carnations Hot Pink; 10 × Alstroemeria Pink</t>
        </is>
      </c>
      <c r="K124" s="30" t="inlineStr">
        <is>
          <t>Y</t>
        </is>
      </c>
      <c r="L124" s="30" t="n"/>
      <c r="M124" s="30" t="inlineStr">
        <is>
          <t>A tribute arrangement of 14 hot pink carnations and 10 pink alstroemeria. A respectful, heartfelt tribute to express your condolences and share your support with those who are grieving.</t>
        </is>
      </c>
      <c r="N124" s="30">
        <f>LEN(TRIM(SUBSTITUTE(M124,CHAR(10)," ")))-LEN(SUBSTITUTE(TRIM(SUBSTITUTE(M124,CHAR(10)," "))," ",""))+1</f>
        <v/>
      </c>
      <c r="O124" s="30" t="inlineStr">
        <is>
          <t>&lt;p&gt;A tribute arrangement of 14 hot pink carnations and 10 pink alstroemeria. A respectful, heartfelt tribute to express your condolences and share your support with those who are grieving.&lt;/p&gt;</t>
        </is>
      </c>
      <c r="P124" s="29" t="inlineStr">
        <is>
          <t>ok</t>
        </is>
      </c>
      <c r="Q124" s="30" t="inlineStr">
        <is>
          <t>Pink Tribute Spray brings together 14 hot pink carnations and 10 pink alstroemeria. It is made to honour a life and offer comfort to the family.
Pink flowers carry remembrance and calm. We hand-arrange each tribute with care, from the team at Aussie Blooms.</t>
        </is>
      </c>
      <c r="R124" s="30" t="inlineStr">
        <is>
          <t>&lt;p&gt;Pink Tribute Spray brings together 14 hot pink carnations and 10 pink alstroemeria. It is made to honour a life and offer comfort to the family.&lt;/p&gt;&lt;p&gt;Pink flowers carry remembrance and calm. We hand-arrange each tribute with care, from the team at Aussie Blooms.&lt;/p&gt;</t>
        </is>
      </c>
      <c r="S124" s="29" t="inlineStr">
        <is>
          <t>ok</t>
        </is>
      </c>
      <c r="T124" s="30" t="inlineStr">
        <is>
          <t>In this bunch: 14 hot pink carnations and 10 pink alstroemeria. A quiet tribute for the service or the family home, from people who are thinking of them.</t>
        </is>
      </c>
      <c r="U124" s="30" t="inlineStr">
        <is>
          <t>&lt;p&gt;In this bunch: 14 hot pink carnations and 10 pink alstroemeria. A quiet tribute for the service or the family home, from people who are thinking of them.&lt;/p&gt;</t>
        </is>
      </c>
      <c r="V124" s="29" t="inlineStr">
        <is>
          <t>ok</t>
        </is>
      </c>
      <c r="W124" s="30" t="n"/>
      <c r="X124" s="30" t="inlineStr">
        <is>
          <t>n/a (Mel's: mason jar products only)</t>
        </is>
      </c>
      <c r="Y124" s="30" t="n"/>
      <c r="Z124" s="48" t="inlineStr">
        <is>
          <t>-</t>
        </is>
      </c>
      <c r="AA124" t="n">
        <v>186</v>
      </c>
      <c r="AB124" s="44" t="n">
        <v>3188.5</v>
      </c>
      <c r="AC124" t="n">
        <v>14</v>
      </c>
      <c r="AD124" s="45" t="n">
        <v>0.0003653286473011386</v>
      </c>
      <c r="AE124" s="45" t="n">
        <v>0.006171802108320507</v>
      </c>
      <c r="AF124" t="n">
        <v>16</v>
      </c>
    </row>
    <row r="125" ht="109.5" customHeight="1" s="24">
      <c r="A125" s="30" t="inlineStr">
        <is>
          <t>LF100-395</t>
        </is>
      </c>
      <c r="B125" s="30" t="inlineStr">
        <is>
          <t>Pure Devotion Funeral Flower Package</t>
        </is>
      </c>
      <c r="C125" s="30" t="inlineStr">
        <is>
          <t>Sympathy</t>
        </is>
      </c>
      <c r="D125" s="43" t="inlineStr">
        <is>
          <t>READY TO REVIEW</t>
        </is>
      </c>
      <c r="E125" s="30" t="inlineStr">
        <is>
          <t>This thoughtful flower package provides a Casket Spray, Sympathy Wreath as well as a Sympathy Spray. This elegant and lovely combination of Red and White Carnations and Red Roses will provide a heartfelt tribute to a lost loved one. Easels are not included. Package includes: Rose Impression Casket Spray Strength and Solace Spray Red and White Funeral Wreath Sorry not Available for Same Day Delivery A thoughtful tribute crafted with care to honour cherished memories. Why Choose Bloomex Australia? Australia-Wide Delivery — metro and regional Fresh Guaranteed — shipped budding, ready to bloom Same-Day Delivery — order by 1pm Family Owned since 1998 Best Value Guarantee</t>
        </is>
      </c>
      <c r="F125" s="30" t="inlineStr">
        <is>
          <t>Joomla (7 Oct)</t>
        </is>
      </c>
      <c r="G125" s="30" t="inlineStr">
        <is>
          <t>28 × Roses Red; 26 × Carnation Red; 14 × Carnation White; 12 × Chrysanthemum Daisies White; 8 × Baby's Breath; 15 × Ruscus Israeli; 1 × Red Bow; 1 × 15" wreath form; 1 × Casket saddle single green; 14 × Mini Carnations Red; 1 × Large Box</t>
        </is>
      </c>
      <c r="H125" s="30" t="inlineStr">
        <is>
          <t>28 × Roses Red; 26 × Carnation Red; 14 × Carnation White; 12 × Chrysanthemum Daisies White; 8 × Baby's Breath; 15 × Ruscus Israeli; 1 × Red Bow; 1 × 15" wreath form; 1 × Casket saddle single green; 14 × Mini Carnations Red</t>
        </is>
      </c>
      <c r="I125" s="31" t="inlineStr">
        <is>
          <t>28 × Roses Red; 26 × Carnation Red; 14 × Carnation White; 12 × Chrysanthemum Daisies White; 8 × Baby's Breath; 15 × Ruscus Israeli; 1 × Red Bow; 1 × 15" wreath form; 1 × Casket saddle single green; 14 × Mini Carnations Red</t>
        </is>
      </c>
      <c r="J125" s="30" t="inlineStr">
        <is>
          <t>1 × 15" wreath form; 8 × Baby's Breath; 26 × Carnation Red; 15 × Ruscus Israeli; 28 × Roses Red; 1 × Red Bow; 14 × Mini Carnations Red; 12 × Chrysanthemum Daisies White; 1 × Casket saddle single green; 14 × Carnation White</t>
        </is>
      </c>
      <c r="K125" s="30" t="inlineStr">
        <is>
          <t>Y</t>
        </is>
      </c>
      <c r="L125" s="30" t="n"/>
      <c r="M125" s="30" t="inlineStr">
        <is>
          <t>A tribute arrangement of 28 red roses, 26 red carnations, 14 white carnations and 12 white chrysanthemum daisies, arranged on a 15-inch wreath form, finished with a red bow. A respectful, heartfelt tribute to express your condolences and share your support with those who are grieving.</t>
        </is>
      </c>
      <c r="N125" s="30">
        <f>LEN(TRIM(SUBSTITUTE(M125,CHAR(10)," ")))-LEN(SUBSTITUTE(TRIM(SUBSTITUTE(M125,CHAR(10)," "))," ",""))+1</f>
        <v/>
      </c>
      <c r="O125" s="30" t="inlineStr">
        <is>
          <t>&lt;p&gt;A tribute arrangement of 28 red roses, 26 red carnations, 14 white carnations and 12 white chrysanthemum daisies, arranged on a 15-inch wreath form, finished with a red bow. A respectful, heartfelt tribute to express your condolences and share your support with those who are grieving.&lt;/p&gt;</t>
        </is>
      </c>
      <c r="P125" s="29" t="inlineStr">
        <is>
          <t>ok</t>
        </is>
      </c>
      <c r="Q125" s="30" t="inlineStr">
        <is>
          <t>Pure Devotion Funeral Flower Package brings together 28 red roses, 26 red carnations, 14 white carnations and 12 white chrysanthemum daisies, arranged on a 15-inch wreath form, finished with a red bow. It is made to honour a life and offer comfort to the family.
Red flowers carry remembrance and calm. We hand-arrange each tribute with care, from the team at Aussie Blooms.</t>
        </is>
      </c>
      <c r="R125" s="30" t="inlineStr">
        <is>
          <t>&lt;p&gt;Pure Devotion Funeral Flower Package brings together 28 red roses, 26 red carnations, 14 white carnations and 12 white chrysanthemum daisies, arranged on a 15-inch wreath form, finished with a red bow. It is made to honour a life and offer comfort to the family.&lt;/p&gt;&lt;p&gt;Red flowers carry remembrance and calm. We hand-arrange each tribute with care, from the team at Aussie Blooms.&lt;/p&gt;</t>
        </is>
      </c>
      <c r="S125" s="29" t="inlineStr">
        <is>
          <t>ok</t>
        </is>
      </c>
      <c r="T125" s="30" t="inlineStr">
        <is>
          <t>The bunch holds: 28 red roses, 26 red carnations, 14 white carnations and 12 white chrysanthemum daisies, on a 15-inch wreath form, finished with a red bow. Quiet and respectful, a way to say you are there for the family.</t>
        </is>
      </c>
      <c r="U125" s="30" t="inlineStr">
        <is>
          <t>&lt;p&gt;The bunch holds: 28 red roses, 26 red carnations, 14 white carnations and 12 white chrysanthemum daisies, on a 15-inch wreath form, finished with a red bow. Quiet and respectful, a way to say you are there for the family.&lt;/p&gt;</t>
        </is>
      </c>
      <c r="V125" s="29" t="inlineStr">
        <is>
          <t>ok</t>
        </is>
      </c>
      <c r="W125" s="30" t="n"/>
      <c r="X125" s="30" t="inlineStr">
        <is>
          <t>n/a (Mel's: mason jar products only)</t>
        </is>
      </c>
      <c r="Y125" s="30" t="n"/>
      <c r="Z125" s="48" t="inlineStr">
        <is>
          <t>-</t>
        </is>
      </c>
      <c r="AA125" t="inlineStr">
        <is>
          <t>no sales</t>
        </is>
      </c>
      <c r="AB125" s="44" t="n">
        <v>0</v>
      </c>
      <c r="AC125" t="n">
        <v>0</v>
      </c>
      <c r="AD125" s="45" t="n">
        <v>0</v>
      </c>
      <c r="AE125" s="45" t="n">
        <v>0</v>
      </c>
      <c r="AF125" t="inlineStr">
        <is>
          <t>no sales</t>
        </is>
      </c>
    </row>
    <row r="126" ht="109.5" customHeight="1" s="24">
      <c r="A126" s="30" t="inlineStr">
        <is>
          <t>LF100-590</t>
        </is>
      </c>
      <c r="B126" s="30" t="inlineStr">
        <is>
          <t>Purest Heart</t>
        </is>
      </c>
      <c r="C126" s="30" t="inlineStr">
        <is>
          <t>Sympathy</t>
        </is>
      </c>
      <c r="D126" s="43" t="inlineStr">
        <is>
          <t>READY TO REVIEW</t>
        </is>
      </c>
      <c r="E126" s="30" t="inlineStr">
        <is>
          <t>Express heartfelt thoughts of sympathy in a special way with this open heart standing wreath made with carnations, cushion daisies, roses and asters, accented with tasteful filler blooms. A thoughtful tribute crafted with care to honour cherished memories. Why Choose Bloomex Australia? Australia-Wide Delivery — metro and regional Fresh Guaranteed — shipped budding, ready to bloom Same-Day Delivery — order by 2pm Family Owned since 1998 Best Value Guarantee</t>
        </is>
      </c>
      <c r="F126" s="30" t="inlineStr">
        <is>
          <t>Joomla (7 Oct)</t>
        </is>
      </c>
      <c r="G126" s="30" t="inlineStr">
        <is>
          <t>5 × Roses Spray White; 9 × Roses White; 9 × Carnation White; 5 × Fuji Spider Mums White; 4 × Chrysanthemum Daisies White; 5 × Ruscus Israeli; 1 × 18" Open Heart Oasis</t>
        </is>
      </c>
      <c r="H126" s="30" t="inlineStr">
        <is>
          <t>5 × Roses Spray White; 9 × Roses White; 9 × Carnation White; 5 × Fuji Spider Mums White; 4 × Chrysanthemum Daisies White; 5 × Ruscus Israeli; 1 × 18" Open Heart Oasis</t>
        </is>
      </c>
      <c r="I126" s="30" t="inlineStr">
        <is>
          <t>5 × Roses Spray White; 9 × Roses White; 9 × Carnation White; 5 × Fuji Spider Mums White; 4 × Chrysanthemum Daisies White; 5 × Ruscus Israeli; 1 × 18" Open Heart Oasis</t>
        </is>
      </c>
      <c r="J126" s="30" t="inlineStr">
        <is>
          <t>9 × Roses White; 1 × 18" Open Heart Oasis; 5 × Ruscus Israeli; 4 × Chrysanthemum Daisies White; 5 × Fuji Spider Mums White; 9 × Carnation White; 5 × Roses Spray White</t>
        </is>
      </c>
      <c r="K126" s="30" t="inlineStr">
        <is>
          <t>N</t>
        </is>
      </c>
      <c r="L126" s="30" t="n"/>
      <c r="M126" s="30" t="inlineStr">
        <is>
          <t>A sympathy arrangement of 9 white carnations, 9 white roses, 5 white Fuji spider chrysanthemums, 5 white spray roses and 4 white chrysanthemum daisies, arranged on a 18-inch open heart form. A respectful, heartfelt tribute to express your condolences and share your support with those who are grieving.</t>
        </is>
      </c>
      <c r="N126" s="30">
        <f>LEN(TRIM(SUBSTITUTE(M126,CHAR(10)," ")))-LEN(SUBSTITUTE(TRIM(SUBSTITUTE(M126,CHAR(10)," "))," ",""))+1</f>
        <v/>
      </c>
      <c r="O126" s="30" t="inlineStr">
        <is>
          <t>&lt;p&gt;A sympathy arrangement of 9 white carnations, 9 white roses, 5 white Fuji spider chrysanthemums, 5 white spray roses and 4 white chrysanthemum daisies, arranged on a 18-inch open heart form. A respectful, heartfelt tribute to express your condolences and share your support with those who are grieving.&lt;/p&gt;</t>
        </is>
      </c>
      <c r="P126" s="29" t="inlineStr">
        <is>
          <t>ok</t>
        </is>
      </c>
      <c r="Q126" s="30" t="inlineStr">
        <is>
          <t>Purest Heart brings together 9 white carnations, 9 white roses, 5 white Fuji spider chrysanthemums, 5 white spray roses and 4 white chrysanthemum daisies, arranged on a 18-inch open heart form. It is made to honour a life and offer comfort to the family.
White flowers carry remembrance and calm. We hand-arrange each tribute with care, from the team at Aussie Blooms.</t>
        </is>
      </c>
      <c r="R126" s="30" t="inlineStr">
        <is>
          <t>&lt;p&gt;Purest Heart brings together 9 white carnations, 9 white roses, 5 white Fuji spider chrysanthemums, 5 white spray roses and 4 white chrysanthemum daisies, arranged on a 18-inch open heart form. It is made to honour a life and offer comfort to the family.&lt;/p&gt;&lt;p&gt;White flowers carry remembrance and calm. We hand-arrange each tribute with care, from the team at Aussie Blooms.&lt;/p&gt;</t>
        </is>
      </c>
      <c r="S126" s="29" t="inlineStr">
        <is>
          <t>ok</t>
        </is>
      </c>
      <c r="T126" s="30" t="inlineStr">
        <is>
          <t>Inside the bunch: 9 white carnations, 9 white roses, 5 white Fuji spider chrysanthemums, 5 white spray roses and 4 white chrysanthemum daisies, on a 18-inch open heart form. Simple flowers for a hard day, sent to the service or the family home.</t>
        </is>
      </c>
      <c r="U126" s="30" t="inlineStr">
        <is>
          <t>&lt;p&gt;Inside the bunch: 9 white carnations, 9 white roses, 5 white Fuji spider chrysanthemums, 5 white spray roses and 4 white chrysanthemum daisies, on a 18-inch open heart form. Simple flowers for a hard day, sent to the service or the family home.&lt;/p&gt;</t>
        </is>
      </c>
      <c r="V126" s="29" t="inlineStr">
        <is>
          <t>ok</t>
        </is>
      </c>
      <c r="W126" s="30" t="n"/>
      <c r="X126" s="30" t="inlineStr">
        <is>
          <t>n/a (Mel's: mason jar products only)</t>
        </is>
      </c>
      <c r="Y126" s="30" t="n"/>
      <c r="Z126" s="48" t="inlineStr">
        <is>
          <t>-</t>
        </is>
      </c>
      <c r="AA126" t="inlineStr">
        <is>
          <t>no sales</t>
        </is>
      </c>
      <c r="AB126" s="44" t="n">
        <v>0</v>
      </c>
      <c r="AC126" t="n">
        <v>0</v>
      </c>
      <c r="AD126" s="45" t="n">
        <v>0</v>
      </c>
      <c r="AE126" s="45" t="n">
        <v>0</v>
      </c>
      <c r="AF126" t="inlineStr">
        <is>
          <t>no sales</t>
        </is>
      </c>
    </row>
    <row r="127" ht="109.5" customHeight="1" s="24">
      <c r="A127" s="30" t="inlineStr">
        <is>
          <t>AU100-582</t>
        </is>
      </c>
      <c r="B127" s="30" t="inlineStr">
        <is>
          <t>Rose Garden Heart</t>
        </is>
      </c>
      <c r="C127" s="30" t="inlineStr">
        <is>
          <t>Sympathy</t>
        </is>
      </c>
      <c r="D127" s="43" t="inlineStr">
        <is>
          <t>READY TO REVIEW</t>
        </is>
      </c>
      <c r="E127" s="30" t="inlineStr">
        <is>
          <t>A special life deserves a special and caring tribute. This wonderful wreath will express your heartfelt sympathy and caring with delicate beauty. Easel is not included. Please Note: Not available for Same Day Delivery. Must be ordered 24 hours in advance. Tuesday to Friday Delivery only. A thoughtful tribute crafted with care to honour cherished memories. Why Choose Bloomex Australia? Australia-Wide Delivery — metro and regional Fresh Guaranteed — shipped budding, ready to bloom Same-Day Delivery — order by 1pm Family Owned since 1998 Best Value Guarantee</t>
        </is>
      </c>
      <c r="F127" s="30" t="inlineStr">
        <is>
          <t>Joomla (7 Oct)</t>
        </is>
      </c>
      <c r="G127" s="30" t="inlineStr">
        <is>
          <t>5 × Roses Spray Pink; 12 × Roses Pink; 12 × Chrysanthemum button lavender; 6 × Carnation Pink; 10 × Ruscus Israeli; 8 × Mini Carnations Pink; 5 × Leather Fern; 1 × Large Box</t>
        </is>
      </c>
      <c r="H127" s="30" t="inlineStr">
        <is>
          <t>5 × Roses Spray Pink; 12 × Roses Pink; 12 × Chrysanthemum button lavender; 6 × Carnation Pink; 10 × Ruscus Israeli; 8 × Mini Carnations Pink; 5 × Leather Fern</t>
        </is>
      </c>
      <c r="I127" s="31" t="inlineStr">
        <is>
          <t>5 × Roses Spray Pink; 12 × Roses Pink; 12 × Chrysanthemum button lavender; 6 × Carnation Pink; 10 × Ruscus Israeli; 8 × Mini Carnations Pink; 5 × Leather Fern</t>
        </is>
      </c>
      <c r="J127" s="30" t="inlineStr">
        <is>
          <t>10 × Ruscus Israeli; 5 × Leather Fern; 8 × Mini Carnations Pink; 12 × Chrysanthemum button lavender; 6 × Carnation Pink; 5 × Roses Spray Pink; 12 × Roses Pink</t>
        </is>
      </c>
      <c r="K127" s="30" t="inlineStr">
        <is>
          <t>Y</t>
        </is>
      </c>
      <c r="L127" s="30" t="n"/>
      <c r="M127" s="30" t="inlineStr">
        <is>
          <t>A tribute arrangement of 12 pink roses, 6 pink carnations and 5 pink spray roses. A respectful, heartfelt tribute to express your condolences and share your support with those who are grieving.</t>
        </is>
      </c>
      <c r="N127" s="30">
        <f>LEN(TRIM(SUBSTITUTE(M127,CHAR(10)," ")))-LEN(SUBSTITUTE(TRIM(SUBSTITUTE(M127,CHAR(10)," "))," ",""))+1</f>
        <v/>
      </c>
      <c r="O127" s="30" t="inlineStr">
        <is>
          <t>&lt;p&gt;A tribute arrangement of 12 pink roses, 6 pink carnations and 5 pink spray roses. A respectful, heartfelt tribute to express your condolences and share your support with those who are grieving.&lt;/p&gt;</t>
        </is>
      </c>
      <c r="P127" s="29" t="inlineStr">
        <is>
          <t>ok</t>
        </is>
      </c>
      <c r="Q127" s="30" t="inlineStr">
        <is>
          <t>Rose Garden Heart brings together 12 pink roses, 6 pink carnations and 5 pink spray roses. It is made to honour a life and offer comfort to the family.
Pink flowers carry remembrance and calm. We hand-arrange each tribute with care, from the team at Aussie Blooms.</t>
        </is>
      </c>
      <c r="R127" s="30" t="inlineStr">
        <is>
          <t>&lt;p&gt;Rose Garden Heart brings together 12 pink roses, 6 pink carnations and 5 pink spray roses. It is made to honour a life and offer comfort to the family.&lt;/p&gt;&lt;p&gt;Pink flowers carry remembrance and calm. We hand-arrange each tribute with care, from the team at Aussie Blooms.&lt;/p&gt;</t>
        </is>
      </c>
      <c r="S127" s="29" t="inlineStr">
        <is>
          <t>ok</t>
        </is>
      </c>
      <c r="T127" s="30" t="inlineStr">
        <is>
          <t>The bunch holds: 12 pink roses, 6 pink carnations and 5 pink spray roses. Quiet and respectful, a way to say you are there for the family.</t>
        </is>
      </c>
      <c r="U127" s="30" t="inlineStr">
        <is>
          <t>&lt;p&gt;The bunch holds: 12 pink roses, 6 pink carnations and 5 pink spray roses. Quiet and respectful, a way to say you are there for the family.&lt;/p&gt;</t>
        </is>
      </c>
      <c r="V127" s="29" t="inlineStr">
        <is>
          <t>ok</t>
        </is>
      </c>
      <c r="W127" s="30" t="n"/>
      <c r="X127" s="30" t="inlineStr">
        <is>
          <t>n/a (Mel's: mason jar products only)</t>
        </is>
      </c>
      <c r="Y127" s="30" t="n"/>
      <c r="Z127" s="48" t="inlineStr">
        <is>
          <t>-</t>
        </is>
      </c>
      <c r="AA127" t="n">
        <v>125</v>
      </c>
      <c r="AB127" s="44" t="n">
        <v>8832.360000000001</v>
      </c>
      <c r="AC127" t="n">
        <v>32</v>
      </c>
      <c r="AD127" s="45" t="n">
        <v>0.001011985216225177</v>
      </c>
      <c r="AE127" s="45" t="n">
        <v>0.01709631187487844</v>
      </c>
      <c r="AF127" t="n">
        <v>8</v>
      </c>
    </row>
    <row r="128" ht="109.5" customHeight="1" s="24">
      <c r="A128" s="30" t="inlineStr">
        <is>
          <t>LF100-595</t>
        </is>
      </c>
      <c r="B128" s="30" t="inlineStr">
        <is>
          <t>Warm Regards Funeral Flower Package</t>
        </is>
      </c>
      <c r="C128" s="30" t="inlineStr">
        <is>
          <t>Sympathy</t>
        </is>
      </c>
      <c r="D128" s="43" t="inlineStr">
        <is>
          <t>READY TO REVIEW</t>
        </is>
      </c>
      <c r="E128" s="30" t="inlineStr">
        <is>
          <t>This Sympathy Flower package provides the most thoughtful and generous combination, of a Casket Spray, Sympathy Wreath and Sympathy Spray. This lovely package of elegant Red Carnations and beautiful Red Roses will be an eloquent tribute to your lost loved one. Easels not included Package includes: Warm Regards Wreath Warm Regards Casket Spray Warm Regards Spray A thoughtful tribute crafted with care to honour cherished memories. Why Choose Bloomex Australia? Australia-Wide Delivery — metro and regional Fresh Guaranteed — shipped budding, ready to bloom Same-Day Delivery — order by 1pm Family Owned since 1998 Best Value Guarantee</t>
        </is>
      </c>
      <c r="F128" s="30" t="inlineStr">
        <is>
          <t>Joomla (7 Oct)</t>
        </is>
      </c>
      <c r="G128" s="30" t="inlineStr">
        <is>
          <t>28 × Roses Red; 40 × Carnation Red; 12 × Chrysanthemum Daisies Red; 8 × Baby's Breath; 15 × Ruscus Israeli; 1 × Red Bow; 1 × 15" wreath form; 1 × Casket saddle single green; 14 × Mini Carnations Red; 1 × Large Box</t>
        </is>
      </c>
      <c r="H128" s="30" t="inlineStr">
        <is>
          <t>28 × Roses Red; 40 × Carnation Red; 12 × Chrysanthemum Daisies Red; 8 × Baby's Breath; 15 × Ruscus Israeli; 1 × Red Bow; 1 × 15" wreath form; 1 × Casket saddle single green; 14 × Mini Carnations Red</t>
        </is>
      </c>
      <c r="I128" s="31" t="inlineStr">
        <is>
          <t>28 × Roses Red; 40 × Carnation Red; 12 × Chrysanthemum Daisies Red; 8 × Baby's Breath; 15 × Ruscus Israeli; 1 × Red Bow; 1 × 15" wreath form; 1 × Casket saddle single green; 14 × Mini Carnations Red</t>
        </is>
      </c>
      <c r="J128" s="30" t="inlineStr">
        <is>
          <t>40 × Carnation Red; 15 × Ruscus Israeli; 1 × 15" wreath form; 14 × Mini Carnations Red; 1 × Casket saddle single green; 12 × Chrysanthemum Daisies Red; 8 × Baby's Breath; 1 × Red Bow; 28 × Roses Red</t>
        </is>
      </c>
      <c r="K128" s="30" t="inlineStr">
        <is>
          <t>Y</t>
        </is>
      </c>
      <c r="L128" s="30" t="n"/>
      <c r="M128" s="30" t="inlineStr">
        <is>
          <t>A tribute arrangement of 40 red carnations, 28 red roses and 12 red chrysanthemum daisies, arranged on a 15-inch wreath form, finished with a red bow. A respectful, heartfelt tribute to express your condolences and share your support with those who are grieving.</t>
        </is>
      </c>
      <c r="N128" s="30">
        <f>LEN(TRIM(SUBSTITUTE(M128,CHAR(10)," ")))-LEN(SUBSTITUTE(TRIM(SUBSTITUTE(M128,CHAR(10)," "))," ",""))+1</f>
        <v/>
      </c>
      <c r="O128" s="30" t="inlineStr">
        <is>
          <t>&lt;p&gt;A tribute arrangement of 40 red carnations, 28 red roses and 12 red chrysanthemum daisies, arranged on a 15-inch wreath form, finished with a red bow. A respectful, heartfelt tribute to express your condolences and share your support with those who are grieving.&lt;/p&gt;</t>
        </is>
      </c>
      <c r="P128" s="29" t="inlineStr">
        <is>
          <t>ok</t>
        </is>
      </c>
      <c r="Q128" s="30" t="inlineStr">
        <is>
          <t>Warm Regards Funeral Flower Package brings together 40 red carnations, 28 red roses and 12 red chrysanthemum daisies, arranged on a 15-inch wreath form, finished with a red bow. It is made to honour a life and offer comfort to the family.
Red flowers carry remembrance and calm. We hand-arrange each tribute with care, from the team at Aussie Blooms.</t>
        </is>
      </c>
      <c r="R128" s="30" t="inlineStr">
        <is>
          <t>&lt;p&gt;Warm Regards Funeral Flower Package brings together 40 red carnations, 28 red roses and 12 red chrysanthemum daisies, arranged on a 15-inch wreath form, finished with a red bow. It is made to honour a life and offer comfort to the family.&lt;/p&gt;&lt;p&gt;Red flowers carry remembrance and calm. We hand-arrange each tribute with care, from the team at Aussie Blooms.&lt;/p&gt;</t>
        </is>
      </c>
      <c r="S128" s="29" t="inlineStr">
        <is>
          <t>ok</t>
        </is>
      </c>
      <c r="T128" s="30" t="inlineStr">
        <is>
          <t>Inside the bunch: 40 red carnations, 28 red roses and 12 red chrysanthemum daisies, on a 15-inch wreath form, finished with a red bow. Simple flowers for a hard day, sent to the service or the family home.</t>
        </is>
      </c>
      <c r="U128" s="30" t="inlineStr">
        <is>
          <t>&lt;p&gt;Inside the bunch: 40 red carnations, 28 red roses and 12 red chrysanthemum daisies, on a 15-inch wreath form, finished with a red bow. Simple flowers for a hard day, sent to the service or the family home.&lt;/p&gt;</t>
        </is>
      </c>
      <c r="V128" s="29" t="inlineStr">
        <is>
          <t>ok</t>
        </is>
      </c>
      <c r="W128" s="30" t="n"/>
      <c r="X128" s="30" t="inlineStr">
        <is>
          <t>n/a (Mel's: mason jar products only)</t>
        </is>
      </c>
      <c r="Y128" s="30" t="n"/>
      <c r="Z128" s="48" t="inlineStr">
        <is>
          <t>-</t>
        </is>
      </c>
      <c r="AA128" t="inlineStr">
        <is>
          <t>no sales</t>
        </is>
      </c>
      <c r="AB128" s="44" t="n">
        <v>0</v>
      </c>
      <c r="AC128" t="n">
        <v>0</v>
      </c>
      <c r="AD128" s="45" t="n">
        <v>0</v>
      </c>
      <c r="AE128" s="45" t="n">
        <v>0</v>
      </c>
      <c r="AF128" t="inlineStr">
        <is>
          <t>no sales</t>
        </is>
      </c>
    </row>
    <row r="129" ht="109.5" customHeight="1" s="24">
      <c r="A129" s="30" t="inlineStr">
        <is>
          <t>LF100-587</t>
        </is>
      </c>
      <c r="B129" s="30" t="inlineStr">
        <is>
          <t>Warm Regards Wreath</t>
        </is>
      </c>
      <c r="C129" s="30" t="inlineStr">
        <is>
          <t>Sympathy</t>
        </is>
      </c>
      <c r="D129" s="43" t="inlineStr">
        <is>
          <t>READY TO REVIEW</t>
        </is>
      </c>
      <c r="E129" s="30" t="inlineStr">
        <is>
          <t>Sending a wreath has been a long-term gesture of tribute for both funerals and other commemorations. This lovely wreath is a generous combination of rich Red Carnations and fresh Red Roses that combine with fresh greens to provide a loving tribute. This simple, yet elegant wreath will truly demonstrate your support and love. Easel not included. Sorry, not available for Same Day Delivery A thoughtful tribute crafted with care to honour cherished memories. Why Choose Bloomex Australia? Australia-Wide Delivery — metro and regional Fresh Guaranteed — shipped budding, ready to bloom Same-Day Delivery — order by 2pm Family Owned since 1998 Best Value Guarantee</t>
        </is>
      </c>
      <c r="F129" s="30" t="inlineStr">
        <is>
          <t>Joomla (7 Oct)</t>
        </is>
      </c>
      <c r="G129" s="30" t="inlineStr">
        <is>
          <t>4 × Roses Spray Red; 24 × Carnation Red; 10 × Ruscus Israeli; 1 × 15" wreath form; 8 × Mini Carnations Red</t>
        </is>
      </c>
      <c r="H129" s="30" t="inlineStr">
        <is>
          <t>4 × Roses Spray Red; 24 × Carnation Red; 10 × Ruscus Israeli; 1 × 15" wreath form; 8 × Mini Carnations Red</t>
        </is>
      </c>
      <c r="I129" s="30" t="inlineStr">
        <is>
          <t>4 × Roses Spray Red; 24 × Carnation Red; 10 × Ruscus Israeli; 1 × 15" wreath form; 8 × Mini Carnations Red</t>
        </is>
      </c>
      <c r="J129" s="30" t="inlineStr">
        <is>
          <t>4 × Roses Spray Red; 10 × Ruscus Israeli; 1 × 15" wreath form; 8 × Mini Carnations Red; 24 × Carnation Red</t>
        </is>
      </c>
      <c r="K129" s="30" t="inlineStr">
        <is>
          <t>N</t>
        </is>
      </c>
      <c r="L129" s="30" t="n"/>
      <c r="M129" s="30" t="inlineStr">
        <is>
          <t>A sympathy arrangement of 24 red carnations and 4 red spray roses, arranged on a 15-inch wreath form. A respectful, heartfelt tribute to express your condolences and share your support with those who are grieving.</t>
        </is>
      </c>
      <c r="N129" s="30">
        <f>LEN(TRIM(SUBSTITUTE(M129,CHAR(10)," ")))-LEN(SUBSTITUTE(TRIM(SUBSTITUTE(M129,CHAR(10)," "))," ",""))+1</f>
        <v/>
      </c>
      <c r="O129" s="30" t="inlineStr">
        <is>
          <t>&lt;p&gt;A sympathy arrangement of 24 red carnations and 4 red spray roses, arranged on a 15-inch wreath form. A respectful, heartfelt tribute to express your condolences and share your support with those who are grieving.&lt;/p&gt;</t>
        </is>
      </c>
      <c r="P129" s="29" t="inlineStr">
        <is>
          <t>ok</t>
        </is>
      </c>
      <c r="Q129" s="30" t="inlineStr">
        <is>
          <t>Warm Regards Wreath brings together 24 red carnations and 4 red spray roses, arranged on a 15-inch wreath form. It is made to honour a life and offer comfort to the family.
Red flowers carry remembrance and calm. We hand-arrange each tribute with care, from the team at Aussie Blooms.</t>
        </is>
      </c>
      <c r="R129" s="30" t="inlineStr">
        <is>
          <t>&lt;p&gt;Warm Regards Wreath brings together 24 red carnations and 4 red spray roses, arranged on a 15-inch wreath form. It is made to honour a life and offer comfort to the family.&lt;/p&gt;&lt;p&gt;Red flowers carry remembrance and calm. We hand-arrange each tribute with care, from the team at Aussie Blooms.&lt;/p&gt;</t>
        </is>
      </c>
      <c r="S129" s="29" t="inlineStr">
        <is>
          <t>ok</t>
        </is>
      </c>
      <c r="T129" s="30" t="inlineStr">
        <is>
          <t>Inside the bunch: 24 red carnations and 4 red spray roses, on a 15-inch wreath form. Simple flowers for a hard day, sent to the service or the family home.</t>
        </is>
      </c>
      <c r="U129" s="30" t="inlineStr">
        <is>
          <t>&lt;p&gt;Inside the bunch: 24 red carnations and 4 red spray roses, on a 15-inch wreath form. Simple flowers for a hard day, sent to the service or the family home.&lt;/p&gt;</t>
        </is>
      </c>
      <c r="V129" s="29" t="inlineStr">
        <is>
          <t>ok</t>
        </is>
      </c>
      <c r="W129" s="30" t="n"/>
      <c r="X129" s="30" t="inlineStr">
        <is>
          <t>n/a (Mel's: mason jar products only)</t>
        </is>
      </c>
      <c r="Y129" s="30" t="n"/>
      <c r="Z129" s="48" t="inlineStr">
        <is>
          <t>-</t>
        </is>
      </c>
      <c r="AA129" t="inlineStr">
        <is>
          <t>no sales</t>
        </is>
      </c>
      <c r="AB129" s="44" t="n">
        <v>0</v>
      </c>
      <c r="AC129" t="n">
        <v>0</v>
      </c>
      <c r="AD129" s="45" t="n">
        <v>0</v>
      </c>
      <c r="AE129" s="45" t="n">
        <v>0</v>
      </c>
      <c r="AF129" t="inlineStr">
        <is>
          <t>no sales</t>
        </is>
      </c>
    </row>
    <row r="130" ht="109.5" customHeight="1" s="24">
      <c r="A130" s="30" t="inlineStr">
        <is>
          <t>AU11-13</t>
        </is>
      </c>
      <c r="B130" s="30" t="inlineStr">
        <is>
          <t>12 Medium Stemmed Lavender Roses</t>
        </is>
      </c>
      <c r="C130" s="30" t="inlineStr">
        <is>
          <t>Bouquets</t>
        </is>
      </c>
      <c r="D130" s="43" t="inlineStr">
        <is>
          <t>READY TO REVIEW</t>
        </is>
      </c>
      <c r="E130" s="30" t="n"/>
      <c r="F130" s="30" t="inlineStr">
        <is>
          <t>none</t>
        </is>
      </c>
      <c r="G130" s="30" t="inlineStr">
        <is>
          <t>12 × Roses Lavender; 2 × Baby's Breath; 3 × Ruscus Israeli</t>
        </is>
      </c>
      <c r="H130" s="30" t="inlineStr">
        <is>
          <t>12 × Roses Lavender; 2 × Baby's Breath; 3 × Ruscus Israeli</t>
        </is>
      </c>
      <c r="I130" s="30" t="inlineStr">
        <is>
          <t>12 × Roses Lavender; 2 × Baby's Breath; 3 × Ruscus Israeli</t>
        </is>
      </c>
      <c r="J130" s="30" t="inlineStr">
        <is>
          <t>3 × Ruscus Israeli; 2 × Baby's Breath; 12 × Roses Lavender</t>
        </is>
      </c>
      <c r="K130" s="30" t="inlineStr">
        <is>
          <t>N</t>
        </is>
      </c>
      <c r="L130" s="30" t="n"/>
      <c r="M130" s="30" t="inlineStr">
        <is>
          <t>A hand-arranged bouquet of 12 lavender roses. A lovely way to mark a birthday, a thank-you or a just-because moment, and a bright moment when the door opens.</t>
        </is>
      </c>
      <c r="N130" s="30">
        <f>LEN(TRIM(SUBSTITUTE(M130,CHAR(10)," ")))-LEN(SUBSTITUTE(TRIM(SUBSTITUTE(M130,CHAR(10)," "))," ",""))+1</f>
        <v/>
      </c>
      <c r="O130" s="30" t="inlineStr">
        <is>
          <t>&lt;p&gt;A hand-arranged bouquet of 12 lavender roses. A lovely way to mark a birthday, a thank-you or a just-because moment, and a bright moment when the door opens.&lt;/p&gt;</t>
        </is>
      </c>
      <c r="P130" s="29" t="inlineStr">
        <is>
          <t>ok</t>
        </is>
      </c>
      <c r="Q130" s="30" t="inlineStr">
        <is>
          <t>12 Medium Stemmed Lavender Roses brings together 12 lavender roses. It suits a birthday, a thank-you or a just-because moment.
Lavender tones say thoughtfulness. We hand-arrange each one at Aussie Blooms so it looks the way you pictured it, ready for a summer table.</t>
        </is>
      </c>
      <c r="R130" s="30" t="inlineStr">
        <is>
          <t>&lt;p&gt;12 Medium Stemmed Lavender Roses brings together 12 lavender roses. It suits a birthday, a thank-you or a just-because moment.&lt;/p&gt;&lt;p&gt;Lavender tones say thoughtfulness. We hand-arrange each one at Aussie Blooms so it looks the way you pictured it, ready for a summer table.&lt;/p&gt;</t>
        </is>
      </c>
      <c r="S130" s="29" t="inlineStr">
        <is>
          <t>ok</t>
        </is>
      </c>
      <c r="T130" s="30" t="inlineStr">
        <is>
          <t>In this bunch: 12 lavender roses. Soft colours that make a quiet room feel looked after.</t>
        </is>
      </c>
      <c r="U130" s="30" t="inlineStr">
        <is>
          <t>&lt;p&gt;In this bunch: 12 lavender roses. Soft colours that make a quiet room feel looked after.&lt;/p&gt;</t>
        </is>
      </c>
      <c r="V130" s="29" t="inlineStr">
        <is>
          <t>ok</t>
        </is>
      </c>
      <c r="W130" s="30" t="n"/>
      <c r="X130" s="30" t="inlineStr">
        <is>
          <t>n/a (Mel's: mason jar products only)</t>
        </is>
      </c>
      <c r="Y130" s="30" t="n"/>
      <c r="Z130" s="48" t="inlineStr">
        <is>
          <t>-</t>
        </is>
      </c>
      <c r="AA130" t="inlineStr">
        <is>
          <t>no sales</t>
        </is>
      </c>
      <c r="AB130" s="44" t="n">
        <v>0</v>
      </c>
      <c r="AC130" t="n">
        <v>0</v>
      </c>
      <c r="AD130" s="45" t="n">
        <v>0</v>
      </c>
      <c r="AE130" s="45" t="n">
        <v>0</v>
      </c>
      <c r="AF130" t="inlineStr">
        <is>
          <t>no sales</t>
        </is>
      </c>
    </row>
    <row r="131" ht="109.5" customHeight="1" s="24">
      <c r="A131" s="30" t="inlineStr">
        <is>
          <t>AU11-25</t>
        </is>
      </c>
      <c r="B131" s="30" t="inlineStr">
        <is>
          <t>24 Mixed Colour Sweetheart Roses</t>
        </is>
      </c>
      <c r="C131" s="30" t="inlineStr">
        <is>
          <t>Bouquets</t>
        </is>
      </c>
      <c r="D131" s="43" t="inlineStr">
        <is>
          <t>READY TO REVIEW</t>
        </is>
      </c>
      <c r="E131" s="30" t="n"/>
      <c r="F131" s="30" t="inlineStr">
        <is>
          <t>none</t>
        </is>
      </c>
      <c r="G131" s="30" t="inlineStr">
        <is>
          <t>24 × Roses Assorted; 3 × Baby's Breath; 4 × Ruscus Israeli</t>
        </is>
      </c>
      <c r="H131" s="30" t="inlineStr">
        <is>
          <t>24 × Roses Assorted; 3 × Baby's Breath; 4 × Ruscus Israeli</t>
        </is>
      </c>
      <c r="I131" s="30" t="inlineStr">
        <is>
          <t>24 × Roses Assorted; 3 × Baby's Breath; 4 × Ruscus Israeli</t>
        </is>
      </c>
      <c r="J131" s="30" t="inlineStr">
        <is>
          <t>4 × Ruscus Israeli; 3 × Baby's Breath; 24 × Roses Assorted</t>
        </is>
      </c>
      <c r="K131" s="30" t="inlineStr">
        <is>
          <t>N</t>
        </is>
      </c>
      <c r="L131" s="30" t="n"/>
      <c r="M131" s="30" t="inlineStr">
        <is>
          <t>A florist-designed bouquet of 24 assorted-colour roses. Chosen for an anniversary or a thank-you, it says you were thinking of them.</t>
        </is>
      </c>
      <c r="N131" s="30">
        <f>LEN(TRIM(SUBSTITUTE(M131,CHAR(10)," ")))-LEN(SUBSTITUTE(TRIM(SUBSTITUTE(M131,CHAR(10)," "))," ",""))+1</f>
        <v/>
      </c>
      <c r="O131" s="30" t="inlineStr">
        <is>
          <t>&lt;p&gt;A florist-designed bouquet of 24 assorted-colour roses. Chosen for an anniversary or a thank-you, it says you were thinking of them.&lt;/p&gt;</t>
        </is>
      </c>
      <c r="P131" s="29" t="inlineStr">
        <is>
          <t>ok</t>
        </is>
      </c>
      <c r="Q131" s="30" t="inlineStr">
        <is>
          <t>24 Mixed Colour Sweetheart Roses brings together 24 assorted-colour roses. It suits an anniversary or a thank-you.
Mixed colours say thoughtfulness. We hand-arrange each one at Aussie Blooms so it looks the way you pictured it, ready for the kitchen bench.</t>
        </is>
      </c>
      <c r="R131" s="30" t="inlineStr">
        <is>
          <t>&lt;p&gt;24 Mixed Colour Sweetheart Roses brings together 24 assorted-colour roses. It suits an anniversary or a thank-you.&lt;/p&gt;&lt;p&gt;Mixed colours say thoughtfulness. We hand-arrange each one at Aussie Blooms so it looks the way you pictured it, ready for the kitchen bench.&lt;/p&gt;</t>
        </is>
      </c>
      <c r="S131" s="29" t="inlineStr">
        <is>
          <t>ok</t>
        </is>
      </c>
      <c r="T131" s="30" t="inlineStr">
        <is>
          <t>Inside the bunch: 24 assorted-colour roses. Made for the moment someone opens the door and smiles.</t>
        </is>
      </c>
      <c r="U131" s="30" t="inlineStr">
        <is>
          <t>&lt;p&gt;Inside the bunch: 24 assorted-colour roses. Made for the moment someone opens the door and smiles.&lt;/p&gt;</t>
        </is>
      </c>
      <c r="V131" s="29" t="inlineStr">
        <is>
          <t>ok</t>
        </is>
      </c>
      <c r="W131" s="30" t="n"/>
      <c r="X131" s="30" t="inlineStr">
        <is>
          <t>n/a (Mel's: mason jar products only)</t>
        </is>
      </c>
      <c r="Y131" s="30" t="n"/>
      <c r="Z131" s="48" t="inlineStr">
        <is>
          <t>-</t>
        </is>
      </c>
      <c r="AA131" t="inlineStr">
        <is>
          <t>no sales</t>
        </is>
      </c>
      <c r="AB131" s="44" t="n">
        <v>0</v>
      </c>
      <c r="AC131" t="n">
        <v>0</v>
      </c>
      <c r="AD131" s="45" t="n">
        <v>0</v>
      </c>
      <c r="AE131" s="45" t="n">
        <v>0</v>
      </c>
      <c r="AF131" t="inlineStr">
        <is>
          <t>no sales</t>
        </is>
      </c>
    </row>
    <row r="132" ht="109.5" customHeight="1" s="24">
      <c r="A132" s="30" t="inlineStr">
        <is>
          <t>AU11-35</t>
        </is>
      </c>
      <c r="B132" s="30" t="inlineStr">
        <is>
          <t>36 Assorted Medium Stemmed Roses</t>
        </is>
      </c>
      <c r="C132" s="30" t="inlineStr">
        <is>
          <t>Bouquets</t>
        </is>
      </c>
      <c r="D132" s="43" t="inlineStr">
        <is>
          <t>READY TO REVIEW</t>
        </is>
      </c>
      <c r="E132" s="30" t="n"/>
      <c r="F132" s="30" t="inlineStr">
        <is>
          <t>none</t>
        </is>
      </c>
      <c r="G132" s="30" t="inlineStr">
        <is>
          <t>36 × Roses Assorted; 4 × Baby's Breath; 6 × Ruscus Israeli</t>
        </is>
      </c>
      <c r="H132" s="30" t="inlineStr">
        <is>
          <t>36 × Roses Assorted; 4 × Baby's Breath; 6 × Ruscus Israeli</t>
        </is>
      </c>
      <c r="I132" s="30" t="inlineStr">
        <is>
          <t>36 × Roses Assorted; 4 × Baby's Breath; 6 × Ruscus Israeli</t>
        </is>
      </c>
      <c r="J132" s="30" t="inlineStr">
        <is>
          <t>6 × Ruscus Israeli; 4 × Baby's Breath; 36 × Roses Assorted</t>
        </is>
      </c>
      <c r="K132" s="30" t="inlineStr">
        <is>
          <t>N</t>
        </is>
      </c>
      <c r="L132" s="30" t="n"/>
      <c r="M132" s="30" t="inlineStr">
        <is>
          <t>A florist-designed bouquet of 36 assorted-colour roses. Chosen for a birthday, a thank-you or a just-because moment, it says you were thinking of them.</t>
        </is>
      </c>
      <c r="N132" s="30">
        <f>LEN(TRIM(SUBSTITUTE(M132,CHAR(10)," ")))-LEN(SUBSTITUTE(TRIM(SUBSTITUTE(M132,CHAR(10)," "))," ",""))+1</f>
        <v/>
      </c>
      <c r="O132" s="30" t="inlineStr">
        <is>
          <t>&lt;p&gt;A florist-designed bouquet of 36 assorted-colour roses. Chosen for a birthday, a thank-you or a just-because moment, it says you were thinking of them.&lt;/p&gt;</t>
        </is>
      </c>
      <c r="P132" s="29" t="inlineStr">
        <is>
          <t>ok</t>
        </is>
      </c>
      <c r="Q132" s="30" t="inlineStr">
        <is>
          <t>36 Assorted Medium Stemmed Roses brings together 36 assorted-colour roses. It suits a birthday, a thank-you or a just-because moment.
Mixed colours say thoughtfulness. We hand-arrange each one at Aussie Blooms so it looks the way you pictured it, ready for a summer table.</t>
        </is>
      </c>
      <c r="R132" s="30" t="inlineStr">
        <is>
          <t>&lt;p&gt;36 Assorted Medium Stemmed Roses brings together 36 assorted-colour roses. It suits a birthday, a thank-you or a just-because moment.&lt;/p&gt;&lt;p&gt;Mixed colours say thoughtfulness. We hand-arrange each one at Aussie Blooms so it looks the way you pictured it, ready for a summer table.&lt;/p&gt;</t>
        </is>
      </c>
      <c r="S132" s="29" t="inlineStr">
        <is>
          <t>ok</t>
        </is>
      </c>
      <c r="T132" s="30" t="inlineStr">
        <is>
          <t>Inside the bunch: 36 assorted-colour roses. Made for the moment someone opens the door and smiles.</t>
        </is>
      </c>
      <c r="U132" s="30" t="inlineStr">
        <is>
          <t>&lt;p&gt;Inside the bunch: 36 assorted-colour roses. Made for the moment someone opens the door and smiles.&lt;/p&gt;</t>
        </is>
      </c>
      <c r="V132" s="29" t="inlineStr">
        <is>
          <t>ok</t>
        </is>
      </c>
      <c r="W132" s="30" t="n"/>
      <c r="X132" s="30" t="inlineStr">
        <is>
          <t>n/a (Mel's: mason jar products only)</t>
        </is>
      </c>
      <c r="Y132" s="30" t="n"/>
      <c r="Z132" s="48" t="inlineStr">
        <is>
          <t>-</t>
        </is>
      </c>
      <c r="AA132" t="inlineStr">
        <is>
          <t>no sales</t>
        </is>
      </c>
      <c r="AB132" s="44" t="n">
        <v>0</v>
      </c>
      <c r="AC132" t="n">
        <v>0</v>
      </c>
      <c r="AD132" s="45" t="n">
        <v>0</v>
      </c>
      <c r="AE132" s="45" t="n">
        <v>0</v>
      </c>
      <c r="AF132" t="inlineStr">
        <is>
          <t>no sales</t>
        </is>
      </c>
    </row>
    <row r="133" ht="109.5" customHeight="1" s="24">
      <c r="A133" s="30" t="inlineStr">
        <is>
          <t>AU13-21</t>
        </is>
      </c>
      <c r="B133" s="30" t="inlineStr">
        <is>
          <t>12 Red Medium Stemmed Roses</t>
        </is>
      </c>
      <c r="C133" s="30" t="inlineStr">
        <is>
          <t>Bouquets</t>
        </is>
      </c>
      <c r="D133" s="43" t="inlineStr">
        <is>
          <t>READY TO REVIEW</t>
        </is>
      </c>
      <c r="E133" s="30" t="n"/>
      <c r="F133" s="30" t="inlineStr">
        <is>
          <t>none</t>
        </is>
      </c>
      <c r="G133" s="30" t="inlineStr">
        <is>
          <t>12 × Roses Red; 2 × Baby's Breath; 3 × Ruscus Israeli</t>
        </is>
      </c>
      <c r="H133" s="30" t="inlineStr">
        <is>
          <t>12 × Roses Red; 2 × Baby's Breath; 3 × Ruscus Israeli</t>
        </is>
      </c>
      <c r="I133" s="30" t="inlineStr">
        <is>
          <t>12 × Roses Red; 2 × Baby's Breath; 3 × Ruscus Israeli</t>
        </is>
      </c>
      <c r="J133" s="30" t="inlineStr">
        <is>
          <t>3 × Ruscus Israeli; 2 × Baby's Breath; 12 × Roses Red</t>
        </is>
      </c>
      <c r="K133" s="30" t="inlineStr">
        <is>
          <t>N</t>
        </is>
      </c>
      <c r="L133" s="30" t="n"/>
      <c r="M133" s="30" t="inlineStr">
        <is>
          <t>A florist-designed bouquet of 12 red roses. Chosen for a thank-you or an anniversary, it says you were thinking of them.</t>
        </is>
      </c>
      <c r="N133" s="30">
        <f>LEN(TRIM(SUBSTITUTE(M133,CHAR(10)," ")))-LEN(SUBSTITUTE(TRIM(SUBSTITUTE(M133,CHAR(10)," "))," ",""))+1</f>
        <v/>
      </c>
      <c r="O133" s="30" t="inlineStr">
        <is>
          <t>&lt;p&gt;A florist-designed bouquet of 12 red roses. Chosen for a thank-you or an anniversary, it says you were thinking of them.&lt;/p&gt;</t>
        </is>
      </c>
      <c r="P133" s="29" t="inlineStr">
        <is>
          <t>ok</t>
        </is>
      </c>
      <c r="Q133" s="30" t="inlineStr">
        <is>
          <t>12 Red Medium Stemmed Roses brings together 12 red roses. It suits an anniversary or a thank-you.
Red tones say love and devotion. We hand-arrange each one at Aussie Blooms so it looks the way you pictured it, ready for the bedside table.</t>
        </is>
      </c>
      <c r="R133" s="30" t="inlineStr">
        <is>
          <t>&lt;p&gt;12 Red Medium Stemmed Roses brings together 12 red roses. It suits an anniversary or a thank-you.&lt;/p&gt;&lt;p&gt;Red tones say love and devotion. We hand-arrange each one at Aussie Blooms so it looks the way you pictured it, ready for the bedside table.&lt;/p&gt;</t>
        </is>
      </c>
      <c r="S133" s="29" t="inlineStr">
        <is>
          <t>ok</t>
        </is>
      </c>
      <c r="T133" s="30" t="inlineStr">
        <is>
          <t>Inside the bunch: 12 red roses. Say it with flowers, and let the flowers do the talking.</t>
        </is>
      </c>
      <c r="U133" s="30" t="inlineStr">
        <is>
          <t>&lt;p&gt;Inside the bunch: 12 red roses. Say it with flowers, and let the flowers do the talking.&lt;/p&gt;</t>
        </is>
      </c>
      <c r="V133" s="29" t="inlineStr">
        <is>
          <t>ok</t>
        </is>
      </c>
      <c r="W133" s="30" t="n"/>
      <c r="X133" s="30" t="inlineStr">
        <is>
          <t>n/a (Mel's: mason jar products only)</t>
        </is>
      </c>
      <c r="Y133" s="30" t="n"/>
      <c r="Z133" s="48" t="inlineStr">
        <is>
          <t>-</t>
        </is>
      </c>
      <c r="AA133" t="inlineStr">
        <is>
          <t>no sales</t>
        </is>
      </c>
      <c r="AB133" s="44" t="n">
        <v>0</v>
      </c>
      <c r="AC133" t="n">
        <v>0</v>
      </c>
      <c r="AD133" s="45" t="n">
        <v>0</v>
      </c>
      <c r="AE133" s="45" t="n">
        <v>0</v>
      </c>
      <c r="AF133" t="inlineStr">
        <is>
          <t>no sales</t>
        </is>
      </c>
    </row>
    <row r="134" ht="109.5" customHeight="1" s="24">
      <c r="A134" s="30" t="inlineStr">
        <is>
          <t>AU14-11</t>
        </is>
      </c>
      <c r="B134" s="30" t="inlineStr">
        <is>
          <t>12 Mixed Medium Stemmed Roses</t>
        </is>
      </c>
      <c r="C134" s="30" t="inlineStr">
        <is>
          <t>Bouquets</t>
        </is>
      </c>
      <c r="D134" s="43" t="inlineStr">
        <is>
          <t>READY TO REVIEW</t>
        </is>
      </c>
      <c r="E134" s="30" t="n"/>
      <c r="F134" s="30" t="inlineStr">
        <is>
          <t>none</t>
        </is>
      </c>
      <c r="G134" s="30" t="inlineStr">
        <is>
          <t>12 × Roses Assorted; 2 × Baby's Breath; 3 × Ruscus Israeli</t>
        </is>
      </c>
      <c r="H134" s="30" t="inlineStr">
        <is>
          <t>12 × Roses Assorted; 2 × Baby's Breath; 3 × Ruscus Israeli</t>
        </is>
      </c>
      <c r="I134" s="30" t="inlineStr">
        <is>
          <t>12 × Roses Assorted; 2 × Baby's Breath; 3 × Ruscus Israeli</t>
        </is>
      </c>
      <c r="J134" s="30" t="inlineStr">
        <is>
          <t>3 × Ruscus Israeli; 2 × Baby's Breath; 12 × Roses Assorted</t>
        </is>
      </c>
      <c r="K134" s="30" t="inlineStr">
        <is>
          <t>N</t>
        </is>
      </c>
      <c r="L134" s="30" t="n"/>
      <c r="M134" s="30" t="inlineStr">
        <is>
          <t>A florist-designed bouquet of 12 assorted-colour roses. Chosen for a birthday, a thank-you or a just-because moment, it says you were thinking of them.</t>
        </is>
      </c>
      <c r="N134" s="30">
        <f>LEN(TRIM(SUBSTITUTE(M134,CHAR(10)," ")))-LEN(SUBSTITUTE(TRIM(SUBSTITUTE(M134,CHAR(10)," "))," ",""))+1</f>
        <v/>
      </c>
      <c r="O134" s="30" t="inlineStr">
        <is>
          <t>&lt;p&gt;A florist-designed bouquet of 12 assorted-colour roses. Chosen for a birthday, a thank-you or a just-because moment, it says you were thinking of them.&lt;/p&gt;</t>
        </is>
      </c>
      <c r="P134" s="29" t="inlineStr">
        <is>
          <t>ok</t>
        </is>
      </c>
      <c r="Q134" s="30" t="inlineStr">
        <is>
          <t>12 Mixed Medium Stemmed Roses brings together 12 assorted-colour roses. It suits a birthday, a thank-you or a just-because moment.
Mixed colours say thoughtfulness. We hand-arrange each one at Aussie Blooms so it looks the way you pictured it, ready for the kitchen bench.</t>
        </is>
      </c>
      <c r="R134" s="30" t="inlineStr">
        <is>
          <t>&lt;p&gt;12 Mixed Medium Stemmed Roses brings together 12 assorted-colour roses. It suits a birthday, a thank-you or a just-because moment.&lt;/p&gt;&lt;p&gt;Mixed colours say thoughtfulness. We hand-arrange each one at Aussie Blooms so it looks the way you pictured it, ready for the kitchen bench.&lt;/p&gt;</t>
        </is>
      </c>
      <c r="S134" s="29" t="inlineStr">
        <is>
          <t>ok</t>
        </is>
      </c>
      <c r="T134" s="30" t="inlineStr">
        <is>
          <t>Inside the bunch: 12 assorted-colour roses. Made for the moment someone opens the door and smiles.</t>
        </is>
      </c>
      <c r="U134" s="30" t="inlineStr">
        <is>
          <t>&lt;p&gt;Inside the bunch: 12 assorted-colour roses. Made for the moment someone opens the door and smiles.&lt;/p&gt;</t>
        </is>
      </c>
      <c r="V134" s="29" t="inlineStr">
        <is>
          <t>ok</t>
        </is>
      </c>
      <c r="W134" s="30" t="n"/>
      <c r="X134" s="30" t="inlineStr">
        <is>
          <t>n/a (Mel's: mason jar products only)</t>
        </is>
      </c>
      <c r="Y134" s="30" t="n"/>
      <c r="Z134" s="48" t="inlineStr">
        <is>
          <t>-</t>
        </is>
      </c>
      <c r="AA134" t="inlineStr">
        <is>
          <t>no sales</t>
        </is>
      </c>
      <c r="AB134" s="44" t="n">
        <v>0</v>
      </c>
      <c r="AC134" t="n">
        <v>0</v>
      </c>
      <c r="AD134" s="45" t="n">
        <v>0</v>
      </c>
      <c r="AE134" s="45" t="n">
        <v>0</v>
      </c>
      <c r="AF134" t="inlineStr">
        <is>
          <t>no sales</t>
        </is>
      </c>
    </row>
    <row r="135" ht="109.5" customHeight="1" s="24">
      <c r="A135" s="30" t="inlineStr">
        <is>
          <t>AU77-21</t>
        </is>
      </c>
      <c r="B135" s="30" t="inlineStr">
        <is>
          <t>12 mixed Colour Medium Stemmed Roses</t>
        </is>
      </c>
      <c r="C135" s="30" t="inlineStr">
        <is>
          <t>Bouquets</t>
        </is>
      </c>
      <c r="D135" s="43" t="inlineStr">
        <is>
          <t>READY TO REVIEW</t>
        </is>
      </c>
      <c r="E135" s="30" t="n"/>
      <c r="F135" s="30" t="inlineStr">
        <is>
          <t>none</t>
        </is>
      </c>
      <c r="G135" s="30" t="inlineStr">
        <is>
          <t>12 × Roses Assorted; 2 × Baby's Breath; 3 × Ruscus Israeli</t>
        </is>
      </c>
      <c r="H135" s="30" t="inlineStr">
        <is>
          <t>12 × Roses Assorted; 2 × Baby's Breath; 3 × Ruscus Israeli</t>
        </is>
      </c>
      <c r="I135" s="30" t="inlineStr">
        <is>
          <t>12 × Roses Assorted; 2 × Baby's Breath; 3 × Ruscus Israeli</t>
        </is>
      </c>
      <c r="J135" s="30" t="inlineStr">
        <is>
          <t>3 × Ruscus Israeli; 2 × Baby's Breath; 12 × Roses Assorted</t>
        </is>
      </c>
      <c r="K135" s="30" t="inlineStr">
        <is>
          <t>N</t>
        </is>
      </c>
      <c r="L135" s="30" t="n"/>
      <c r="M135" s="30" t="inlineStr">
        <is>
          <t>A hand-arranged bouquet of 12 assorted-colour roses. A lovely way to mark a birthday, a thank-you or a just-because moment, and a bright moment when the door opens.</t>
        </is>
      </c>
      <c r="N135" s="30">
        <f>LEN(TRIM(SUBSTITUTE(M135,CHAR(10)," ")))-LEN(SUBSTITUTE(TRIM(SUBSTITUTE(M135,CHAR(10)," "))," ",""))+1</f>
        <v/>
      </c>
      <c r="O135" s="30" t="inlineStr">
        <is>
          <t>&lt;p&gt;A hand-arranged bouquet of 12 assorted-colour roses. A lovely way to mark a birthday, a thank-you or a just-because moment, and a bright moment when the door opens.&lt;/p&gt;</t>
        </is>
      </c>
      <c r="P135" s="29" t="inlineStr">
        <is>
          <t>ok</t>
        </is>
      </c>
      <c r="Q135" s="30" t="inlineStr">
        <is>
          <t>12 mixed Colour Medium Stemmed Roses brings together 12 assorted-colour roses. It suits a birthday, a thank-you or a just-because moment.
Mixed colours say thoughtfulness. We hand-arrange each one at Aussie Blooms so it looks the way you pictured it, ready for a summer table.</t>
        </is>
      </c>
      <c r="R135" s="30" t="inlineStr">
        <is>
          <t>&lt;p&gt;12 mixed Colour Medium Stemmed Roses brings together 12 assorted-colour roses. It suits a birthday, a thank-you or a just-because moment.&lt;/p&gt;&lt;p&gt;Mixed colours say thoughtfulness. We hand-arrange each one at Aussie Blooms so it looks the way you pictured it, ready for a summer table.&lt;/p&gt;</t>
        </is>
      </c>
      <c r="S135" s="29" t="inlineStr">
        <is>
          <t>ok</t>
        </is>
      </c>
      <c r="T135" s="30" t="inlineStr">
        <is>
          <t>In this bunch: 12 assorted-colour roses. Hand it over and watch the day get a little better.</t>
        </is>
      </c>
      <c r="U135" s="30" t="inlineStr">
        <is>
          <t>&lt;p&gt;In this bunch: 12 assorted-colour roses. Hand it over and watch the day get a little better.&lt;/p&gt;</t>
        </is>
      </c>
      <c r="V135" s="29" t="inlineStr">
        <is>
          <t>ok</t>
        </is>
      </c>
      <c r="W135" s="30" t="n"/>
      <c r="X135" s="30" t="inlineStr">
        <is>
          <t>n/a (Mel's: mason jar products only)</t>
        </is>
      </c>
      <c r="Y135" s="30" t="n"/>
      <c r="Z135" s="48" t="inlineStr">
        <is>
          <t>-</t>
        </is>
      </c>
      <c r="AA135" t="inlineStr">
        <is>
          <t>no sales</t>
        </is>
      </c>
      <c r="AB135" s="44" t="n">
        <v>0</v>
      </c>
      <c r="AC135" t="n">
        <v>0</v>
      </c>
      <c r="AD135" s="45" t="n">
        <v>0</v>
      </c>
      <c r="AE135" s="45" t="n">
        <v>0</v>
      </c>
      <c r="AF135" t="inlineStr">
        <is>
          <t>no sales</t>
        </is>
      </c>
    </row>
    <row r="136" ht="109.5" customHeight="1" s="24">
      <c r="A136" s="30" t="inlineStr">
        <is>
          <t>AU11-50</t>
        </is>
      </c>
      <c r="B136" s="30" t="inlineStr">
        <is>
          <t>Dozen Fall Colour Roses</t>
        </is>
      </c>
      <c r="C136" s="30" t="inlineStr">
        <is>
          <t>Bouquets</t>
        </is>
      </c>
      <c r="D136" s="43" t="inlineStr">
        <is>
          <t>READY TO REVIEW</t>
        </is>
      </c>
      <c r="E136" s="30" t="n"/>
      <c r="F136" s="30" t="inlineStr">
        <is>
          <t>none</t>
        </is>
      </c>
      <c r="G136" s="30" t="inlineStr">
        <is>
          <t>4 × Roses Red; 4 × Roses Orange; 4 × Roses Yellow; 3 × Ruscus Israeli</t>
        </is>
      </c>
      <c r="H136" s="30" t="inlineStr">
        <is>
          <t>4 × Roses Red; 4 × Roses Orange; 4 × Roses Yellow; 3 × Ruscus Israeli</t>
        </is>
      </c>
      <c r="I136" s="30" t="inlineStr">
        <is>
          <t>4 × Roses Red; 4 × Roses Orange; 4 × Roses Yellow; 3 × Ruscus Israeli</t>
        </is>
      </c>
      <c r="J136" s="30" t="inlineStr">
        <is>
          <t>4 × Roses Yellow; 3 × Ruscus Israeli; 4 × Roses Orange; 4 × Roses Red</t>
        </is>
      </c>
      <c r="K136" s="30" t="inlineStr">
        <is>
          <t>N</t>
        </is>
      </c>
      <c r="L136" s="30" t="n"/>
      <c r="M136" s="30" t="inlineStr">
        <is>
          <t>A florist-designed bouquet of 4 orange roses, 4 red roses and 4 yellow roses. A lovely way to mark an anniversary or a thank-you, and a bright moment when the door opens.</t>
        </is>
      </c>
      <c r="N136" s="30">
        <f>LEN(TRIM(SUBSTITUTE(M136,CHAR(10)," ")))-LEN(SUBSTITUTE(TRIM(SUBSTITUTE(M136,CHAR(10)," "))," ",""))+1</f>
        <v/>
      </c>
      <c r="O136" s="30" t="inlineStr">
        <is>
          <t>&lt;p&gt;A florist-designed bouquet of 4 orange roses, 4 red roses and 4 yellow roses. A lovely way to mark an anniversary or a thank-you, and a bright moment when the door opens.&lt;/p&gt;</t>
        </is>
      </c>
      <c r="P136" s="29" t="inlineStr">
        <is>
          <t>ok</t>
        </is>
      </c>
      <c r="Q136" s="30" t="inlineStr">
        <is>
          <t>Dozen Fall Colour Roses brings together 4 orange roses, 4 red roses and 4 yellow roses. It suits an anniversary or a thank-you.
Orange tones say warmth and energy. We hand-arrange each one at Aussie Blooms so it looks the way you pictured it, ready for a summer table.</t>
        </is>
      </c>
      <c r="R136" s="30" t="inlineStr">
        <is>
          <t>&lt;p&gt;Dozen Fall Colour Roses brings together 4 orange roses, 4 red roses and 4 yellow roses. It suits an anniversary or a thank-you.&lt;/p&gt;&lt;p&gt;Orange tones say warmth and energy. We hand-arrange each one at Aussie Blooms so it looks the way you pictured it, ready for a summer table.&lt;/p&gt;</t>
        </is>
      </c>
      <c r="S136" s="29" t="inlineStr">
        <is>
          <t>ok</t>
        </is>
      </c>
      <c r="T136" s="30" t="inlineStr">
        <is>
          <t>Inside the bunch: 4 orange roses, 4 red roses and 4 yellow roses. Say it with flowers, and let the flowers do the talking.</t>
        </is>
      </c>
      <c r="U136" s="30" t="inlineStr">
        <is>
          <t>&lt;p&gt;Inside the bunch: 4 orange roses, 4 red roses and 4 yellow roses. Say it with flowers, and let the flowers do the talking.&lt;/p&gt;</t>
        </is>
      </c>
      <c r="V136" s="29" t="inlineStr">
        <is>
          <t>ok</t>
        </is>
      </c>
      <c r="W136" s="30" t="n"/>
      <c r="X136" s="30" t="inlineStr">
        <is>
          <t>n/a (Mel's: mason jar products only)</t>
        </is>
      </c>
      <c r="Y136" s="30" t="n"/>
      <c r="Z136" s="48" t="inlineStr">
        <is>
          <t>-</t>
        </is>
      </c>
      <c r="AA136" t="inlineStr">
        <is>
          <t>no sales</t>
        </is>
      </c>
      <c r="AB136" s="44" t="n">
        <v>0</v>
      </c>
      <c r="AC136" t="n">
        <v>0</v>
      </c>
      <c r="AD136" s="45" t="n">
        <v>0</v>
      </c>
      <c r="AE136" s="45" t="n">
        <v>0</v>
      </c>
      <c r="AF136" t="inlineStr">
        <is>
          <t>no sales</t>
        </is>
      </c>
    </row>
    <row r="137" ht="109.5" customHeight="1" s="24">
      <c r="A137" s="30" t="inlineStr">
        <is>
          <t>AU22-62</t>
        </is>
      </c>
      <c r="B137" s="30" t="inlineStr">
        <is>
          <t>Pink Delight</t>
        </is>
      </c>
      <c r="C137" s="30" t="inlineStr">
        <is>
          <t>Bouquets</t>
        </is>
      </c>
      <c r="D137" s="43" t="inlineStr">
        <is>
          <t>READY TO REVIEW</t>
        </is>
      </c>
      <c r="E137" s="30" t="inlineStr">
        <is>
          <t>A romantic flush of pink roses, chrysanthemums, alstroemeria and carnations gathered into one generous, joyful bouquet. Soft yet striking, it's a heartfelt way to say congratulations, mark a new arrival, or simply tell someone you adore them.</t>
        </is>
      </c>
      <c r="F137" s="30" t="inlineStr">
        <is>
          <t>Shopify (28 Sep)</t>
        </is>
      </c>
      <c r="G137" s="30" t="inlineStr">
        <is>
          <t>5 × Roses Pink; 5 × Chrysanthemum Daisies Lavender; 5 × Carnation Pink; 4 × Ruscus Israeli; 3 × Alstroemeria Pink</t>
        </is>
      </c>
      <c r="H137" s="30" t="inlineStr">
        <is>
          <t>5 × Roses Pink; 5 × Chrysanthemum Daisies Lavender; 5 × Carnation Pink; 4 × Ruscus Israeli; 3 × Alstroemeria Pink</t>
        </is>
      </c>
      <c r="I137" s="30" t="inlineStr">
        <is>
          <t>5 × Roses Pink; 5 × Chrysanthemum Daisies Lavender; 5 × Carnation Pink; 4 × Ruscus Israeli; 3 × Alstroemeria Pink</t>
        </is>
      </c>
      <c r="J137" s="30" t="inlineStr">
        <is>
          <t>5 × Carnation Pink; 3 × Alstroemeria Pink; 4 × Ruscus Israeli; 5 × Chrysanthemum Daisies Lavender; 5 × Roses Pink</t>
        </is>
      </c>
      <c r="K137" s="30" t="inlineStr">
        <is>
          <t>Y</t>
        </is>
      </c>
      <c r="L137" s="30" t="n"/>
      <c r="M137" s="30" t="inlineStr">
        <is>
          <t>A florist-designed bouquet of 5 lavender chrysanthemum daisies, 5 pink carnations, 5 pink roses and 3 pink alstroemeria. Chosen for a birthday, a thank-you or a just-because moment, it is a gift that says you care.</t>
        </is>
      </c>
      <c r="N137" s="30">
        <f>LEN(TRIM(SUBSTITUTE(M137,CHAR(10)," ")))-LEN(SUBSTITUTE(TRIM(SUBSTITUTE(M137,CHAR(10)," "))," ",""))+1</f>
        <v/>
      </c>
      <c r="O137" s="30" t="inlineStr">
        <is>
          <t>&lt;p&gt;A florist-designed bouquet of 5 lavender chrysanthemum daisies, 5 pink carnations, 5 pink roses and 3 pink alstroemeria. Chosen for a birthday, a thank-you or a just-because moment, it is a gift that says you care.&lt;/p&gt;</t>
        </is>
      </c>
      <c r="P137" s="29" t="inlineStr">
        <is>
          <t>ok</t>
        </is>
      </c>
      <c r="Q137" s="30" t="inlineStr">
        <is>
          <t>Pink Delight brings together 5 lavender chrysanthemum daisies, 5 pink carnations, 5 pink roses and 3 pink alstroemeria. It suits a birthday, a thank-you or a just-because moment.
Pink tones say affection. We hand-arrange each one at Aussie Blooms so it looks the way you pictured it, ready for the bedside table.</t>
        </is>
      </c>
      <c r="R137" s="30" t="inlineStr">
        <is>
          <t>&lt;p&gt;Pink Delight brings together 5 lavender chrysanthemum daisies, 5 pink carnations, 5 pink roses and 3 pink alstroemeria. It suits a birthday, a thank-you or a just-because moment.&lt;/p&gt;&lt;p&gt;Pink tones say affection. We hand-arrange each one at Aussie Blooms so it looks the way you pictured it, ready for the bedside table.&lt;/p&gt;</t>
        </is>
      </c>
      <c r="S137" s="29" t="inlineStr">
        <is>
          <t>ok</t>
        </is>
      </c>
      <c r="T137" s="30" t="inlineStr">
        <is>
          <t>Inside the bunch: 5 lavender chrysanthemum daisies, 5 pink carnations, 5 pink roses and 3 pink alstroemeria. Calm colour for the kind of day that deserves a pause.</t>
        </is>
      </c>
      <c r="U137" s="30" t="inlineStr">
        <is>
          <t>&lt;p&gt;Inside the bunch: 5 lavender chrysanthemum daisies, 5 pink carnations, 5 pink roses and 3 pink alstroemeria. Calm colour for the kind of day that deserves a pause.&lt;/p&gt;</t>
        </is>
      </c>
      <c r="V137" s="29" t="inlineStr">
        <is>
          <t>ok</t>
        </is>
      </c>
      <c r="W137" s="30" t="n"/>
      <c r="X137" s="30" t="inlineStr">
        <is>
          <t>n/a (Mel's: mason jar products only)</t>
        </is>
      </c>
      <c r="Y137" s="30" t="n"/>
      <c r="Z137" s="48" t="inlineStr">
        <is>
          <t>-</t>
        </is>
      </c>
      <c r="AA137" t="n">
        <v>181</v>
      </c>
      <c r="AB137" s="44" t="n">
        <v>3404.02</v>
      </c>
      <c r="AC137" t="n">
        <v>23</v>
      </c>
      <c r="AD137" s="45" t="n">
        <v>0.0003900222744193263</v>
      </c>
      <c r="AE137" s="45" t="n">
        <v>0.0009715438931579069</v>
      </c>
      <c r="AF137" t="n">
        <v>91</v>
      </c>
    </row>
    <row r="138" ht="109.5" customHeight="1" s="24">
      <c r="A138" s="30" t="inlineStr">
        <is>
          <t>AU111-59</t>
        </is>
      </c>
      <c r="B138" s="30" t="inlineStr">
        <is>
          <t>Teddy Bear Beauty</t>
        </is>
      </c>
      <c r="C138" s="30" t="inlineStr">
        <is>
          <t>Bouquets</t>
        </is>
      </c>
      <c r="D138" s="43" t="inlineStr">
        <is>
          <t>READY TO REVIEW</t>
        </is>
      </c>
      <c r="E138" s="30" t="inlineStr">
        <is>
          <t>Cheerful gerberas, roses, chrysanthemums and carnations come together in a bright, uplifting bouquet paired with a cuddly teddy bear. A thoughtful pick to brighten a hospital bedside, celebrate good news, or send a little extra love.</t>
        </is>
      </c>
      <c r="F138" s="30" t="inlineStr">
        <is>
          <t>Shopify (28 Sep)</t>
        </is>
      </c>
      <c r="G138" s="30" t="inlineStr">
        <is>
          <t>3 × Roses Yellow; 3 × Gerbera Daisies Hot Pink; 3 × Carnation Pink; 3 × Chrysanthemum Button Green; 3 × Ruscus Israeli; 1 × Teddy Bear</t>
        </is>
      </c>
      <c r="H138" s="30" t="inlineStr">
        <is>
          <t>3 × Roses Yellow; 3 × Gerbera Daisies Hot Pink; 3 × Carnation Pink; 3 × Chrysanthemum Button Green; 3 × Ruscus Israeli; 1 × Teddy Bear</t>
        </is>
      </c>
      <c r="I138" s="30" t="inlineStr">
        <is>
          <t>3 × Roses Yellow; 3 × Gerbera Daisies Hot Pink; 3 × Carnation Pink; 3 × Chrysanthemum Button Green; 3 × Ruscus Israeli; 1 × Teddy Bear</t>
        </is>
      </c>
      <c r="J138" s="30" t="inlineStr">
        <is>
          <t>3 × Carnation Pink; 1 × Teddy Bear; 3 × Ruscus Israeli; 3 × Chrysanthemum Button Green; 3 × Gerbera Daisies Hot Pink; 3 × Roses Yellow</t>
        </is>
      </c>
      <c r="K138" s="30" t="inlineStr">
        <is>
          <t>Y</t>
        </is>
      </c>
      <c r="L138" s="30" t="n"/>
      <c r="M138" s="30" t="inlineStr">
        <is>
          <t>A fresh arrangement of 3 hot pink gerberas, 3 pink carnations and 3 yellow roses, plus a teddy bear. A lovely way to mark a birthday, a thank-you or a just-because moment, and a bright moment when the door opens.</t>
        </is>
      </c>
      <c r="N138" s="30">
        <f>LEN(TRIM(SUBSTITUTE(M138,CHAR(10)," ")))-LEN(SUBSTITUTE(TRIM(SUBSTITUTE(M138,CHAR(10)," "))," ",""))+1</f>
        <v/>
      </c>
      <c r="O138" s="30" t="inlineStr">
        <is>
          <t>&lt;p&gt;A fresh arrangement of 3 hot pink gerberas, 3 pink carnations and 3 yellow roses, plus a teddy bear. A lovely way to mark a birthday, a thank-you or a just-because moment, and a bright moment when the door opens.&lt;/p&gt;</t>
        </is>
      </c>
      <c r="P138" s="29" t="inlineStr">
        <is>
          <t>ok</t>
        </is>
      </c>
      <c r="Q138" s="30" t="inlineStr">
        <is>
          <t>Teddy Bear Beauty brings together 3 hot pink gerberas, 3 pink carnations and 3 yellow roses, plus a teddy bear. It suits a birthday, a thank-you or a just-because moment.
Green tones say a fresh start. We hand-arrange each one at Aussie Blooms so it looks the way you pictured it, ready for a summer table.</t>
        </is>
      </c>
      <c r="R138" s="30" t="inlineStr">
        <is>
          <t>&lt;p&gt;Teddy Bear Beauty brings together 3 hot pink gerberas, 3 pink carnations and 3 yellow roses, plus a teddy bear. It suits a birthday, a thank-you or a just-because moment.&lt;/p&gt;&lt;p&gt;Green tones say a fresh start. We hand-arrange each one at Aussie Blooms so it looks the way you pictured it, ready for a summer table.&lt;/p&gt;</t>
        </is>
      </c>
      <c r="S138" s="29" t="inlineStr">
        <is>
          <t>ok</t>
        </is>
      </c>
      <c r="T138" s="30" t="inlineStr">
        <is>
          <t>The bunch holds: 3 hot pink gerberas, 3 pink carnations and 3 yellow roses, plus a teddy bear. Enough colour to turn an ordinary bench into the best spot in the house.</t>
        </is>
      </c>
      <c r="U138" s="30" t="inlineStr">
        <is>
          <t>&lt;p&gt;The bunch holds: 3 hot pink gerberas, 3 pink carnations and 3 yellow roses, plus a teddy bear. Enough colour to turn an ordinary bench into the best spot in the house.&lt;/p&gt;</t>
        </is>
      </c>
      <c r="V138" s="29" t="inlineStr">
        <is>
          <t>ok</t>
        </is>
      </c>
      <c r="W138" s="30" t="n"/>
      <c r="X138" s="30" t="inlineStr">
        <is>
          <t>n/a (Mel's: mason jar products only)</t>
        </is>
      </c>
      <c r="Y138" s="30" t="n"/>
      <c r="Z138" s="48" t="inlineStr">
        <is>
          <t>-</t>
        </is>
      </c>
      <c r="AA138" t="n">
        <v>161</v>
      </c>
      <c r="AB138" s="44" t="n">
        <v>4912.27</v>
      </c>
      <c r="AC138" t="n">
        <v>44</v>
      </c>
      <c r="AD138" s="45" t="n">
        <v>0.0005628329792309752</v>
      </c>
      <c r="AE138" s="45" t="n">
        <v>0.001402014653275478</v>
      </c>
      <c r="AF138" t="n">
        <v>79</v>
      </c>
    </row>
    <row r="139" ht="109.5" customHeight="1" s="24">
      <c r="A139" s="30" t="inlineStr">
        <is>
          <t>AU219-40</t>
        </is>
      </c>
      <c r="B139" s="30" t="inlineStr">
        <is>
          <t>Pink and Lavender Bouquet</t>
        </is>
      </c>
      <c r="C139" s="30" t="inlineStr">
        <is>
          <t>Bouquets</t>
        </is>
      </c>
      <c r="D139" s="46" t="inlineStr">
        <is>
          <t>READY - NOTIFY JARROD</t>
        </is>
      </c>
      <c r="E139" s="30" t="inlineStr">
        <is>
          <t>Delicate chrysanthemums, soft carnations and elegant roses in dreamy shades of pink and lavender make for a gentle, romantic display. Perfect for a heartfelt thank-you, a token of love, or a just-because surprise that lingers.</t>
        </is>
      </c>
      <c r="F139" s="30" t="inlineStr">
        <is>
          <t>Shopify (28 Sep)</t>
        </is>
      </c>
      <c r="G139" s="30" t="inlineStr">
        <is>
          <t>2 × Roses Spray Peach; 3 × Roses Yellow; 3 × Chrysanthemum Daisies Lavender; 2 × Chrysanthemum Spray Lavender; 1 × Chrysanthemum Button Green; 2 × Ruscus Israeli; 2 × Mini Carnations Red</t>
        </is>
      </c>
      <c r="H139" s="30" t="inlineStr">
        <is>
          <t>2 × Roses Spray Peach; 3 × Roses Yellow; 3 × Chrysanthemum Daisies Lavender; 2 × Chrysanthemum Spray Lavender; 1 × Chrysanthemum Button Green; 2 × Ruscus Israeli; 2 × Mini Carnations Red</t>
        </is>
      </c>
      <c r="I139" s="31" t="inlineStr">
        <is>
          <t>3 × Chrysanthemum Daisies Lavender; 2 × Ruscus Israeli; 2 × Chrysanthemum Spray Lavender; 1 × Chrysanthemum Button Green; 2 × Roses Spray Peach; 3 × Roses light pink; 2 × Mini Carnations Pink</t>
        </is>
      </c>
      <c r="J139" s="30" t="inlineStr">
        <is>
          <t>3 × Chrysanthemum Daisies Lavender; 2 × Mini Carnations Red; 2 × Ruscus Israeli; 2 × Chrysanthemum Spray Lavender; 1 × Chrysanthemum Button Green; 3 × Roses Yellow; 2 × Roses Spray Peach</t>
        </is>
      </c>
      <c r="K139" s="30" t="inlineStr">
        <is>
          <t>Y</t>
        </is>
      </c>
      <c r="L139" s="30" t="inlineStr">
        <is>
          <t>Title promises more than recipe: Title says pink; no pink stem in the master Standard</t>
        </is>
      </c>
      <c r="M139" s="30" t="inlineStr">
        <is>
          <t>A florist-designed bouquet of 3 lavender chrysanthemum daisies, 3 light pink roses, 2 lavender spray chrysanthemums and 2 peach spray roses. Chosen for a birthday, a thank-you or a just-because moment, it says you were thinking of them.</t>
        </is>
      </c>
      <c r="N139" s="30">
        <f>LEN(TRIM(SUBSTITUTE(M139,CHAR(10)," ")))-LEN(SUBSTITUTE(TRIM(SUBSTITUTE(M139,CHAR(10)," "))," ",""))+1</f>
        <v/>
      </c>
      <c r="O139" s="30" t="inlineStr">
        <is>
          <t>&lt;p&gt;A florist-designed bouquet of 3 lavender chrysanthemum daisies, 3 light pink roses, 2 lavender spray chrysanthemums and 2 peach spray roses. Chosen for a birthday, a thank-you or a just-because moment, it says you were thinking of them.&lt;/p&gt;</t>
        </is>
      </c>
      <c r="P139" s="29" t="inlineStr">
        <is>
          <t>ok</t>
        </is>
      </c>
      <c r="Q139" s="30" t="inlineStr">
        <is>
          <t>Pink and Lavender Bouquet brings together 3 lavender chrysanthemum daisies, 3 light pink roses, 2 lavender spray chrysanthemums and 2 peach spray roses. It suits a birthday, a thank-you or a just-because moment.
Lavender tones say thoughtfulness. We hand-arrange each one at Aussie Blooms so it looks the way you pictured it, ready for a summer table.</t>
        </is>
      </c>
      <c r="R139" s="30" t="inlineStr">
        <is>
          <t>&lt;p&gt;Pink and Lavender Bouquet brings together 3 lavender chrysanthemum daisies, 3 light pink roses, 2 lavender spray chrysanthemums and 2 peach spray roses. It suits a birthday, a thank-you or a just-because moment.&lt;/p&gt;&lt;p&gt;Lavender tones say thoughtfulness. We hand-arrange each one at Aussie Blooms so it looks the way you pictured it, ready for a summer table.&lt;/p&gt;</t>
        </is>
      </c>
      <c r="S139" s="29" t="inlineStr">
        <is>
          <t>ok</t>
        </is>
      </c>
      <c r="T139" s="30" t="inlineStr">
        <is>
          <t>Inside the bunch: 3 lavender chrysanthemum daisies, 3 light pink roses, 2 lavender spray chrysanthemums and 2 peach spray roses. Calm colour for the kind of day that deserves a pause.</t>
        </is>
      </c>
      <c r="U139" s="30" t="inlineStr">
        <is>
          <t>&lt;p&gt;Inside the bunch: 3 lavender chrysanthemum daisies, 3 light pink roses, 2 lavender spray chrysanthemums and 2 peach spray roses. Calm colour for the kind of day that deserves a pause.&lt;/p&gt;</t>
        </is>
      </c>
      <c r="V139" s="29" t="inlineStr">
        <is>
          <t>ok</t>
        </is>
      </c>
      <c r="W139" s="30" t="n"/>
      <c r="X139" s="30" t="inlineStr">
        <is>
          <t>n/a (Mel's: mason jar products only)</t>
        </is>
      </c>
      <c r="Y139" s="30" t="n"/>
      <c r="Z139" s="48" t="inlineStr">
        <is>
          <t>-</t>
        </is>
      </c>
      <c r="AA139" t="n">
        <v>103</v>
      </c>
      <c r="AB139" s="44" t="n">
        <v>14231.77</v>
      </c>
      <c r="AC139" t="n">
        <v>138</v>
      </c>
      <c r="AD139" s="45" t="n">
        <v>0.001630632873599585</v>
      </c>
      <c r="AE139" s="45" t="n">
        <v>0.004061899830431081</v>
      </c>
      <c r="AF139" t="n">
        <v>49</v>
      </c>
    </row>
    <row r="140" ht="109.5" customHeight="1" s="24">
      <c r="A140" s="30" t="inlineStr">
        <is>
          <t>AU215-40</t>
        </is>
      </c>
      <c r="B140" s="30" t="inlineStr">
        <is>
          <t>Country Classic Bouquet</t>
        </is>
      </c>
      <c r="C140" s="30" t="inlineStr">
        <is>
          <t>Bouquets</t>
        </is>
      </c>
      <c r="D140" s="43" t="inlineStr">
        <is>
          <t>READY TO REVIEW</t>
        </is>
      </c>
      <c r="E140" s="30" t="inlineStr">
        <is>
          <t>Lush roses, graceful alstroemeria and ruffled carnations come together with relaxed, country-garden charm. A warm, welcoming bouquet for a housewarming, a proud graduation, or simply brightening an ordinary day.</t>
        </is>
      </c>
      <c r="F140" s="30" t="inlineStr">
        <is>
          <t>Shopify (28 Sep)</t>
        </is>
      </c>
      <c r="G140" s="30" t="inlineStr">
        <is>
          <t>2 × Roses White; 3 × Roses Pink; 1 × Baby's Breath; 2 × Ruscus Israeli; 3 × Mini Carnations White; 3 × Alstroemeria White</t>
        </is>
      </c>
      <c r="H140" s="30" t="inlineStr">
        <is>
          <t>2 × Roses White; 3 × Roses Pink; 1 × Baby's Breath; 2 × Ruscus Israeli; 3 × Mini Carnations White; 3 × Alstroemeria White</t>
        </is>
      </c>
      <c r="I140" s="30" t="inlineStr">
        <is>
          <t>2 × Roses White; 3 × Roses Pink; 1 × Baby's Breath; 2 × Ruscus Israeli; 3 × Mini Carnations White; 3 × Alstroemeria White</t>
        </is>
      </c>
      <c r="J140" s="30" t="inlineStr">
        <is>
          <t>1 × Baby's Breath; 3 × Alstroemeria White; 3 × Mini Carnations White; 2 × Ruscus Israeli; 3 × Roses Pink; 2 × Roses White</t>
        </is>
      </c>
      <c r="K140" s="30" t="inlineStr">
        <is>
          <t>Y</t>
        </is>
      </c>
      <c r="L140" s="30" t="n"/>
      <c r="M140" s="30" t="inlineStr">
        <is>
          <t>A hand-arranged bouquet of 3 pink roses, 3 white alstroemeria and 2 white roses. Chosen for a birthday, a thank-you or a just-because moment, it says you were thinking of them.</t>
        </is>
      </c>
      <c r="N140" s="30">
        <f>LEN(TRIM(SUBSTITUTE(M140,CHAR(10)," ")))-LEN(SUBSTITUTE(TRIM(SUBSTITUTE(M140,CHAR(10)," "))," ",""))+1</f>
        <v/>
      </c>
      <c r="O140" s="30" t="inlineStr">
        <is>
          <t>&lt;p&gt;A hand-arranged bouquet of 3 pink roses, 3 white alstroemeria and 2 white roses. Chosen for a birthday, a thank-you or a just-because moment, it says you were thinking of them.&lt;/p&gt;</t>
        </is>
      </c>
      <c r="P140" s="29" t="inlineStr">
        <is>
          <t>ok</t>
        </is>
      </c>
      <c r="Q140" s="30" t="inlineStr">
        <is>
          <t>Country Classic Bouquet brings together 3 pink roses, 3 white alstroemeria and 2 white roses. It suits a birthday, a thank-you or a just-because moment.
White tones say calm and a fresh start. We hand-arrange each one at Aussie Blooms so it looks the way you pictured it, ready for the bedside table.</t>
        </is>
      </c>
      <c r="R140" s="30" t="inlineStr">
        <is>
          <t>&lt;p&gt;Country Classic Bouquet brings together 3 pink roses, 3 white alstroemeria and 2 white roses. It suits a birthday, a thank-you or a just-because moment.&lt;/p&gt;&lt;p&gt;White tones say calm and a fresh start. We hand-arrange each one at Aussie Blooms so it looks the way you pictured it, ready for the bedside table.&lt;/p&gt;</t>
        </is>
      </c>
      <c r="S140" s="29" t="inlineStr">
        <is>
          <t>ok</t>
        </is>
      </c>
      <c r="T140" s="30" t="inlineStr">
        <is>
          <t>In this bunch: 3 pink roses, 3 white alstroemeria and 2 white roses. Soft colours that make a quiet room feel looked after.</t>
        </is>
      </c>
      <c r="U140" s="30" t="inlineStr">
        <is>
          <t>&lt;p&gt;In this bunch: 3 pink roses, 3 white alstroemeria and 2 white roses. Soft colours that make a quiet room feel looked after.&lt;/p&gt;</t>
        </is>
      </c>
      <c r="V140" s="29" t="inlineStr">
        <is>
          <t>ok</t>
        </is>
      </c>
      <c r="W140" s="30" t="n"/>
      <c r="X140" s="30" t="inlineStr">
        <is>
          <t>n/a (Mel's: mason jar products only)</t>
        </is>
      </c>
      <c r="Y140" s="30" t="n"/>
      <c r="Z140" s="48" t="inlineStr">
        <is>
          <t>-</t>
        </is>
      </c>
      <c r="AA140" t="n">
        <v>109</v>
      </c>
      <c r="AB140" s="44" t="n">
        <v>12028.35</v>
      </c>
      <c r="AC140" t="n">
        <v>138</v>
      </c>
      <c r="AD140" s="45" t="n">
        <v>0.001378171815827082</v>
      </c>
      <c r="AE140" s="45" t="n">
        <v>0.003433020366292181</v>
      </c>
      <c r="AF140" t="n">
        <v>52</v>
      </c>
    </row>
    <row r="141" ht="109.5" customHeight="1" s="24">
      <c r="A141" s="30" t="inlineStr">
        <is>
          <t>AU22-10</t>
        </is>
      </c>
      <c r="B141" s="30" t="inlineStr">
        <is>
          <t>Pink Pleasure</t>
        </is>
      </c>
      <c r="C141" s="30" t="inlineStr">
        <is>
          <t>Bouquets</t>
        </is>
      </c>
      <c r="D141" s="43" t="inlineStr">
        <is>
          <t>READY TO REVIEW</t>
        </is>
      </c>
      <c r="E141" s="30" t="inlineStr">
        <is>
          <t>Twenty-two alstroemeria and twenty-two chrysanthemums mingle with eighteen vivid gerberas in a generous burst of pink. Joyful and full of life, Pink Pleasure is made for celebrating a birthday, welcoming a new baby, or warming a new home with colour.</t>
        </is>
      </c>
      <c r="F141" s="30" t="inlineStr">
        <is>
          <t>Shopify (28 Sep)</t>
        </is>
      </c>
      <c r="G141" s="30" t="inlineStr">
        <is>
          <t>4 × Gerbera Daisies Pink; 2 × Chrysanthemum Daisies Lavender; 3 × Chrysanthemum Daisies Pink; 3 × Ruscus Israeli; 1 × Alstroemeria Pink; 3 × Alstroemeria Lavender</t>
        </is>
      </c>
      <c r="H141" s="30" t="inlineStr">
        <is>
          <t>4 × Gerbera Daisies Pink; 2 × Chrysanthemum Daisies Lavender; 3 × Chrysanthemum Daisies Pink; 3 × Ruscus Israeli; 1 × Alstroemeria Pink; 3 × Alstroemeria Lavender</t>
        </is>
      </c>
      <c r="I141" s="30" t="inlineStr">
        <is>
          <t>4 × Gerbera Daisies Pink; 2 × Chrysanthemum Daisies Lavender; 3 × Chrysanthemum Daisies Pink; 3 × Ruscus Israeli; 1 × Alstroemeria Pink; 3 × Alstroemeria Lavender</t>
        </is>
      </c>
      <c r="J141" s="30" t="inlineStr">
        <is>
          <t>3 × Chrysanthemum Daisies Pink; 3 × Alstroemeria Lavender; 1 × Alstroemeria Pink; 3 × Ruscus Israeli; 2 × Chrysanthemum Daisies Lavender; 4 × Gerbera Daisies Pink</t>
        </is>
      </c>
      <c r="K141" s="30" t="inlineStr">
        <is>
          <t>Y</t>
        </is>
      </c>
      <c r="L141" s="30" t="n"/>
      <c r="M141" s="30" t="inlineStr">
        <is>
          <t>A fresh arrangement of 4 pink gerberas, 3 lavender alstroemeria, 3 pink chrysanthemum daisies, 2 lavender chrysanthemum daisies and 1 pink alstroemeria. A thoughtful choice for a birthday, a thank-you or a just-because moment.</t>
        </is>
      </c>
      <c r="N141" s="30">
        <f>LEN(TRIM(SUBSTITUTE(M141,CHAR(10)," ")))-LEN(SUBSTITUTE(TRIM(SUBSTITUTE(M141,CHAR(10)," "))," ",""))+1</f>
        <v/>
      </c>
      <c r="O141" s="30" t="inlineStr">
        <is>
          <t>&lt;p&gt;A fresh arrangement of 4 pink gerberas, 3 lavender alstroemeria, 3 pink chrysanthemum daisies, 2 lavender chrysanthemum daisies and 1 pink alstroemeria. A thoughtful choice for a birthday, a thank-you or a just-because moment.&lt;/p&gt;</t>
        </is>
      </c>
      <c r="P141" s="29" t="inlineStr">
        <is>
          <t>ok</t>
        </is>
      </c>
      <c r="Q141" s="30" t="inlineStr">
        <is>
          <t>Pink Pleasure brings together 4 pink gerberas, 3 lavender alstroemeria, 3 pink chrysanthemum daisies, 2 lavender chrysanthemum daisies and 1 pink alstroemeria. It suits a birthday, a thank-you or a just-because moment.
Pink tones say affection. We hand-arrange each one at Aussie Blooms so it looks the way you pictured it, ready for the kitchen bench.</t>
        </is>
      </c>
      <c r="R141" s="30" t="inlineStr">
        <is>
          <t>&lt;p&gt;Pink Pleasure brings together 4 pink gerberas, 3 lavender alstroemeria, 3 pink chrysanthemum daisies, 2 lavender chrysanthemum daisies and 1 pink alstroemeria. It suits a birthday, a thank-you or a just-because moment.&lt;/p&gt;&lt;p&gt;Pink tones say affection. We hand-arrange each one at Aussie Blooms so it looks the way you pictured it, ready for the kitchen bench.&lt;/p&gt;</t>
        </is>
      </c>
      <c r="S141" s="29" t="inlineStr">
        <is>
          <t>ok</t>
        </is>
      </c>
      <c r="T141" s="30" t="inlineStr">
        <is>
          <t>The bunch holds: 4 pink gerberas, 3 lavender alstroemeria, 3 pink chrysanthemum daisies, 2 lavender chrysanthemum daisies and 1 pink alstroemeria. Gentle, easy on the eye, and ready for any table you give it.</t>
        </is>
      </c>
      <c r="U141" s="30" t="inlineStr">
        <is>
          <t>&lt;p&gt;The bunch holds: 4 pink gerberas, 3 lavender alstroemeria, 3 pink chrysanthemum daisies, 2 lavender chrysanthemum daisies and 1 pink alstroemeria. Gentle, easy on the eye, and ready for any table you give it.&lt;/p&gt;</t>
        </is>
      </c>
      <c r="V141" s="29" t="inlineStr">
        <is>
          <t>ok</t>
        </is>
      </c>
      <c r="W141" s="30" t="n"/>
      <c r="X141" s="30" t="inlineStr">
        <is>
          <t>n/a (Mel's: mason jar products only)</t>
        </is>
      </c>
      <c r="Y141" s="30" t="n"/>
      <c r="Z141" s="48" t="inlineStr">
        <is>
          <t>-</t>
        </is>
      </c>
      <c r="AA141" t="n">
        <v>134</v>
      </c>
      <c r="AB141" s="44" t="n">
        <v>8142.18</v>
      </c>
      <c r="AC141" t="n">
        <v>100</v>
      </c>
      <c r="AD141" s="45" t="n">
        <v>0.0009329061440030539</v>
      </c>
      <c r="AE141" s="45" t="n">
        <v>0.002323865395752244</v>
      </c>
      <c r="AF141" t="n">
        <v>63</v>
      </c>
    </row>
    <row r="142" ht="109.5" customHeight="1" s="24">
      <c r="A142" s="30" t="inlineStr">
        <is>
          <t>AU25-40</t>
        </is>
      </c>
      <c r="B142" s="30" t="inlineStr">
        <is>
          <t>Sunshine Bouquet</t>
        </is>
      </c>
      <c r="C142" s="30" t="inlineStr">
        <is>
          <t>Bouquets</t>
        </is>
      </c>
      <c r="D142" s="43" t="inlineStr">
        <is>
          <t>READY TO REVIEW</t>
        </is>
      </c>
      <c r="E142" s="30" t="inlineStr">
        <is>
          <t>Golden gerberas, cheerful chrysanthemums, alstroemeria and roses capture pure sunshine in a single bouquet. Radiant and warm, it's a lovely way to say thank you or welcome someone into a new home.</t>
        </is>
      </c>
      <c r="F142" s="30" t="inlineStr">
        <is>
          <t>Shopify (28 Sep)</t>
        </is>
      </c>
      <c r="G142" s="30" t="inlineStr">
        <is>
          <t>2 × Roses Spray Yellow; 3 × Gerbera Daisies Yellow; 3 × Chrysanthemum Daisies Yellow; 2 × Ruscus Israeli; 3 × Alstroemeria Yellow</t>
        </is>
      </c>
      <c r="H142" s="30" t="inlineStr">
        <is>
          <t>2 × Roses Spray Yellow; 3 × Gerbera Daisies Yellow; 3 × Chrysanthemum Daisies Yellow; 2 × Ruscus Israeli; 3 × Alstroemeria Yellow</t>
        </is>
      </c>
      <c r="I142" s="30" t="inlineStr">
        <is>
          <t>2 × Roses Spray Yellow; 3 × Gerbera Daisies Yellow; 3 × Chrysanthemum Daisies Yellow; 2 × Ruscus Israeli; 3 × Alstroemeria Yellow</t>
        </is>
      </c>
      <c r="J142" s="30" t="inlineStr">
        <is>
          <t>3 × Gerbera Daisies Yellow; 3 × Alstroemeria Yellow; 2 × Ruscus Israeli; 3 × Chrysanthemum Daisies Yellow; 2 × Roses Spray Yellow</t>
        </is>
      </c>
      <c r="K142" s="30" t="inlineStr">
        <is>
          <t>Y</t>
        </is>
      </c>
      <c r="L142" s="30" t="n"/>
      <c r="M142" s="30" t="inlineStr">
        <is>
          <t>A hand-arranged bouquet of 3 yellow alstroemeria, 3 yellow chrysanthemum daisies, 3 yellow gerberas and 2 yellow spray roses. A lovely way to mark a get-well wish or a thank-you, and a bright moment when the door opens.</t>
        </is>
      </c>
      <c r="N142" s="30">
        <f>LEN(TRIM(SUBSTITUTE(M142,CHAR(10)," ")))-LEN(SUBSTITUTE(TRIM(SUBSTITUTE(M142,CHAR(10)," "))," ",""))+1</f>
        <v/>
      </c>
      <c r="O142" s="30" t="inlineStr">
        <is>
          <t>&lt;p&gt;A hand-arranged bouquet of 3 yellow alstroemeria, 3 yellow chrysanthemum daisies, 3 yellow gerberas and 2 yellow spray roses. A lovely way to mark a get-well wish or a thank-you, and a bright moment when the door opens.&lt;/p&gt;</t>
        </is>
      </c>
      <c r="P142" s="29" t="inlineStr">
        <is>
          <t>ok</t>
        </is>
      </c>
      <c r="Q142" s="30" t="inlineStr">
        <is>
          <t>Sunshine Bouquet brings together 3 yellow alstroemeria, 3 yellow chrysanthemum daisies, 3 yellow gerberas and 2 yellow spray roses. It suits a get-well wish or a thank-you.
Yellow tones say friendship and cheer. We hand-arrange each one at Aussie Blooms so it looks the way you pictured it, ready for a summer table.</t>
        </is>
      </c>
      <c r="R142" s="30" t="inlineStr">
        <is>
          <t>&lt;p&gt;Sunshine Bouquet brings together 3 yellow alstroemeria, 3 yellow chrysanthemum daisies, 3 yellow gerberas and 2 yellow spray roses. It suits a get-well wish or a thank-you.&lt;/p&gt;&lt;p&gt;Yellow tones say friendship and cheer. We hand-arrange each one at Aussie Blooms so it looks the way you pictured it, ready for a summer table.&lt;/p&gt;</t>
        </is>
      </c>
      <c r="S142" s="29" t="inlineStr">
        <is>
          <t>ok</t>
        </is>
      </c>
      <c r="T142" s="30" t="inlineStr">
        <is>
          <t>In this bunch: 3 yellow alstroemeria, 3 yellow chrysanthemum daisies, 3 yellow gerberas and 2 yellow spray roses. Brings the colour in before anyone has said hello.</t>
        </is>
      </c>
      <c r="U142" s="30" t="inlineStr">
        <is>
          <t>&lt;p&gt;In this bunch: 3 yellow alstroemeria, 3 yellow chrysanthemum daisies, 3 yellow gerberas and 2 yellow spray roses. Brings the colour in before anyone has said hello.&lt;/p&gt;</t>
        </is>
      </c>
      <c r="V142" s="29" t="inlineStr">
        <is>
          <t>ok</t>
        </is>
      </c>
      <c r="W142" s="30" t="n"/>
      <c r="X142" s="30" t="inlineStr">
        <is>
          <t>n/a (Mel's: mason jar products only)</t>
        </is>
      </c>
      <c r="Y142" s="30" t="n"/>
      <c r="Z142" s="48" t="inlineStr">
        <is>
          <t>-</t>
        </is>
      </c>
      <c r="AA142" t="n">
        <v>95</v>
      </c>
      <c r="AB142" s="44" t="n">
        <v>16197.75</v>
      </c>
      <c r="AC142" t="n">
        <v>165</v>
      </c>
      <c r="AD142" s="45" t="n">
        <v>0.001855888433488719</v>
      </c>
      <c r="AE142" s="45" t="n">
        <v>0.004623010510419745</v>
      </c>
      <c r="AF142" t="n">
        <v>43</v>
      </c>
    </row>
    <row r="143" ht="109.5" customHeight="1" s="24">
      <c r="A143" s="30" t="inlineStr">
        <is>
          <t>AU22-40</t>
        </is>
      </c>
      <c r="B143" s="30" t="inlineStr">
        <is>
          <t>Pink Grace</t>
        </is>
      </c>
      <c r="C143" s="30" t="inlineStr">
        <is>
          <t>Bouquets</t>
        </is>
      </c>
      <c r="D143" s="43" t="inlineStr">
        <is>
          <t>READY TO REVIEW</t>
        </is>
      </c>
      <c r="E143" s="30" t="inlineStr">
        <is>
          <t>Graceful roses paired with abundant carnations and bright gerberas create a soft, pretty bouquet full of charm. A gentle pick-me-up for a birthday, a get-well wish, or a thoughtful just-because moment.</t>
        </is>
      </c>
      <c r="F143" s="30" t="inlineStr">
        <is>
          <t>Shopify (28 Sep)</t>
        </is>
      </c>
      <c r="G143" s="30" t="inlineStr">
        <is>
          <t>2 × Roses Pink; 6 × Gerbera Daisies Hot Pink; 4 × Carnation Pink; 3 × Ruscus Israeli; 4 × Mini Carnations Pink</t>
        </is>
      </c>
      <c r="H143" s="30" t="inlineStr">
        <is>
          <t>2 × Roses Pink; 6 × Gerbera Daisies Hot Pink; 4 × Carnation Pink; 3 × Ruscus Israeli; 4 × Mini Carnations Pink</t>
        </is>
      </c>
      <c r="I143" s="30" t="inlineStr">
        <is>
          <t>2 × Roses Pink; 6 × Gerbera Daisies Hot Pink; 4 × Carnation Pink; 3 × Ruscus Israeli; 4 × Mini Carnations Pink</t>
        </is>
      </c>
      <c r="J143" s="30" t="inlineStr">
        <is>
          <t>4 × Carnation Pink; 4 × Mini Carnations Pink; 3 × Ruscus Israeli; 6 × Gerbera Daisies Hot Pink; 2 × Roses Pink</t>
        </is>
      </c>
      <c r="K143" s="30" t="inlineStr">
        <is>
          <t>Y</t>
        </is>
      </c>
      <c r="L143" s="30" t="n"/>
      <c r="M143" s="30" t="inlineStr">
        <is>
          <t>A fresh arrangement of 6 hot pink gerberas, 4 pink carnations and 2 pink roses. A lovely way to mark a birthday, a thank-you or a just-because moment, and a bright moment when the door opens.</t>
        </is>
      </c>
      <c r="N143" s="30">
        <f>LEN(TRIM(SUBSTITUTE(M143,CHAR(10)," ")))-LEN(SUBSTITUTE(TRIM(SUBSTITUTE(M143,CHAR(10)," "))," ",""))+1</f>
        <v/>
      </c>
      <c r="O143" s="30" t="inlineStr">
        <is>
          <t>&lt;p&gt;A fresh arrangement of 6 hot pink gerberas, 4 pink carnations and 2 pink roses. A lovely way to mark a birthday, a thank-you or a just-because moment, and a bright moment when the door opens.&lt;/p&gt;</t>
        </is>
      </c>
      <c r="P143" s="29" t="inlineStr">
        <is>
          <t>ok</t>
        </is>
      </c>
      <c r="Q143" s="30" t="inlineStr">
        <is>
          <t>Pink Grace brings together 6 hot pink gerberas, 4 pink carnations and 2 pink roses. It suits a birthday, a thank-you or a just-because moment.
Pink tones say affection. We hand-arrange each one at Aussie Blooms so it looks the way you pictured it, ready for a Sunday lunch.</t>
        </is>
      </c>
      <c r="R143" s="30" t="inlineStr">
        <is>
          <t>&lt;p&gt;Pink Grace brings together 6 hot pink gerberas, 4 pink carnations and 2 pink roses. It suits a birthday, a thank-you or a just-because moment.&lt;/p&gt;&lt;p&gt;Pink tones say affection. We hand-arrange each one at Aussie Blooms so it looks the way you pictured it, ready for a Sunday lunch.&lt;/p&gt;</t>
        </is>
      </c>
      <c r="S143" s="29" t="inlineStr">
        <is>
          <t>ok</t>
        </is>
      </c>
      <c r="T143" s="30" t="inlineStr">
        <is>
          <t>The bunch holds: 6 hot pink gerberas, 4 pink carnations and 2 pink roses. Enough colour to turn an ordinary bench into the best spot in the house.</t>
        </is>
      </c>
      <c r="U143" s="30" t="inlineStr">
        <is>
          <t>&lt;p&gt;The bunch holds: 6 hot pink gerberas, 4 pink carnations and 2 pink roses. Enough colour to turn an ordinary bench into the best spot in the house.&lt;/p&gt;</t>
        </is>
      </c>
      <c r="V143" s="29" t="inlineStr">
        <is>
          <t>ok</t>
        </is>
      </c>
      <c r="W143" s="30" t="n"/>
      <c r="X143" s="30" t="inlineStr">
        <is>
          <t>n/a (Mel's: mason jar products only)</t>
        </is>
      </c>
      <c r="Y143" s="30" t="n"/>
      <c r="Z143" s="48" t="inlineStr">
        <is>
          <t>-</t>
        </is>
      </c>
      <c r="AA143" t="n">
        <v>202</v>
      </c>
      <c r="AB143" s="44" t="n">
        <v>2494.21</v>
      </c>
      <c r="AC143" t="n">
        <v>18</v>
      </c>
      <c r="AD143" s="45" t="n">
        <v>0.0002857790074909747</v>
      </c>
      <c r="AE143" s="45" t="n">
        <v>0.0007118743408538677</v>
      </c>
      <c r="AF143" t="n">
        <v>108</v>
      </c>
    </row>
    <row r="144" ht="109.5" customHeight="1" s="24">
      <c r="A144" s="30" t="inlineStr">
        <is>
          <t>AU16-30</t>
        </is>
      </c>
      <c r="B144" s="30" t="inlineStr">
        <is>
          <t>Rainbow Gerberas</t>
        </is>
      </c>
      <c r="C144" s="30" t="inlineStr">
        <is>
          <t>Bouquets</t>
        </is>
      </c>
      <c r="D144" s="43" t="inlineStr">
        <is>
          <t>READY TO REVIEW</t>
        </is>
      </c>
      <c r="E144" s="30" t="inlineStr">
        <is>
          <t>Forty-four gerberas in every joyful shade of the rainbow, arranged into a vivid, spirit-lifting display. Perfect for a birthday, a get-well wish, or a warm housewarming welcome, these blooms bring instant happiness.</t>
        </is>
      </c>
      <c r="F144" s="30" t="inlineStr">
        <is>
          <t>Shopify (28 Sep)</t>
        </is>
      </c>
      <c r="G144" s="30" t="inlineStr">
        <is>
          <t>10 × Gerbera Daisies assorted; 2 × Ruscus Israeli</t>
        </is>
      </c>
      <c r="H144" s="30" t="inlineStr">
        <is>
          <t>10 × Gerbera Daisies assorted; 2 × Ruscus Israeli</t>
        </is>
      </c>
      <c r="I144" s="30" t="inlineStr">
        <is>
          <t>10 × Gerbera Daisies assorted; 2 × Ruscus Israeli</t>
        </is>
      </c>
      <c r="J144" s="30" t="inlineStr">
        <is>
          <t>10 × Gerbera Daisies assorted; 2 × Ruscus Israeli</t>
        </is>
      </c>
      <c r="K144" s="30" t="inlineStr">
        <is>
          <t>Y</t>
        </is>
      </c>
      <c r="L144" s="30" t="n"/>
      <c r="M144" s="30" t="inlineStr">
        <is>
          <t>A florist-designed bouquet of 10 assorted-colour gerberas. Chosen for a birthday, a thank-you or a just-because moment, it says you were thinking of them.</t>
        </is>
      </c>
      <c r="N144" s="30">
        <f>LEN(TRIM(SUBSTITUTE(M144,CHAR(10)," ")))-LEN(SUBSTITUTE(TRIM(SUBSTITUTE(M144,CHAR(10)," "))," ",""))+1</f>
        <v/>
      </c>
      <c r="O144" s="30" t="inlineStr">
        <is>
          <t>&lt;p&gt;A florist-designed bouquet of 10 assorted-colour gerberas. Chosen for a birthday, a thank-you or a just-because moment, it says you were thinking of them.&lt;/p&gt;</t>
        </is>
      </c>
      <c r="P144" s="29" t="inlineStr">
        <is>
          <t>ok</t>
        </is>
      </c>
      <c r="Q144" s="30" t="inlineStr">
        <is>
          <t>Rainbow Gerberas brings together 10 assorted-colour gerberas. It suits a birthday, a thank-you or a just-because moment.
Mixed colours say thoughtfulness. We hand-arrange each one at Aussie Blooms so it looks the way you pictured it, ready for the kitchen bench.</t>
        </is>
      </c>
      <c r="R144" s="30" t="inlineStr">
        <is>
          <t>&lt;p&gt;Rainbow Gerberas brings together 10 assorted-colour gerberas. It suits a birthday, a thank-you or a just-because moment.&lt;/p&gt;&lt;p&gt;Mixed colours say thoughtfulness. We hand-arrange each one at Aussie Blooms so it looks the way you pictured it, ready for the kitchen bench.&lt;/p&gt;</t>
        </is>
      </c>
      <c r="S144" s="29" t="inlineStr">
        <is>
          <t>ok</t>
        </is>
      </c>
      <c r="T144" s="30" t="inlineStr">
        <is>
          <t>Inside the bunch: 10 assorted-colour gerberas. Made for the moment someone opens the door and smiles.</t>
        </is>
      </c>
      <c r="U144" s="30" t="inlineStr">
        <is>
          <t>&lt;p&gt;Inside the bunch: 10 assorted-colour gerberas. Made for the moment someone opens the door and smiles.&lt;/p&gt;</t>
        </is>
      </c>
      <c r="V144" s="29" t="inlineStr">
        <is>
          <t>ok</t>
        </is>
      </c>
      <c r="W144" s="30" t="n"/>
      <c r="X144" s="30" t="inlineStr">
        <is>
          <t>n/a (Mel's: mason jar products only)</t>
        </is>
      </c>
      <c r="Y144" s="30" t="n"/>
      <c r="Z144" s="48" t="inlineStr">
        <is>
          <t>-</t>
        </is>
      </c>
      <c r="AA144" t="n">
        <v>210</v>
      </c>
      <c r="AB144" s="44" t="n">
        <v>2307.28</v>
      </c>
      <c r="AC144" t="n">
        <v>25</v>
      </c>
      <c r="AD144" s="45" t="n">
        <v>0.0002643611357519119</v>
      </c>
      <c r="AE144" s="45" t="n">
        <v>0.0006585225097988189</v>
      </c>
      <c r="AF144" t="n">
        <v>114</v>
      </c>
    </row>
    <row r="145" ht="109.5" customHeight="1" s="24">
      <c r="A145" s="30" t="inlineStr">
        <is>
          <t>AU111-42</t>
        </is>
      </c>
      <c r="B145" s="30" t="inlineStr">
        <is>
          <t>Classic White Daisies</t>
        </is>
      </c>
      <c r="C145" s="30" t="inlineStr">
        <is>
          <t>Bouquets</t>
        </is>
      </c>
      <c r="D145" s="43" t="inlineStr">
        <is>
          <t>READY TO REVIEW</t>
        </is>
      </c>
      <c r="E145" s="30" t="inlineStr">
        <is>
          <t>A generous gathering of crisp white daisy chrysanthemums, fresh and effortlessly elegant. Their clean, classic beauty suits a graduation, a new home, or any moment that calls for simple, heartfelt cheer.</t>
        </is>
      </c>
      <c r="F145" s="30" t="inlineStr">
        <is>
          <t>Shopify (28 Sep)</t>
        </is>
      </c>
      <c r="G145" s="30" t="inlineStr">
        <is>
          <t>2 × Limonium Yellow; 12 × Chrysanthemum Spray White; 1 × Baby's Breath; 3 × Ruscus Israeli</t>
        </is>
      </c>
      <c r="H145" s="30" t="inlineStr">
        <is>
          <t>2 × Limonium Yellow; 12 × Chrysanthemum Spray White; 1 × Baby's Breath; 3 × Ruscus Israeli</t>
        </is>
      </c>
      <c r="I145" s="30" t="inlineStr">
        <is>
          <t>2 × Limonium Yellow; 12 × Chrysanthemum Spray White; 1 × Baby's Breath; 3 × Ruscus Israeli</t>
        </is>
      </c>
      <c r="J145" s="30" t="inlineStr">
        <is>
          <t>1 × Baby's Breath; 3 × Ruscus Israeli; 2 × Limonium Yellow; 12 × Chrysanthemum Spray White</t>
        </is>
      </c>
      <c r="K145" s="30" t="inlineStr">
        <is>
          <t>Y</t>
        </is>
      </c>
      <c r="L145" s="30" t="n"/>
      <c r="M145" s="30" t="inlineStr">
        <is>
          <t>A florist-designed bouquet of 12 white spray chrysanthemums. A lovely way to mark a thank-you, a new home or a thinking-of-you gesture, and a bright moment when the door opens.</t>
        </is>
      </c>
      <c r="N145" s="30">
        <f>LEN(TRIM(SUBSTITUTE(M145,CHAR(10)," ")))-LEN(SUBSTITUTE(TRIM(SUBSTITUTE(M145,CHAR(10)," "))," ",""))+1</f>
        <v/>
      </c>
      <c r="O145" s="30" t="inlineStr">
        <is>
          <t>&lt;p&gt;A florist-designed bouquet of 12 white spray chrysanthemums. A lovely way to mark a thank-you, a new home or a thinking-of-you gesture, and a bright moment when the door opens.&lt;/p&gt;</t>
        </is>
      </c>
      <c r="P145" s="29" t="inlineStr">
        <is>
          <t>ok</t>
        </is>
      </c>
      <c r="Q145" s="30" t="inlineStr">
        <is>
          <t>Classic White Daisies brings together 12 white spray chrysanthemums. It suits a thank-you, a new home or a thinking-of-you gesture.
White tones say calm and a fresh start. We hand-arrange each one at Aussie Blooms so it looks the way you pictured it, ready for the kitchen bench.</t>
        </is>
      </c>
      <c r="R145" s="30" t="inlineStr">
        <is>
          <t>&lt;p&gt;Classic White Daisies brings together 12 white spray chrysanthemums. It suits a thank-you, a new home or a thinking-of-you gesture.&lt;/p&gt;&lt;p&gt;White tones say calm and a fresh start. We hand-arrange each one at Aussie Blooms so it looks the way you pictured it, ready for the kitchen bench.&lt;/p&gt;</t>
        </is>
      </c>
      <c r="S145" s="29" t="inlineStr">
        <is>
          <t>ok</t>
        </is>
      </c>
      <c r="T145" s="30" t="inlineStr">
        <is>
          <t>Inside the bunch: 12 white spray chrysanthemums. Calm colour for the kind of day that deserves a pause.</t>
        </is>
      </c>
      <c r="U145" s="30" t="inlineStr">
        <is>
          <t>&lt;p&gt;Inside the bunch: 12 white spray chrysanthemums. Calm colour for the kind of day that deserves a pause.&lt;/p&gt;</t>
        </is>
      </c>
      <c r="V145" s="29" t="inlineStr">
        <is>
          <t>ok</t>
        </is>
      </c>
      <c r="W145" s="30" t="n"/>
      <c r="X145" s="30" t="inlineStr">
        <is>
          <t>n/a (Mel's: mason jar products only)</t>
        </is>
      </c>
      <c r="Y145" s="30" t="n"/>
      <c r="Z145" s="48" t="inlineStr">
        <is>
          <t>-</t>
        </is>
      </c>
      <c r="AA145" t="n">
        <v>147</v>
      </c>
      <c r="AB145" s="44" t="n">
        <v>6366.02</v>
      </c>
      <c r="AC145" t="n">
        <v>52</v>
      </c>
      <c r="AD145" s="45" t="n">
        <v>0.0007293994686997927</v>
      </c>
      <c r="AE145" s="45" t="n">
        <v>0.001816931098468541</v>
      </c>
      <c r="AF145" t="n">
        <v>70</v>
      </c>
    </row>
    <row r="146" ht="109.5" customHeight="1" s="24">
      <c r="A146" s="30" t="inlineStr">
        <is>
          <t>AU11-30</t>
        </is>
      </c>
      <c r="B146" s="30" t="inlineStr">
        <is>
          <t>Half-Dozen Red Roses</t>
        </is>
      </c>
      <c r="C146" s="30" t="inlineStr">
        <is>
          <t>Bouquets</t>
        </is>
      </c>
      <c r="D146" s="46" t="inlineStr">
        <is>
          <t>READY - NOTIFY JARROD</t>
        </is>
      </c>
      <c r="E146" s="30" t="n"/>
      <c r="F146" s="30" t="inlineStr">
        <is>
          <t>none</t>
        </is>
      </c>
      <c r="G146" s="30" t="inlineStr">
        <is>
          <t>12 × Roses Red; 2 × Baby's Breath; 3 × Ruscus Israeli</t>
        </is>
      </c>
      <c r="H146" s="30" t="inlineStr">
        <is>
          <t>12 × Roses Red; 2 × Baby's Breath; 3 × Ruscus Israeli</t>
        </is>
      </c>
      <c r="I146" s="31" t="inlineStr">
        <is>
          <t>3 × Ruscus Israeli; 2 × Baby's Breath; 6 × Roses Red</t>
        </is>
      </c>
      <c r="J146" s="30" t="inlineStr">
        <is>
          <t>3 × Ruscus Israeli; 2 × Baby's Breath; 12 × Roses Red</t>
        </is>
      </c>
      <c r="K146" s="30" t="inlineStr">
        <is>
          <t>N</t>
        </is>
      </c>
      <c r="L146" s="30" t="n"/>
      <c r="M146" s="30" t="inlineStr">
        <is>
          <t>A hand-arranged bouquet of 6 red roses. A lovely way to mark an anniversary or a thank-you, and a bright moment when the door opens.</t>
        </is>
      </c>
      <c r="N146" s="30">
        <f>LEN(TRIM(SUBSTITUTE(M146,CHAR(10)," ")))-LEN(SUBSTITUTE(TRIM(SUBSTITUTE(M146,CHAR(10)," "))," ",""))+1</f>
        <v/>
      </c>
      <c r="O146" s="30" t="inlineStr">
        <is>
          <t>&lt;p&gt;A hand-arranged bouquet of 6 red roses. A lovely way to mark an anniversary or a thank-you, and a bright moment when the door opens.&lt;/p&gt;</t>
        </is>
      </c>
      <c r="P146" s="29" t="inlineStr">
        <is>
          <t>ok</t>
        </is>
      </c>
      <c r="Q146" s="30" t="inlineStr">
        <is>
          <t>Half-Dozen Red Roses brings together 6 red roses. It suits an anniversary or a thank-you.
Red tones say love and devotion. We hand-arrange each one at Aussie Blooms so it looks the way you pictured it, ready for the kitchen bench.</t>
        </is>
      </c>
      <c r="R146" s="30" t="inlineStr">
        <is>
          <t>&lt;p&gt;Half-Dozen Red Roses brings together 6 red roses. It suits an anniversary or a thank-you.&lt;/p&gt;&lt;p&gt;Red tones say love and devotion. We hand-arrange each one at Aussie Blooms so it looks the way you pictured it, ready for the kitchen bench.&lt;/p&gt;</t>
        </is>
      </c>
      <c r="S146" s="29" t="inlineStr">
        <is>
          <t>ok</t>
        </is>
      </c>
      <c r="T146" s="30" t="inlineStr">
        <is>
          <t>In this bunch: 6 red roses. Some things need no speech. Put these on the table and the message is delivered.</t>
        </is>
      </c>
      <c r="U146" s="30" t="inlineStr">
        <is>
          <t>&lt;p&gt;In this bunch: 6 red roses. Some things need no speech. Put these on the table and the message is delivered.&lt;/p&gt;</t>
        </is>
      </c>
      <c r="V146" s="47" t="inlineStr">
        <is>
          <t>delivery promise</t>
        </is>
      </c>
      <c r="W146" s="30" t="n"/>
      <c r="X146" s="30" t="inlineStr">
        <is>
          <t>n/a (Mel's: mason jar products only)</t>
        </is>
      </c>
      <c r="Y146" s="30" t="n"/>
      <c r="Z146" s="48" t="inlineStr">
        <is>
          <t>-</t>
        </is>
      </c>
      <c r="AA146" t="n">
        <v>40</v>
      </c>
      <c r="AB146" s="44" t="n">
        <v>54146.16</v>
      </c>
      <c r="AC146" t="n">
        <v>781</v>
      </c>
      <c r="AD146" s="45" t="n">
        <v>0.00620390212577589</v>
      </c>
      <c r="AE146" s="45" t="n">
        <v>0.01545389486541658</v>
      </c>
      <c r="AF146" t="n">
        <v>1</v>
      </c>
    </row>
    <row r="147" ht="109.5" customHeight="1" s="24">
      <c r="A147" s="30" t="inlineStr">
        <is>
          <t>AU216-63</t>
        </is>
      </c>
      <c r="B147" s="30" t="inlineStr">
        <is>
          <t>Colourful Inspiration</t>
        </is>
      </c>
      <c r="C147" s="30" t="inlineStr">
        <is>
          <t>Bouquets</t>
        </is>
      </c>
      <c r="D147" s="43" t="inlineStr">
        <is>
          <t>READY TO REVIEW</t>
        </is>
      </c>
      <c r="E147" s="30" t="inlineStr">
        <is>
          <t>Thirty-eight carnations, fifteen roses and fourteen chrysanthemums create a rich, full bouquet bursting with colour and cheer. Bright and uplifting, it's a generous way to say congratulations or to send warm, get-well wishes that truly lift the spirits.</t>
        </is>
      </c>
      <c r="F147" s="30" t="inlineStr">
        <is>
          <t>Shopify (28 Sep)</t>
        </is>
      </c>
      <c r="G147" s="30" t="inlineStr">
        <is>
          <t>3 × Roses Red; 3 × Carnation Purple; 1 × Limonium Purple; 2 × Chrysanthemum Daisy Yellow; 3 × Carnation Orange; 3 × Ruscus Israeli; 2 × Mini Carnations Pink</t>
        </is>
      </c>
      <c r="H147" s="30" t="inlineStr">
        <is>
          <t>3 × Roses Red; 3 × Carnation Purple; 1 × Limonium Purple; 2 × Chrysanthemum Daisy Yellow; 3 × Carnation Orange; 3 × Ruscus Israeli; 2 × Mini Carnations Pink</t>
        </is>
      </c>
      <c r="I147" s="30" t="inlineStr">
        <is>
          <t>3 × Roses Red; 3 × Carnation Purple; 1 × Limonium Purple; 2 × Chrysanthemum Daisy Yellow; 3 × Carnation Orange; 3 × Ruscus Israeli; 2 × Mini Carnations Pink</t>
        </is>
      </c>
      <c r="J147" s="30" t="inlineStr">
        <is>
          <t>2 × Chrysanthemum Daisy Yellow; 2 × Mini Carnations Pink; 3 × Ruscus Israeli; 3 × Carnation Orange; 1 × Limonium Purple; 3 × Carnation Purple; 3 × Roses Red</t>
        </is>
      </c>
      <c r="K147" s="30" t="inlineStr">
        <is>
          <t>Y</t>
        </is>
      </c>
      <c r="L147" s="30" t="n"/>
      <c r="M147" s="30" t="inlineStr">
        <is>
          <t>A hand-arranged bouquet of 3 orange carnations, 3 purple carnations, 3 red roses and 2 yellow chrysanthemum daisies. Chosen for an anniversary or a thank-you, it says you were thinking of them.</t>
        </is>
      </c>
      <c r="N147" s="30">
        <f>LEN(TRIM(SUBSTITUTE(M147,CHAR(10)," ")))-LEN(SUBSTITUTE(TRIM(SUBSTITUTE(M147,CHAR(10)," "))," ",""))+1</f>
        <v/>
      </c>
      <c r="O147" s="30" t="inlineStr">
        <is>
          <t>&lt;p&gt;A hand-arranged bouquet of 3 orange carnations, 3 purple carnations, 3 red roses and 2 yellow chrysanthemum daisies. Chosen for an anniversary or a thank-you, it says you were thinking of them.&lt;/p&gt;</t>
        </is>
      </c>
      <c r="P147" s="29" t="inlineStr">
        <is>
          <t>ok</t>
        </is>
      </c>
      <c r="Q147" s="30" t="inlineStr">
        <is>
          <t>Colourful Inspiration brings together 3 orange carnations, 3 purple carnations, 3 red roses and 2 yellow chrysanthemum daisies. It suits an anniversary or a thank-you.
Orange tones say warmth and energy. We hand-arrange each one at Aussie Blooms so it looks the way you pictured it, ready for a summer table.</t>
        </is>
      </c>
      <c r="R147" s="30" t="inlineStr">
        <is>
          <t>&lt;p&gt;Colourful Inspiration brings together 3 orange carnations, 3 purple carnations, 3 red roses and 2 yellow chrysanthemum daisies. It suits an anniversary or a thank-you.&lt;/p&gt;&lt;p&gt;Orange tones say warmth and energy. We hand-arrange each one at Aussie Blooms so it looks the way you pictured it, ready for a summer table.&lt;/p&gt;</t>
        </is>
      </c>
      <c r="S147" s="29" t="inlineStr">
        <is>
          <t>ok</t>
        </is>
      </c>
      <c r="T147" s="30" t="inlineStr">
        <is>
          <t>In this bunch: 3 orange carnations, 3 purple carnations, 3 red roses and 2 yellow chrysanthemum daisies. Some things need no speech. Put these on the table and the message is delivered.</t>
        </is>
      </c>
      <c r="U147" s="30" t="inlineStr">
        <is>
          <t>&lt;p&gt;In this bunch: 3 orange carnations, 3 purple carnations, 3 red roses and 2 yellow chrysanthemum daisies. Some things need no speech. Put these on the table and the message is delivered.&lt;/p&gt;</t>
        </is>
      </c>
      <c r="V147" s="47" t="inlineStr">
        <is>
          <t>delivery promise</t>
        </is>
      </c>
      <c r="W147" s="30" t="n"/>
      <c r="X147" s="30" t="inlineStr">
        <is>
          <t>n/a (Mel's: mason jar products only)</t>
        </is>
      </c>
      <c r="Y147" s="30" t="n"/>
      <c r="Z147" s="48" t="inlineStr">
        <is>
          <t>-</t>
        </is>
      </c>
      <c r="AA147" t="n">
        <v>226</v>
      </c>
      <c r="AB147" s="44" t="n">
        <v>992.45</v>
      </c>
      <c r="AC147" t="n">
        <v>9</v>
      </c>
      <c r="AD147" s="45" t="n">
        <v>0.0001137119071707747</v>
      </c>
      <c r="AE147" s="45" t="n">
        <v>0.0002832558964884356</v>
      </c>
      <c r="AF147" t="n">
        <v>122</v>
      </c>
    </row>
    <row r="148" ht="109.5" customHeight="1" s="24">
      <c r="A148" s="30" t="inlineStr">
        <is>
          <t>AU15-100</t>
        </is>
      </c>
      <c r="B148" s="30" t="inlineStr">
        <is>
          <t>100 Assorted Peruvian Lilies</t>
        </is>
      </c>
      <c r="C148" s="30" t="inlineStr">
        <is>
          <t>Bouquets</t>
        </is>
      </c>
      <c r="D148" s="43" t="inlineStr">
        <is>
          <t>READY TO REVIEW</t>
        </is>
      </c>
      <c r="E148" s="30" t="inlineStr">
        <is>
          <t>Alstroemeria flowers, also known as Peruvian Lilies come in a variety of tasteful colours such as orange, pink, rose, purple, red, yellow, white or salmon colours. This magnificent arrangement consists of 100 blooms of assorted alstroemerias (25 stems) flowers and fresh greens, which are perfectly arranged to create an astounding centrepiece for any room, and perfect as a gift for any occasion. Measures approximately 20” tall. To allow these beautiful flowers to last much longer, they are delivered fresh, budding and ready to bloom. Vases and greeting cards for your personal message are available during check out.</t>
        </is>
      </c>
      <c r="F148" s="30" t="inlineStr">
        <is>
          <t>Shopify (28 Sep)</t>
        </is>
      </c>
      <c r="G148" s="30" t="inlineStr">
        <is>
          <t>1 × Greeting Card; 25 × Alstroemeria assorted; 4 × Ruscus Israeli</t>
        </is>
      </c>
      <c r="H148" s="30" t="inlineStr">
        <is>
          <t>1 × Greeting Card; 25 × Alstroemeria assorted; 4 × Ruscus Israeli</t>
        </is>
      </c>
      <c r="I148" s="30" t="inlineStr">
        <is>
          <t>1 × Greeting Card; 25 × Alstroemeria assorted; 4 × Ruscus Israeli</t>
        </is>
      </c>
      <c r="J148" s="30" t="inlineStr">
        <is>
          <t>4 × Ruscus Israeli; 25 × Alstroemeria assorted; 1 × Greeting Card</t>
        </is>
      </c>
      <c r="K148" s="30" t="inlineStr">
        <is>
          <t>N</t>
        </is>
      </c>
      <c r="L148" s="30" t="n"/>
      <c r="M148" s="30" t="inlineStr">
        <is>
          <t>A florist-designed bouquet of 25 assorted-colour alstroemeria, plus a greeting card. A lovely way to mark a birthday, a thank-you or a just-because moment, and a bright moment when the door opens.</t>
        </is>
      </c>
      <c r="N148" s="30">
        <f>LEN(TRIM(SUBSTITUTE(M148,CHAR(10)," ")))-LEN(SUBSTITUTE(TRIM(SUBSTITUTE(M148,CHAR(10)," "))," ",""))+1</f>
        <v/>
      </c>
      <c r="O148" s="30" t="inlineStr">
        <is>
          <t>&lt;p&gt;A florist-designed bouquet of 25 assorted-colour alstroemeria, plus a greeting card. A lovely way to mark a birthday, a thank-you or a just-because moment, and a bright moment when the door opens.&lt;/p&gt;</t>
        </is>
      </c>
      <c r="P148" s="29" t="inlineStr">
        <is>
          <t>ok</t>
        </is>
      </c>
      <c r="Q148" s="30" t="inlineStr">
        <is>
          <t>100 Assorted Peruvian Lilies brings together 25 assorted-colour alstroemeria, plus a greeting card. It suits a birthday, a thank-you or a just-because moment.
Mixed colours say thoughtfulness. We hand-arrange each one at Aussie Blooms so it looks the way you pictured it, ready for a summer table.</t>
        </is>
      </c>
      <c r="R148" s="30" t="inlineStr">
        <is>
          <t>&lt;p&gt;100 Assorted Peruvian Lilies brings together 25 assorted-colour alstroemeria, plus a greeting card. It suits a birthday, a thank-you or a just-because moment.&lt;/p&gt;&lt;p&gt;Mixed colours say thoughtfulness. We hand-arrange each one at Aussie Blooms so it looks the way you pictured it, ready for a summer table.&lt;/p&gt;</t>
        </is>
      </c>
      <c r="S148" s="29" t="inlineStr">
        <is>
          <t>ok</t>
        </is>
      </c>
      <c r="T148" s="30" t="inlineStr">
        <is>
          <t>Inside the bunch: 25 assorted-colour alstroemeria, plus a greeting card. Made for the moment someone opens the door and smiles.</t>
        </is>
      </c>
      <c r="U148" s="30" t="inlineStr">
        <is>
          <t>&lt;p&gt;Inside the bunch: 25 assorted-colour alstroemeria, plus a greeting card. Made for the moment someone opens the door and smiles.&lt;/p&gt;</t>
        </is>
      </c>
      <c r="V148" s="29" t="inlineStr">
        <is>
          <t>ok</t>
        </is>
      </c>
      <c r="W148" s="30" t="n"/>
      <c r="X148" s="30" t="inlineStr">
        <is>
          <t>n/a (Mel's: mason jar products only)</t>
        </is>
      </c>
      <c r="Y148" s="30" t="n"/>
      <c r="Z148" s="48" t="inlineStr">
        <is>
          <t>-</t>
        </is>
      </c>
      <c r="AA148" t="inlineStr">
        <is>
          <t>no sales</t>
        </is>
      </c>
      <c r="AB148" s="44" t="n">
        <v>0</v>
      </c>
      <c r="AC148" t="n">
        <v>0</v>
      </c>
      <c r="AD148" s="45" t="n">
        <v>0</v>
      </c>
      <c r="AE148" s="45" t="n">
        <v>0</v>
      </c>
      <c r="AF148" t="inlineStr">
        <is>
          <t>no sales</t>
        </is>
      </c>
    </row>
    <row r="149" ht="109.5" customHeight="1" s="24">
      <c r="A149" s="30" t="inlineStr">
        <is>
          <t>AU9-99</t>
        </is>
      </c>
      <c r="B149" s="30" t="inlineStr">
        <is>
          <t>12 Long Stemmed Red Roses</t>
        </is>
      </c>
      <c r="C149" s="30" t="inlineStr">
        <is>
          <t>Bouquets</t>
        </is>
      </c>
      <c r="D149" s="43" t="inlineStr">
        <is>
          <t>READY TO REVIEW</t>
        </is>
      </c>
      <c r="E149" s="30" t="n"/>
      <c r="F149" s="30" t="inlineStr">
        <is>
          <t>none</t>
        </is>
      </c>
      <c r="G149" s="30" t="inlineStr">
        <is>
          <t>12 × Roses Red; 2 × Baby's Breath; 3 × Ruscus Israeli</t>
        </is>
      </c>
      <c r="H149" s="30" t="inlineStr">
        <is>
          <t>12 × Roses Red; 2 × Baby's Breath; 3 × Ruscus Israeli</t>
        </is>
      </c>
      <c r="I149" s="30" t="inlineStr">
        <is>
          <t>12 × Roses Red; 2 × Baby's Breath; 3 × Ruscus Israeli</t>
        </is>
      </c>
      <c r="J149" s="30" t="inlineStr">
        <is>
          <t>3 × Ruscus Israeli; 2 × Baby's Breath; 12 × Roses Red</t>
        </is>
      </c>
      <c r="K149" s="30" t="inlineStr">
        <is>
          <t>N</t>
        </is>
      </c>
      <c r="L149" s="30" t="n"/>
      <c r="M149" s="30" t="inlineStr">
        <is>
          <t>A hand-arranged bouquet of 12 red roses. A lovely way to mark an anniversary or a thank-you, and a bright moment when the door opens.</t>
        </is>
      </c>
      <c r="N149" s="30">
        <f>LEN(TRIM(SUBSTITUTE(M149,CHAR(10)," ")))-LEN(SUBSTITUTE(TRIM(SUBSTITUTE(M149,CHAR(10)," "))," ",""))+1</f>
        <v/>
      </c>
      <c r="O149" s="30" t="inlineStr">
        <is>
          <t>&lt;p&gt;A hand-arranged bouquet of 12 red roses. A lovely way to mark an anniversary or a thank-you, and a bright moment when the door opens.&lt;/p&gt;</t>
        </is>
      </c>
      <c r="P149" s="29" t="inlineStr">
        <is>
          <t>ok</t>
        </is>
      </c>
      <c r="Q149" s="30" t="inlineStr">
        <is>
          <t>12 Long Stemmed Red Roses brings together 12 red roses. It suits an anniversary or a thank-you.
Red tones say love and devotion. We hand-arrange each one at Aussie Blooms so it looks the way you pictured it, ready for a Sunday lunch.</t>
        </is>
      </c>
      <c r="R149" s="30" t="inlineStr">
        <is>
          <t>&lt;p&gt;12 Long Stemmed Red Roses brings together 12 red roses. It suits an anniversary or a thank-you.&lt;/p&gt;&lt;p&gt;Red tones say love and devotion. We hand-arrange each one at Aussie Blooms so it looks the way you pictured it, ready for a Sunday lunch.&lt;/p&gt;</t>
        </is>
      </c>
      <c r="S149" s="29" t="inlineStr">
        <is>
          <t>ok</t>
        </is>
      </c>
      <c r="T149" s="30" t="inlineStr">
        <is>
          <t>In this bunch: 12 red roses. Some things need no speech. Put these on the table and the message is delivered.</t>
        </is>
      </c>
      <c r="U149" s="30" t="inlineStr">
        <is>
          <t>&lt;p&gt;In this bunch: 12 red roses. Some things need no speech. Put these on the table and the message is delivered.&lt;/p&gt;</t>
        </is>
      </c>
      <c r="V149" s="47" t="inlineStr">
        <is>
          <t>delivery promise</t>
        </is>
      </c>
      <c r="W149" s="30" t="n"/>
      <c r="X149" s="30" t="inlineStr">
        <is>
          <t>n/a (Mel's: mason jar products only)</t>
        </is>
      </c>
      <c r="Y149" s="30" t="n"/>
      <c r="Z149" s="48" t="inlineStr">
        <is>
          <t>-</t>
        </is>
      </c>
      <c r="AA149" t="inlineStr">
        <is>
          <t>no sales</t>
        </is>
      </c>
      <c r="AB149" s="44" t="n">
        <v>0</v>
      </c>
      <c r="AC149" t="n">
        <v>0</v>
      </c>
      <c r="AD149" s="45" t="n">
        <v>0</v>
      </c>
      <c r="AE149" s="45" t="n">
        <v>0</v>
      </c>
      <c r="AF149" t="inlineStr">
        <is>
          <t>no sales</t>
        </is>
      </c>
    </row>
    <row r="150" ht="109.5" customHeight="1" s="24">
      <c r="A150" s="30" t="inlineStr">
        <is>
          <t>AU111-40</t>
        </is>
      </c>
      <c r="B150" s="30" t="inlineStr">
        <is>
          <t>Classic Assorted Colour Daisy Bouquet</t>
        </is>
      </c>
      <c r="C150" s="30" t="inlineStr">
        <is>
          <t>Bouquets</t>
        </is>
      </c>
      <c r="D150" s="43" t="inlineStr">
        <is>
          <t>READY TO REVIEW</t>
        </is>
      </c>
      <c r="E150" s="30" t="inlineStr">
        <is>
          <t>A joyful armful of assorted-colour daisies, fresh and full of easy-going charm. Their playful, sunny spirit makes them ideal for a new home, a token of affection, or a cheerful just-because gift.</t>
        </is>
      </c>
      <c r="F150" s="30" t="inlineStr">
        <is>
          <t>Shopify (28 Sep)</t>
        </is>
      </c>
      <c r="G150" s="30" t="inlineStr">
        <is>
          <t>12 × Daisy poms assorted; 1 × Baby's Breath; 3 × Ruscus Israeli</t>
        </is>
      </c>
      <c r="H150" s="30" t="inlineStr">
        <is>
          <t>12 × Daisy poms assorted; 1 × Baby's Breath; 3 × Ruscus Israeli</t>
        </is>
      </c>
      <c r="I150" s="30" t="inlineStr">
        <is>
          <t>12 × Daisy poms assorted; 1 × Baby's Breath; 3 × Ruscus Israeli</t>
        </is>
      </c>
      <c r="J150" s="30" t="inlineStr">
        <is>
          <t>3 × Ruscus Israeli; 1 × Baby's Breath; 12 × Daisy poms assorted</t>
        </is>
      </c>
      <c r="K150" s="30" t="inlineStr">
        <is>
          <t>Y</t>
        </is>
      </c>
      <c r="L150" s="30" t="n"/>
      <c r="M150" s="30" t="inlineStr">
        <is>
          <t>A fresh arrangement of 12 assorted-colour daisy poms. Chosen for a birthday, a thank-you or a just-because moment, it is a gift that says you care.</t>
        </is>
      </c>
      <c r="N150" s="30">
        <f>LEN(TRIM(SUBSTITUTE(M150,CHAR(10)," ")))-LEN(SUBSTITUTE(TRIM(SUBSTITUTE(M150,CHAR(10)," "))," ",""))+1</f>
        <v/>
      </c>
      <c r="O150" s="30" t="inlineStr">
        <is>
          <t>&lt;p&gt;A fresh arrangement of 12 assorted-colour daisy poms. Chosen for a birthday, a thank-you or a just-because moment, it is a gift that says you care.&lt;/p&gt;</t>
        </is>
      </c>
      <c r="P150" s="29" t="inlineStr">
        <is>
          <t>ok</t>
        </is>
      </c>
      <c r="Q150" s="30" t="inlineStr">
        <is>
          <t>Classic Assorted Colour Daisy Bouquet brings together 12 assorted-colour daisy poms. It suits a birthday, a thank-you or a just-because moment.
Mixed colours say thoughtfulness. We hand-arrange each one at Aussie Blooms so it looks the way you pictured it, ready for the kitchen bench.</t>
        </is>
      </c>
      <c r="R150" s="30" t="inlineStr">
        <is>
          <t>&lt;p&gt;Classic Assorted Colour Daisy Bouquet brings together 12 assorted-colour daisy poms. It suits a birthday, a thank-you or a just-because moment.&lt;/p&gt;&lt;p&gt;Mixed colours say thoughtfulness. We hand-arrange each one at Aussie Blooms so it looks the way you pictured it, ready for the kitchen bench.&lt;/p&gt;</t>
        </is>
      </c>
      <c r="S150" s="29" t="inlineStr">
        <is>
          <t>ok</t>
        </is>
      </c>
      <c r="T150" s="30" t="inlineStr">
        <is>
          <t>The bunch holds: 12 assorted-colour daisy poms. A simple good turn for a birthday, a thank-you or no reason at all.</t>
        </is>
      </c>
      <c r="U150" s="30" t="inlineStr">
        <is>
          <t>&lt;p&gt;The bunch holds: 12 assorted-colour daisy poms. A simple good turn for a birthday, a thank-you or no reason at all.&lt;/p&gt;</t>
        </is>
      </c>
      <c r="V150" s="29" t="inlineStr">
        <is>
          <t>ok</t>
        </is>
      </c>
      <c r="W150" s="30" t="n"/>
      <c r="X150" s="30" t="inlineStr">
        <is>
          <t>n/a (Mel's: mason jar products only)</t>
        </is>
      </c>
      <c r="Y150" s="30" t="n"/>
      <c r="Z150" s="48" t="inlineStr">
        <is>
          <t>-</t>
        </is>
      </c>
      <c r="AA150" t="n">
        <v>183</v>
      </c>
      <c r="AB150" s="44" t="n">
        <v>3360.25</v>
      </c>
      <c r="AC150" t="n">
        <v>30</v>
      </c>
      <c r="AD150" s="45" t="n">
        <v>0.0003850072407381687</v>
      </c>
      <c r="AE150" s="45" t="n">
        <v>0.0009590514647340075</v>
      </c>
      <c r="AF150" t="n">
        <v>93</v>
      </c>
    </row>
    <row r="151" ht="109.5" customHeight="1" s="24">
      <c r="A151" s="30" t="inlineStr">
        <is>
          <t>AU111-41</t>
        </is>
      </c>
      <c r="B151" s="30" t="inlineStr">
        <is>
          <t>Classic Mauve Daisy Bouquet</t>
        </is>
      </c>
      <c r="C151" s="30" t="inlineStr">
        <is>
          <t>Bouquets</t>
        </is>
      </c>
      <c r="D151" s="43" t="inlineStr">
        <is>
          <t>READY TO REVIEW</t>
        </is>
      </c>
      <c r="E151" s="30" t="inlineStr">
        <is>
          <t>A graceful bunch of mauve daisy chrysanthemums in soft, soothing tones. Understated yet lovely, they're a gentle choice for a graduation, a housewarming, or simply brightening someone's day.</t>
        </is>
      </c>
      <c r="F151" s="30" t="inlineStr">
        <is>
          <t>Shopify (28 Sep)</t>
        </is>
      </c>
      <c r="G151" s="30" t="inlineStr">
        <is>
          <t>10 × Chrysanthemum Spray Lavender; Ruscus Israeli</t>
        </is>
      </c>
      <c r="H151" s="30" t="inlineStr">
        <is>
          <t>10 × Chrysanthemum Spray Lavender; 2 × Ruscus Israeli</t>
        </is>
      </c>
      <c r="I151" s="31" t="inlineStr">
        <is>
          <t>10 × Chrysanthemum Spray Lavender; 2 × Ruscus Israeli</t>
        </is>
      </c>
      <c r="J151" s="30" t="inlineStr">
        <is>
          <t>10 × Chrysanthemum Spray Lavender; 2 × Ruscus Israeli</t>
        </is>
      </c>
      <c r="K151" s="30" t="inlineStr">
        <is>
          <t>Y</t>
        </is>
      </c>
      <c r="L151" s="30" t="n"/>
      <c r="M151" s="30" t="inlineStr">
        <is>
          <t>A florist-designed bouquet of 10 lavender spray chrysanthemums. Chosen for a birthday, a thank-you or a just-because moment, it says you were thinking of them.</t>
        </is>
      </c>
      <c r="N151" s="30">
        <f>LEN(TRIM(SUBSTITUTE(M151,CHAR(10)," ")))-LEN(SUBSTITUTE(TRIM(SUBSTITUTE(M151,CHAR(10)," "))," ",""))+1</f>
        <v/>
      </c>
      <c r="O151" s="30" t="inlineStr">
        <is>
          <t>&lt;p&gt;A florist-designed bouquet of 10 lavender spray chrysanthemums. Chosen for a birthday, a thank-you or a just-because moment, it says you were thinking of them.&lt;/p&gt;</t>
        </is>
      </c>
      <c r="P151" s="29" t="inlineStr">
        <is>
          <t>ok</t>
        </is>
      </c>
      <c r="Q151" s="30" t="inlineStr">
        <is>
          <t>Classic Mauve Daisy Bouquet brings together 10 lavender spray chrysanthemums. It suits a birthday, a thank-you or a just-because moment.
Lavender tones say thoughtfulness. We hand-arrange each one at Aussie Blooms so it looks the way you pictured it, ready for a summer table.</t>
        </is>
      </c>
      <c r="R151" s="30" t="inlineStr">
        <is>
          <t>&lt;p&gt;Classic Mauve Daisy Bouquet brings together 10 lavender spray chrysanthemums. It suits a birthday, a thank-you or a just-because moment.&lt;/p&gt;&lt;p&gt;Lavender tones say thoughtfulness. We hand-arrange each one at Aussie Blooms so it looks the way you pictured it, ready for a summer table.&lt;/p&gt;</t>
        </is>
      </c>
      <c r="S151" s="29" t="inlineStr">
        <is>
          <t>ok</t>
        </is>
      </c>
      <c r="T151" s="30" t="inlineStr">
        <is>
          <t>Inside the bunch: 10 lavender spray chrysanthemums. Calm colour for the kind of day that deserves a pause.</t>
        </is>
      </c>
      <c r="U151" s="30" t="inlineStr">
        <is>
          <t>&lt;p&gt;Inside the bunch: 10 lavender spray chrysanthemums. Calm colour for the kind of day that deserves a pause.&lt;/p&gt;</t>
        </is>
      </c>
      <c r="V151" s="29" t="inlineStr">
        <is>
          <t>ok</t>
        </is>
      </c>
      <c r="W151" s="30" t="n"/>
      <c r="X151" s="30" t="inlineStr">
        <is>
          <t>n/a (Mel's: mason jar products only)</t>
        </is>
      </c>
      <c r="Y151" s="30" t="n"/>
      <c r="Z151" s="48" t="inlineStr">
        <is>
          <t>-</t>
        </is>
      </c>
      <c r="AA151" t="n">
        <v>224</v>
      </c>
      <c r="AB151" s="44" t="n">
        <v>1181.65</v>
      </c>
      <c r="AC151" t="n">
        <v>13</v>
      </c>
      <c r="AD151" s="45" t="n">
        <v>0.0001353894103085467</v>
      </c>
      <c r="AE151" s="45" t="n">
        <v>0.0003372544682976211</v>
      </c>
      <c r="AF151" t="n">
        <v>121</v>
      </c>
    </row>
    <row r="152" ht="109.5" customHeight="1" s="24">
      <c r="A152" s="30" t="inlineStr">
        <is>
          <t>AU216-51</t>
        </is>
      </c>
      <c r="B152" s="30" t="inlineStr">
        <is>
          <t>Funky Bouquet</t>
        </is>
      </c>
      <c r="C152" s="30" t="inlineStr">
        <is>
          <t>Bouquets</t>
        </is>
      </c>
      <c r="D152" s="43" t="inlineStr">
        <is>
          <t>READY TO REVIEW</t>
        </is>
      </c>
      <c r="E152" s="30" t="n"/>
      <c r="F152" s="30" t="inlineStr">
        <is>
          <t>none</t>
        </is>
      </c>
      <c r="G152" s="30" t="inlineStr">
        <is>
          <t>5 × Roses Assorted; 1 × Baby's Breath; 2 × Ruscus Israeli; 8 × Gerbera Daisies assorted; 1 × Leather Fern</t>
        </is>
      </c>
      <c r="H152" s="30" t="inlineStr">
        <is>
          <t>5 × Roses Assorted; 1 × Baby's Breath; 2 × Ruscus Israeli; 8 × Gerbera Daisies assorted; 1 × Leather Fern</t>
        </is>
      </c>
      <c r="I152" s="30" t="inlineStr">
        <is>
          <t>5 × Roses Assorted; 1 × Baby's Breath; 2 × Ruscus Israeli; 8 × Gerbera Daisies assorted; 1 × Leather Fern</t>
        </is>
      </c>
      <c r="J152" s="30" t="inlineStr">
        <is>
          <t>2 × Ruscus Israeli; 1 × Leather Fern; 8 × Gerbera Daisies assorted; 1 × Baby's Breath; 5 × Roses Assorted</t>
        </is>
      </c>
      <c r="K152" s="30" t="inlineStr">
        <is>
          <t>N</t>
        </is>
      </c>
      <c r="L152" s="30" t="n"/>
      <c r="M152" s="30" t="inlineStr">
        <is>
          <t>A fresh arrangement of 8 assorted-colour gerberas and 5 assorted-colour roses. A lovely way to mark a birthday, a thank-you or a just-because moment, and a bright moment when the door opens.</t>
        </is>
      </c>
      <c r="N152" s="30">
        <f>LEN(TRIM(SUBSTITUTE(M152,CHAR(10)," ")))-LEN(SUBSTITUTE(TRIM(SUBSTITUTE(M152,CHAR(10)," "))," ",""))+1</f>
        <v/>
      </c>
      <c r="O152" s="30" t="inlineStr">
        <is>
          <t>&lt;p&gt;A fresh arrangement of 8 assorted-colour gerberas and 5 assorted-colour roses. A lovely way to mark a birthday, a thank-you or a just-because moment, and a bright moment when the door opens.&lt;/p&gt;</t>
        </is>
      </c>
      <c r="P152" s="29" t="inlineStr">
        <is>
          <t>ok</t>
        </is>
      </c>
      <c r="Q152" s="30" t="inlineStr">
        <is>
          <t>Funky Bouquet brings together 8 assorted-colour gerberas and 5 assorted-colour roses. It suits a birthday, a thank-you or a just-because moment.
Mixed colours say thoughtfulness. We hand-arrange each one at Aussie Blooms so it looks the way you pictured it, ready for a summer table.</t>
        </is>
      </c>
      <c r="R152" s="30" t="inlineStr">
        <is>
          <t>&lt;p&gt;Funky Bouquet brings together 8 assorted-colour gerberas and 5 assorted-colour roses. It suits a birthday, a thank-you or a just-because moment.&lt;/p&gt;&lt;p&gt;Mixed colours say thoughtfulness. We hand-arrange each one at Aussie Blooms so it looks the way you pictured it, ready for a summer table.&lt;/p&gt;</t>
        </is>
      </c>
      <c r="S152" s="29" t="inlineStr">
        <is>
          <t>ok</t>
        </is>
      </c>
      <c r="T152" s="30" t="inlineStr">
        <is>
          <t>The bunch holds: 8 assorted-colour gerberas and 5 assorted-colour roses. A simple good turn for a birthday, a thank-you or no reason at all.</t>
        </is>
      </c>
      <c r="U152" s="30" t="inlineStr">
        <is>
          <t>&lt;p&gt;The bunch holds: 8 assorted-colour gerberas and 5 assorted-colour roses. A simple good turn for a birthday, a thank-you or no reason at all.&lt;/p&gt;</t>
        </is>
      </c>
      <c r="V152" s="29" t="inlineStr">
        <is>
          <t>ok</t>
        </is>
      </c>
      <c r="W152" s="30" t="n"/>
      <c r="X152" s="30" t="inlineStr">
        <is>
          <t>n/a (Mel's: mason jar products only)</t>
        </is>
      </c>
      <c r="Y152" s="30" t="n"/>
      <c r="Z152" s="48" t="inlineStr">
        <is>
          <t>-</t>
        </is>
      </c>
      <c r="AA152" t="n">
        <v>126</v>
      </c>
      <c r="AB152" s="44" t="n">
        <v>8744.65</v>
      </c>
      <c r="AC152" t="n">
        <v>107</v>
      </c>
      <c r="AD152" s="45" t="n">
        <v>0.001001935441625185</v>
      </c>
      <c r="AE152" s="45" t="n">
        <v>0.002495817094289484</v>
      </c>
      <c r="AF152" t="n">
        <v>58</v>
      </c>
    </row>
    <row r="153" ht="109.5" customHeight="1" s="24">
      <c r="A153" s="30" t="inlineStr">
        <is>
          <t>AU16-10</t>
        </is>
      </c>
      <c r="B153" s="30" t="inlineStr">
        <is>
          <t>Gorgeous Gerberas</t>
        </is>
      </c>
      <c r="C153" s="30" t="inlineStr">
        <is>
          <t>Bouquets</t>
        </is>
      </c>
      <c r="D153" s="43" t="inlineStr">
        <is>
          <t>READY TO REVIEW</t>
        </is>
      </c>
      <c r="E153" s="30" t="n"/>
      <c r="F153" s="30" t="inlineStr">
        <is>
          <t>none</t>
        </is>
      </c>
      <c r="G153" s="30" t="inlineStr">
        <is>
          <t>9 × Gerbera Daisies assorted; 2 × Ruscus Israeli</t>
        </is>
      </c>
      <c r="H153" s="30" t="inlineStr">
        <is>
          <t>9 × Gerbera Daisies assorted; 2 × Ruscus Israeli</t>
        </is>
      </c>
      <c r="I153" s="30" t="inlineStr">
        <is>
          <t>9 × Gerbera Daisies assorted; 2 × Ruscus Israeli</t>
        </is>
      </c>
      <c r="J153" s="30" t="inlineStr">
        <is>
          <t>9 × Gerbera Daisies assorted; 2 × Ruscus Israeli</t>
        </is>
      </c>
      <c r="K153" s="30" t="inlineStr">
        <is>
          <t>N</t>
        </is>
      </c>
      <c r="L153" s="30" t="n"/>
      <c r="M153" s="30" t="inlineStr">
        <is>
          <t>A florist-designed bouquet of 9 assorted-colour gerberas. Chosen for a birthday, a thank-you or a just-because moment, it says you were thinking of them.</t>
        </is>
      </c>
      <c r="N153" s="30">
        <f>LEN(TRIM(SUBSTITUTE(M153,CHAR(10)," ")))-LEN(SUBSTITUTE(TRIM(SUBSTITUTE(M153,CHAR(10)," "))," ",""))+1</f>
        <v/>
      </c>
      <c r="O153" s="30" t="inlineStr">
        <is>
          <t>&lt;p&gt;A florist-designed bouquet of 9 assorted-colour gerberas. Chosen for a birthday, a thank-you or a just-because moment, it says you were thinking of them.&lt;/p&gt;</t>
        </is>
      </c>
      <c r="P153" s="29" t="inlineStr">
        <is>
          <t>ok</t>
        </is>
      </c>
      <c r="Q153" s="30" t="inlineStr">
        <is>
          <t>Gorgeous Gerberas brings together 9 assorted-colour gerberas. It suits a birthday, a thank-you or a just-because moment.
Mixed colours say thoughtfulness. We hand-arrange each one at Aussie Blooms so it looks the way you pictured it, ready for a Sunday lunch.</t>
        </is>
      </c>
      <c r="R153" s="30" t="inlineStr">
        <is>
          <t>&lt;p&gt;Gorgeous Gerberas brings together 9 assorted-colour gerberas. It suits a birthday, a thank-you or a just-because moment.&lt;/p&gt;&lt;p&gt;Mixed colours say thoughtfulness. We hand-arrange each one at Aussie Blooms so it looks the way you pictured it, ready for a Sunday lunch.&lt;/p&gt;</t>
        </is>
      </c>
      <c r="S153" s="29" t="inlineStr">
        <is>
          <t>ok</t>
        </is>
      </c>
      <c r="T153" s="30" t="inlineStr">
        <is>
          <t>Inside the bunch: 9 assorted-colour gerberas. Made for the moment someone opens the door and smiles.</t>
        </is>
      </c>
      <c r="U153" s="30" t="inlineStr">
        <is>
          <t>&lt;p&gt;Inside the bunch: 9 assorted-colour gerberas. Made for the moment someone opens the door and smiles.&lt;/p&gt;</t>
        </is>
      </c>
      <c r="V153" s="29" t="inlineStr">
        <is>
          <t>ok</t>
        </is>
      </c>
      <c r="W153" s="30" t="n"/>
      <c r="X153" s="30" t="inlineStr">
        <is>
          <t>n/a (Mel's: mason jar products only)</t>
        </is>
      </c>
      <c r="Y153" s="30" t="n"/>
      <c r="Z153" s="48" t="inlineStr">
        <is>
          <t>-</t>
        </is>
      </c>
      <c r="AA153" t="n">
        <v>187</v>
      </c>
      <c r="AB153" s="44" t="n">
        <v>3083.67</v>
      </c>
      <c r="AC153" t="n">
        <v>68</v>
      </c>
      <c r="AD153" s="45" t="n">
        <v>0.0003533175442443475</v>
      </c>
      <c r="AE153" s="45" t="n">
        <v>0.0008801125601536543</v>
      </c>
      <c r="AF153" t="n">
        <v>96</v>
      </c>
    </row>
    <row r="154" ht="109.5" customHeight="1" s="24">
      <c r="A154" s="30" t="inlineStr">
        <is>
          <t>AU25-60</t>
        </is>
      </c>
      <c r="B154" s="30" t="inlineStr">
        <is>
          <t>Heavenly Sunsets</t>
        </is>
      </c>
      <c r="C154" s="30" t="inlineStr">
        <is>
          <t>Bouquets</t>
        </is>
      </c>
      <c r="D154" s="43" t="inlineStr">
        <is>
          <t>READY TO REVIEW</t>
        </is>
      </c>
      <c r="E154" s="30" t="n"/>
      <c r="F154" s="30" t="inlineStr">
        <is>
          <t>none</t>
        </is>
      </c>
      <c r="G154" s="30" t="inlineStr">
        <is>
          <t>6 × Roses Assorted; 10 × Alstroemeria assorted; 1 × Baby's Breath; 2 × Ruscus Israeli; 1 × Leather Fern</t>
        </is>
      </c>
      <c r="H154" s="30" t="inlineStr">
        <is>
          <t>6 × Roses Assorted; 10 × Alstroemeria assorted; 1 × Baby's Breath; 2 × Ruscus Israeli; 1 × Leather Fern</t>
        </is>
      </c>
      <c r="I154" s="30" t="inlineStr">
        <is>
          <t>6 × Roses Assorted; 10 × Alstroemeria assorted; 1 × Baby's Breath; 2 × Ruscus Israeli; 1 × Leather Fern</t>
        </is>
      </c>
      <c r="J154" s="30" t="inlineStr">
        <is>
          <t>1 × Baby's Breath; 1 × Leather Fern; 2 × Ruscus Israeli; 10 × Alstroemeria assorted; 6 × Roses Assorted</t>
        </is>
      </c>
      <c r="K154" s="30" t="inlineStr">
        <is>
          <t>N</t>
        </is>
      </c>
      <c r="L154" s="30" t="n"/>
      <c r="M154" s="30" t="inlineStr">
        <is>
          <t>A fresh arrangement of 10 assorted-colour alstroemeria and 6 assorted-colour roses. A lovely way to mark a birthday, a thank-you or a just-because moment, and a bright moment when the door opens.</t>
        </is>
      </c>
      <c r="N154" s="30">
        <f>LEN(TRIM(SUBSTITUTE(M154,CHAR(10)," ")))-LEN(SUBSTITUTE(TRIM(SUBSTITUTE(M154,CHAR(10)," "))," ",""))+1</f>
        <v/>
      </c>
      <c r="O154" s="30" t="inlineStr">
        <is>
          <t>&lt;p&gt;A fresh arrangement of 10 assorted-colour alstroemeria and 6 assorted-colour roses. A lovely way to mark a birthday, a thank-you or a just-because moment, and a bright moment when the door opens.&lt;/p&gt;</t>
        </is>
      </c>
      <c r="P154" s="29" t="inlineStr">
        <is>
          <t>ok</t>
        </is>
      </c>
      <c r="Q154" s="30" t="inlineStr">
        <is>
          <t>Heavenly Sunsets brings together 10 assorted-colour alstroemeria and 6 assorted-colour roses. It suits a birthday, a thank-you or a just-because moment.
Mixed colours say thoughtfulness. We hand-arrange each one at Aussie Blooms so it looks the way you pictured it, ready for the kitchen bench.</t>
        </is>
      </c>
      <c r="R154" s="30" t="inlineStr">
        <is>
          <t>&lt;p&gt;Heavenly Sunsets brings together 10 assorted-colour alstroemeria and 6 assorted-colour roses. It suits a birthday, a thank-you or a just-because moment.&lt;/p&gt;&lt;p&gt;Mixed colours say thoughtfulness. We hand-arrange each one at Aussie Blooms so it looks the way you pictured it, ready for the kitchen bench.&lt;/p&gt;</t>
        </is>
      </c>
      <c r="S154" s="29" t="inlineStr">
        <is>
          <t>ok</t>
        </is>
      </c>
      <c r="T154" s="30" t="inlineStr">
        <is>
          <t>The bunch holds: 10 assorted-colour alstroemeria and 6 assorted-colour roses. A simple good turn for a birthday, a thank-you or no reason at all.</t>
        </is>
      </c>
      <c r="U154" s="30" t="inlineStr">
        <is>
          <t>&lt;p&gt;The bunch holds: 10 assorted-colour alstroemeria and 6 assorted-colour roses. A simple good turn for a birthday, a thank-you or no reason at all.&lt;/p&gt;</t>
        </is>
      </c>
      <c r="V154" s="29" t="inlineStr">
        <is>
          <t>ok</t>
        </is>
      </c>
      <c r="W154" s="30" t="n"/>
      <c r="X154" s="30" t="inlineStr">
        <is>
          <t>n/a (Mel's: mason jar products only)</t>
        </is>
      </c>
      <c r="Y154" s="30" t="n"/>
      <c r="Z154" s="48" t="inlineStr">
        <is>
          <t>-</t>
        </is>
      </c>
      <c r="AA154" t="inlineStr">
        <is>
          <t>no sales</t>
        </is>
      </c>
      <c r="AB154" s="44" t="n">
        <v>0</v>
      </c>
      <c r="AC154" t="n">
        <v>0</v>
      </c>
      <c r="AD154" s="45" t="n">
        <v>0</v>
      </c>
      <c r="AE154" s="45" t="n">
        <v>0</v>
      </c>
      <c r="AF154" t="inlineStr">
        <is>
          <t>no sales</t>
        </is>
      </c>
    </row>
    <row r="155" ht="109.5" customHeight="1" s="24">
      <c r="A155" s="30" t="inlineStr">
        <is>
          <t>AU24-60</t>
        </is>
      </c>
      <c r="B155" s="30" t="inlineStr">
        <is>
          <t>Feeling Peachy</t>
        </is>
      </c>
      <c r="C155" s="30" t="inlineStr">
        <is>
          <t>Bouquets</t>
        </is>
      </c>
      <c r="D155" s="43" t="inlineStr">
        <is>
          <t>READY TO REVIEW</t>
        </is>
      </c>
      <c r="E155" s="30" t="inlineStr">
        <is>
          <t>Warm peach roses, soft carnations and chrysanthemums blend into a tender, glowing bouquet. Gentle and welcoming, it's a lovely way to celebrate a new baby, offer congratulations, or send a little just-because joy.</t>
        </is>
      </c>
      <c r="F155" s="30" t="inlineStr">
        <is>
          <t>Shopify (28 Sep)</t>
        </is>
      </c>
      <c r="G155" s="30" t="inlineStr">
        <is>
          <t>3 × Roses Spray Orange; 4 × Roses Orange; 5 × Chrysanthemum Daisies Lavender; 4 × Carnation Hot Pink; 4 × Ruscus Israeli</t>
        </is>
      </c>
      <c r="H155" s="30" t="inlineStr">
        <is>
          <t>3 × Roses Spray Orange; 4 × Roses Orange; 5 × Chrysanthemum Daisies Lavender; 4 × Carnation Hot Pink; 4 × Ruscus Israeli</t>
        </is>
      </c>
      <c r="I155" s="30" t="inlineStr">
        <is>
          <t>3 × Roses Spray Orange; 4 × Roses Orange; 5 × Chrysanthemum Daisies Lavender; 4 × Carnation Hot Pink; 4 × Ruscus Israeli</t>
        </is>
      </c>
      <c r="J155" s="30" t="inlineStr">
        <is>
          <t>4 × Carnation Hot Pink; 4 × Ruscus Israeli; 5 × Chrysanthemum Daisies Lavender; 4 × Roses Orange; 3 × Roses Spray Orange</t>
        </is>
      </c>
      <c r="K155" s="30" t="inlineStr">
        <is>
          <t>Y</t>
        </is>
      </c>
      <c r="L155" s="30" t="n"/>
      <c r="M155" s="30" t="inlineStr">
        <is>
          <t>A fresh arrangement of 5 lavender chrysanthemum daisies, 4 hot pink carnations, 4 orange roses and 3 orange spray roses. A lovely way to mark a birthday, a thank-you or a just-because moment, and a bright moment when the door opens.</t>
        </is>
      </c>
      <c r="N155" s="30">
        <f>LEN(TRIM(SUBSTITUTE(M155,CHAR(10)," ")))-LEN(SUBSTITUTE(TRIM(SUBSTITUTE(M155,CHAR(10)," "))," ",""))+1</f>
        <v/>
      </c>
      <c r="O155" s="30" t="inlineStr">
        <is>
          <t>&lt;p&gt;A fresh arrangement of 5 lavender chrysanthemum daisies, 4 hot pink carnations, 4 orange roses and 3 orange spray roses. A lovely way to mark a birthday, a thank-you or a just-because moment, and a bright moment when the door opens.&lt;/p&gt;</t>
        </is>
      </c>
      <c r="P155" s="29" t="inlineStr">
        <is>
          <t>ok</t>
        </is>
      </c>
      <c r="Q155" s="30" t="inlineStr">
        <is>
          <t>Feeling Peachy brings together 5 lavender chrysanthemum daisies, 4 hot pink carnations, 4 orange roses and 3 orange spray roses. It suits a birthday, a thank-you or a just-because moment.
Orange tones say warmth and energy. We hand-arrange each one at Aussie Blooms so it looks the way you pictured it, ready for a Sunday lunch.</t>
        </is>
      </c>
      <c r="R155" s="30" t="inlineStr">
        <is>
          <t>&lt;p&gt;Feeling Peachy brings together 5 lavender chrysanthemum daisies, 4 hot pink carnations, 4 orange roses and 3 orange spray roses. It suits a birthday, a thank-you or a just-because moment.&lt;/p&gt;&lt;p&gt;Orange tones say warmth and energy. We hand-arrange each one at Aussie Blooms so it looks the way you pictured it, ready for a Sunday lunch.&lt;/p&gt;</t>
        </is>
      </c>
      <c r="S155" s="29" t="inlineStr">
        <is>
          <t>ok</t>
        </is>
      </c>
      <c r="T155" s="30" t="inlineStr">
        <is>
          <t>The bunch holds: 5 lavender chrysanthemum daisies, 4 hot pink carnations, 4 orange roses and 3 orange spray roses. Enough colour to turn an ordinary bench into the best spot in the house.</t>
        </is>
      </c>
      <c r="U155" s="30" t="inlineStr">
        <is>
          <t>&lt;p&gt;The bunch holds: 5 lavender chrysanthemum daisies, 4 hot pink carnations, 4 orange roses and 3 orange spray roses. Enough colour to turn an ordinary bench into the best spot in the house.&lt;/p&gt;</t>
        </is>
      </c>
      <c r="V155" s="29" t="inlineStr">
        <is>
          <t>ok</t>
        </is>
      </c>
      <c r="W155" s="30" t="n"/>
      <c r="X155" s="30" t="inlineStr">
        <is>
          <t>n/a (Mel's: mason jar products only)</t>
        </is>
      </c>
      <c r="Y155" s="30" t="n"/>
      <c r="Z155" s="48" t="inlineStr">
        <is>
          <t>-</t>
        </is>
      </c>
      <c r="AA155" t="n">
        <v>211</v>
      </c>
      <c r="AB155" s="44" t="n">
        <v>2271.56</v>
      </c>
      <c r="AC155" t="n">
        <v>18</v>
      </c>
      <c r="AD155" s="45" t="n">
        <v>0.0002602684466248626</v>
      </c>
      <c r="AE155" s="45" t="n">
        <v>0.0006483276378933657</v>
      </c>
      <c r="AF155" t="n">
        <v>115</v>
      </c>
    </row>
    <row r="156" ht="109.5" customHeight="1" s="24">
      <c r="A156" s="30" t="inlineStr">
        <is>
          <t>AU22-61</t>
        </is>
      </c>
      <c r="B156" s="30" t="inlineStr">
        <is>
          <t>Lively Sparkles</t>
        </is>
      </c>
      <c r="C156" s="30" t="inlineStr">
        <is>
          <t>Bouquets</t>
        </is>
      </c>
      <c r="D156" s="43" t="inlineStr">
        <is>
          <t>READY TO REVIEW</t>
        </is>
      </c>
      <c r="E156" s="30" t="inlineStr">
        <is>
          <t>Vibrant roses, lively alstroemeria and soft carnations sparkle together in a fresh, spirited bouquet. Cheerful and uplifting, it's the perfect way to say thank you or send warm get-well wishes.</t>
        </is>
      </c>
      <c r="F156" s="30" t="inlineStr">
        <is>
          <t>Shopify (28 Sep)</t>
        </is>
      </c>
      <c r="G156" s="30" t="inlineStr">
        <is>
          <t>3 × Roses Spray Red; 2 × Roses Pink; 3 × Carnation Pink; 3 × Ruscus Israeli; 5 × Alstroemeria Pink</t>
        </is>
      </c>
      <c r="H156" s="30" t="inlineStr">
        <is>
          <t>3 × Roses Spray Red; 2 × Roses Pink; 3 × Carnation Pink; 3 × Ruscus Israeli; 5 × Alstroemeria Pink</t>
        </is>
      </c>
      <c r="I156" s="30" t="inlineStr">
        <is>
          <t>3 × Roses Spray Red; 2 × Roses Pink; 3 × Carnation Pink; 3 × Ruscus Israeli; 5 × Alstroemeria Pink</t>
        </is>
      </c>
      <c r="J156" s="30" t="inlineStr">
        <is>
          <t>3 × Carnation Pink; 5 × Alstroemeria Pink; 3 × Ruscus Israeli; 2 × Roses Pink; 3 × Roses Spray Red</t>
        </is>
      </c>
      <c r="K156" s="30" t="inlineStr">
        <is>
          <t>Y</t>
        </is>
      </c>
      <c r="L156" s="30" t="n"/>
      <c r="M156" s="30" t="inlineStr">
        <is>
          <t>A hand-arranged bouquet of 5 pink alstroemeria, 3 pink carnations, 3 red spray roses and 2 pink roses. A lovely way to mark a birthday, a thank-you or a just-because moment.</t>
        </is>
      </c>
      <c r="N156" s="30">
        <f>LEN(TRIM(SUBSTITUTE(M156,CHAR(10)," ")))-LEN(SUBSTITUTE(TRIM(SUBSTITUTE(M156,CHAR(10)," "))," ",""))+1</f>
        <v/>
      </c>
      <c r="O156" s="30" t="inlineStr">
        <is>
          <t>&lt;p&gt;A hand-arranged bouquet of 5 pink alstroemeria, 3 pink carnations, 3 red spray roses and 2 pink roses. A lovely way to mark a birthday, a thank-you or a just-because moment.&lt;/p&gt;</t>
        </is>
      </c>
      <c r="P156" s="29" t="inlineStr">
        <is>
          <t>ok</t>
        </is>
      </c>
      <c r="Q156" s="30" t="inlineStr">
        <is>
          <t>Lively Sparkles brings together 5 pink alstroemeria, 3 pink carnations, 3 red spray roses and 2 pink roses. It suits a birthday, a thank-you or a just-because moment.
Pink tones say affection. We hand-arrange each one at Aussie Blooms so it looks the way you pictured it, ready for a summer table.</t>
        </is>
      </c>
      <c r="R156" s="30" t="inlineStr">
        <is>
          <t>&lt;p&gt;Lively Sparkles brings together 5 pink alstroemeria, 3 pink carnations, 3 red spray roses and 2 pink roses. It suits a birthday, a thank-you or a just-because moment.&lt;/p&gt;&lt;p&gt;Pink tones say affection. We hand-arrange each one at Aussie Blooms so it looks the way you pictured it, ready for a summer table.&lt;/p&gt;</t>
        </is>
      </c>
      <c r="S156" s="29" t="inlineStr">
        <is>
          <t>ok</t>
        </is>
      </c>
      <c r="T156" s="30" t="inlineStr">
        <is>
          <t>In this bunch: 5 pink alstroemeria, 3 pink carnations, 3 red spray roses and 2 pink roses. Soft colours that make a quiet room feel looked after.</t>
        </is>
      </c>
      <c r="U156" s="30" t="inlineStr">
        <is>
          <t>&lt;p&gt;In this bunch: 5 pink alstroemeria, 3 pink carnations, 3 red spray roses and 2 pink roses. Soft colours that make a quiet room feel looked after.&lt;/p&gt;</t>
        </is>
      </c>
      <c r="V156" s="29" t="inlineStr">
        <is>
          <t>ok</t>
        </is>
      </c>
      <c r="W156" s="30" t="n"/>
      <c r="X156" s="30" t="inlineStr">
        <is>
          <t>n/a (Mel's: mason jar products only)</t>
        </is>
      </c>
      <c r="Y156" s="30" t="n"/>
      <c r="Z156" s="48" t="inlineStr">
        <is>
          <t>-</t>
        </is>
      </c>
      <c r="AA156" t="n">
        <v>136</v>
      </c>
      <c r="AB156" s="44" t="n">
        <v>7574.67</v>
      </c>
      <c r="AC156" t="n">
        <v>64</v>
      </c>
      <c r="AD156" s="45" t="n">
        <v>0.0008678821132850178</v>
      </c>
      <c r="AE156" s="45" t="n">
        <v>0.002161890800720013</v>
      </c>
      <c r="AF156" t="n">
        <v>64</v>
      </c>
    </row>
    <row r="157" ht="109.5" customHeight="1" s="24">
      <c r="A157" s="30" t="inlineStr">
        <is>
          <t>AU213-60</t>
        </is>
      </c>
      <c r="B157" s="30" t="inlineStr">
        <is>
          <t>Joyous Delight</t>
        </is>
      </c>
      <c r="C157" s="30" t="inlineStr">
        <is>
          <t>Bouquets</t>
        </is>
      </c>
      <c r="D157" s="43" t="inlineStr">
        <is>
          <t>READY TO REVIEW</t>
        </is>
      </c>
      <c r="E157" s="30" t="inlineStr">
        <is>
          <t>Lush alstroemeria mingles with roses and carnations in a bright, joyous display full of movement and colour. A delightful choice to mark an anniversary, celebrate a birthday, or lift someone's spirits.</t>
        </is>
      </c>
      <c r="F157" s="30" t="inlineStr">
        <is>
          <t>Shopify (28 Sep)</t>
        </is>
      </c>
      <c r="G157" s="30" t="inlineStr">
        <is>
          <t>1 × Roses Yellow; 1 × Roses White; 1 × Baby's Breath; 2 × Ruscus Israeli; 2 × Carnations Cream; 5 × Alstroemeria Yellow; 3 × Alstroemeria White</t>
        </is>
      </c>
      <c r="H157" s="30" t="inlineStr">
        <is>
          <t>1 × Roses Yellow; 1 × Roses White; 1 × Baby's Breath; 2 × Ruscus Israeli; 2 × Carnations Cream; 5 × Alstroemeria Yellow; 3 × Alstroemeria White</t>
        </is>
      </c>
      <c r="I157" s="30" t="inlineStr">
        <is>
          <t>1 × Roses Yellow; 1 × Roses White; 1 × Baby's Breath; 2 × Ruscus Israeli; 2 × Carnations Cream; 5 × Alstroemeria Yellow; 3 × Alstroemeria White</t>
        </is>
      </c>
      <c r="J157" s="30" t="inlineStr">
        <is>
          <t>5 × Alstroemeria Yellow; 1 × Baby's Breath; 2 × Ruscus Israeli; 3 × Alstroemeria White; 2 × Carnations Cream; 1 × Roses Yellow; 1 × Roses White</t>
        </is>
      </c>
      <c r="K157" s="30" t="inlineStr">
        <is>
          <t>Y</t>
        </is>
      </c>
      <c r="L157" s="30" t="n"/>
      <c r="M157" s="30" t="inlineStr">
        <is>
          <t>A florist-designed bouquet of 5 yellow alstroemeria, 3 white alstroemeria, 2 cream carnations, 1 white rose and 1 yellow rose. Chosen for a birthday, a thank-you or a just-because moment, it is a gift that says you care.</t>
        </is>
      </c>
      <c r="N157" s="30">
        <f>LEN(TRIM(SUBSTITUTE(M157,CHAR(10)," ")))-LEN(SUBSTITUTE(TRIM(SUBSTITUTE(M157,CHAR(10)," "))," ",""))+1</f>
        <v/>
      </c>
      <c r="O157" s="30" t="inlineStr">
        <is>
          <t>&lt;p&gt;A florist-designed bouquet of 5 yellow alstroemeria, 3 white alstroemeria, 2 cream carnations, 1 white rose and 1 yellow rose. Chosen for a birthday, a thank-you or a just-because moment, it is a gift that says you care.&lt;/p&gt;</t>
        </is>
      </c>
      <c r="P157" s="29" t="inlineStr">
        <is>
          <t>ok</t>
        </is>
      </c>
      <c r="Q157" s="30" t="inlineStr">
        <is>
          <t>Joyous Delight brings together 5 yellow alstroemeria, 3 white alstroemeria, 2 cream carnations, 1 white rose and 1 yellow rose. It suits a birthday, a thank-you or a just-because moment.
Yellow tones say friendship and cheer. We hand-arrange each one at Aussie Blooms so it looks the way you pictured it, ready for the kitchen bench.</t>
        </is>
      </c>
      <c r="R157" s="30" t="inlineStr">
        <is>
          <t>&lt;p&gt;Joyous Delight brings together 5 yellow alstroemeria, 3 white alstroemeria, 2 cream carnations, 1 white rose and 1 yellow rose. It suits a birthday, a thank-you or a just-because moment.&lt;/p&gt;&lt;p&gt;Yellow tones say friendship and cheer. We hand-arrange each one at Aussie Blooms so it looks the way you pictured it, ready for the kitchen bench.&lt;/p&gt;</t>
        </is>
      </c>
      <c r="S157" s="29" t="inlineStr">
        <is>
          <t>ok</t>
        </is>
      </c>
      <c r="T157" s="30" t="inlineStr">
        <is>
          <t>Inside the bunch: 5 yellow alstroemeria, 3 white alstroemeria, 2 cream carnations, 1 white rose and 1 yellow rose. Bright on purpose, and hard to walk past without smiling.</t>
        </is>
      </c>
      <c r="U157" s="30" t="inlineStr">
        <is>
          <t>&lt;p&gt;Inside the bunch: 5 yellow alstroemeria, 3 white alstroemeria, 2 cream carnations, 1 white rose and 1 yellow rose. Bright on purpose, and hard to walk past without smiling.&lt;/p&gt;</t>
        </is>
      </c>
      <c r="V157" s="29" t="inlineStr">
        <is>
          <t>ok</t>
        </is>
      </c>
      <c r="W157" s="30" t="n"/>
      <c r="X157" s="30" t="inlineStr">
        <is>
          <t>n/a (Mel's: mason jar products only)</t>
        </is>
      </c>
      <c r="Y157" s="30" t="n"/>
      <c r="Z157" s="48" t="inlineStr">
        <is>
          <t>-</t>
        </is>
      </c>
      <c r="AA157" t="n">
        <v>112</v>
      </c>
      <c r="AB157" s="44" t="n">
        <v>11378.98</v>
      </c>
      <c r="AC157" t="n">
        <v>122</v>
      </c>
      <c r="AD157" s="45" t="n">
        <v>0.001303768973205805</v>
      </c>
      <c r="AE157" s="45" t="n">
        <v>0.003247683189101697</v>
      </c>
      <c r="AF157" t="n">
        <v>53</v>
      </c>
    </row>
    <row r="158" ht="109.5" customHeight="1" s="24">
      <c r="A158" s="30" t="inlineStr">
        <is>
          <t>AU111-25</t>
        </is>
      </c>
      <c r="B158" s="30" t="inlineStr">
        <is>
          <t>Tasteful Blooms</t>
        </is>
      </c>
      <c r="C158" s="30" t="inlineStr">
        <is>
          <t>Bouquets</t>
        </is>
      </c>
      <c r="D158" s="43" t="inlineStr">
        <is>
          <t>READY TO REVIEW</t>
        </is>
      </c>
      <c r="E158" s="30" t="inlineStr">
        <is>
          <t>Graceful alstroemeria, chrysanthemums and roses come together in a softly tasteful bouquet. Understated and elegant, it's a lovely gesture for a new arrival, a token of love, or a gentle just-because surprise.</t>
        </is>
      </c>
      <c r="F158" s="30" t="inlineStr">
        <is>
          <t>Shopify (28 Sep)</t>
        </is>
      </c>
      <c r="G158" s="30" t="inlineStr">
        <is>
          <t>2 × Roses Pink; 3 × Chrysanthemum Spray White; 1 × Baby's Breath; 2 × Ruscus Israeli; 3 × Alstroemeria Pink</t>
        </is>
      </c>
      <c r="H158" s="30" t="inlineStr">
        <is>
          <t>2 × Roses Pink; 3 × Chrysanthemum Spray White; 1 × Baby's Breath; 2 × Ruscus Israeli; 3 × Alstroemeria Pink</t>
        </is>
      </c>
      <c r="I158" s="30" t="inlineStr">
        <is>
          <t>2 × Roses Pink; 3 × Chrysanthemum Spray White; 1 × Baby's Breath; 2 × Ruscus Israeli; 3 × Alstroemeria Pink</t>
        </is>
      </c>
      <c r="J158" s="30" t="inlineStr">
        <is>
          <t>1 × Baby's Breath; 3 × Alstroemeria Pink; 2 × Ruscus Israeli; 3 × Chrysanthemum Spray White; 2 × Roses Pink</t>
        </is>
      </c>
      <c r="K158" s="30" t="inlineStr">
        <is>
          <t>Y</t>
        </is>
      </c>
      <c r="L158" s="30" t="n"/>
      <c r="M158" s="30" t="inlineStr">
        <is>
          <t>A florist-designed bouquet of 3 pink alstroemeria, 3 white spray chrysanthemums and 2 pink roses. Chosen for a birthday, a thank-you or a just-because moment, it is a gift that says you care.</t>
        </is>
      </c>
      <c r="N158" s="30">
        <f>LEN(TRIM(SUBSTITUTE(M158,CHAR(10)," ")))-LEN(SUBSTITUTE(TRIM(SUBSTITUTE(M158,CHAR(10)," "))," ",""))+1</f>
        <v/>
      </c>
      <c r="O158" s="30" t="inlineStr">
        <is>
          <t>&lt;p&gt;A florist-designed bouquet of 3 pink alstroemeria, 3 white spray chrysanthemums and 2 pink roses. Chosen for a birthday, a thank-you or a just-because moment, it is a gift that says you care.&lt;/p&gt;</t>
        </is>
      </c>
      <c r="P158" s="29" t="inlineStr">
        <is>
          <t>ok</t>
        </is>
      </c>
      <c r="Q158" s="30" t="inlineStr">
        <is>
          <t>Tasteful Blooms brings together 3 pink alstroemeria, 3 white spray chrysanthemums and 2 pink roses. It suits a birthday, a thank-you or a just-because moment.
Pink tones say affection. We hand-arrange each one at Aussie Blooms so it looks the way you pictured it, ready for the bedside table.</t>
        </is>
      </c>
      <c r="R158" s="30" t="inlineStr">
        <is>
          <t>&lt;p&gt;Tasteful Blooms brings together 3 pink alstroemeria, 3 white spray chrysanthemums and 2 pink roses. It suits a birthday, a thank-you or a just-because moment.&lt;/p&gt;&lt;p&gt;Pink tones say affection. We hand-arrange each one at Aussie Blooms so it looks the way you pictured it, ready for the bedside table.&lt;/p&gt;</t>
        </is>
      </c>
      <c r="S158" s="29" t="inlineStr">
        <is>
          <t>ok</t>
        </is>
      </c>
      <c r="T158" s="30" t="inlineStr">
        <is>
          <t>Inside the bunch: 3 pink alstroemeria, 3 white spray chrysanthemums and 2 pink roses. Calm colour for the kind of day that deserves a pause.</t>
        </is>
      </c>
      <c r="U158" s="30" t="inlineStr">
        <is>
          <t>&lt;p&gt;Inside the bunch: 3 pink alstroemeria, 3 white spray chrysanthemums and 2 pink roses. Calm colour for the kind of day that deserves a pause.&lt;/p&gt;</t>
        </is>
      </c>
      <c r="V158" s="29" t="inlineStr">
        <is>
          <t>ok</t>
        </is>
      </c>
      <c r="W158" s="30" t="n"/>
      <c r="X158" s="30" t="inlineStr">
        <is>
          <t>n/a (Mel's: mason jar products only)</t>
        </is>
      </c>
      <c r="Y158" s="30" t="n"/>
      <c r="Z158" s="48" t="inlineStr">
        <is>
          <t>-</t>
        </is>
      </c>
      <c r="AA158" t="n">
        <v>99</v>
      </c>
      <c r="AB158" s="44" t="n">
        <v>15789.56</v>
      </c>
      <c r="AC158" t="n">
        <v>199</v>
      </c>
      <c r="AD158" s="45" t="n">
        <v>0.001809120064901195</v>
      </c>
      <c r="AE158" s="45" t="n">
        <v>0.004506510695218637</v>
      </c>
      <c r="AF158" t="n">
        <v>46</v>
      </c>
    </row>
    <row r="159" ht="109.5" customHeight="1" s="24">
      <c r="A159" s="30" t="inlineStr">
        <is>
          <t>AU218-30</t>
        </is>
      </c>
      <c r="B159" s="30" t="inlineStr">
        <is>
          <t>Pretty Posy</t>
        </is>
      </c>
      <c r="C159" s="30" t="inlineStr">
        <is>
          <t>Bouquets</t>
        </is>
      </c>
      <c r="D159" s="43" t="inlineStr">
        <is>
          <t>READY TO REVIEW</t>
        </is>
      </c>
      <c r="E159" s="30" t="inlineStr">
        <is>
          <t>A charming posy of alstroemeria, chrysanthemums, daisies, carnations and roses, gathered with effortless prettiness. Sweet and full of character, it's a delightful way to celebrate a birthday, an anniversary, or someone you love.</t>
        </is>
      </c>
      <c r="F159" s="30" t="inlineStr">
        <is>
          <t>Shopify (28 Sep)</t>
        </is>
      </c>
      <c r="G159" s="30" t="inlineStr">
        <is>
          <t>2 × Roses Pink; 3 × Chrysanthemum Daisies White; 2 × Daisy poms purple; 2 × Ruscus Israeli; 3 × Mini Carnations Pink; 3 × Alstroemeria orange; 5 × Alstroemeria White</t>
        </is>
      </c>
      <c r="H159" s="30" t="inlineStr">
        <is>
          <t>2 × Roses Pink; 3 × Chrysanthemum Daisies White; 2 × Daisy poms purple; 2 × Ruscus Israeli; 3 × Mini Carnations Pink; 3 × Alstroemeria orange; 5 × Alstroemeria White</t>
        </is>
      </c>
      <c r="I159" s="30" t="inlineStr">
        <is>
          <t>2 × Roses Pink; 3 × Chrysanthemum Daisies White; 2 × Daisy poms purple; 2 × Ruscus Israeli; 3 × Mini Carnations Pink; 3 × Alstroemeria orange; 5 × Alstroemeria White</t>
        </is>
      </c>
      <c r="J159" s="30" t="inlineStr">
        <is>
          <t>2 × Ruscus Israeli; 3 × Alstroemeria orange; 3 × Mini Carnations Pink; 5 × Alstroemeria White; 2 × Daisy poms purple; 3 × Chrysanthemum Daisies White; 2 × Roses Pink</t>
        </is>
      </c>
      <c r="K159" s="30" t="inlineStr">
        <is>
          <t>Y</t>
        </is>
      </c>
      <c r="L159" s="30" t="n"/>
      <c r="M159" s="30" t="inlineStr">
        <is>
          <t>A florist-designed bouquet of 5 white alstroemeria, 3 orange alstroemeria, 3 white chrysanthemum daisies and 2 pink roses. Chosen for a birthday, a thank-you or a just-because moment, it says you were thinking of them.</t>
        </is>
      </c>
      <c r="N159" s="30">
        <f>LEN(TRIM(SUBSTITUTE(M159,CHAR(10)," ")))-LEN(SUBSTITUTE(TRIM(SUBSTITUTE(M159,CHAR(10)," "))," ",""))+1</f>
        <v/>
      </c>
      <c r="O159" s="30" t="inlineStr">
        <is>
          <t>&lt;p&gt;A florist-designed bouquet of 5 white alstroemeria, 3 orange alstroemeria, 3 white chrysanthemum daisies and 2 pink roses. Chosen for a birthday, a thank-you or a just-because moment, it says you were thinking of them.&lt;/p&gt;</t>
        </is>
      </c>
      <c r="P159" s="29" t="inlineStr">
        <is>
          <t>ok</t>
        </is>
      </c>
      <c r="Q159" s="30" t="inlineStr">
        <is>
          <t>Pretty Posy brings together 5 white alstroemeria, 3 orange alstroemeria, 3 white chrysanthemum daisies and 2 pink roses. It suits a birthday, a thank-you or a just-because moment.
White tones say calm and a fresh start. We hand-arrange each one at Aussie Blooms so it looks the way you pictured it, ready for a Sunday lunch.</t>
        </is>
      </c>
      <c r="R159" s="30" t="inlineStr">
        <is>
          <t>&lt;p&gt;Pretty Posy brings together 5 white alstroemeria, 3 orange alstroemeria, 3 white chrysanthemum daisies and 2 pink roses. It suits a birthday, a thank-you or a just-because moment.&lt;/p&gt;&lt;p&gt;White tones say calm and a fresh start. We hand-arrange each one at Aussie Blooms so it looks the way you pictured it, ready for a Sunday lunch.&lt;/p&gt;</t>
        </is>
      </c>
      <c r="S159" s="29" t="inlineStr">
        <is>
          <t>ok</t>
        </is>
      </c>
      <c r="T159" s="30" t="inlineStr">
        <is>
          <t>Inside the bunch: 5 white alstroemeria, 3 orange alstroemeria, 3 white chrysanthemum daisies and 2 pink roses. Bright on purpose, and hard to walk past without smiling.</t>
        </is>
      </c>
      <c r="U159" s="30" t="inlineStr">
        <is>
          <t>&lt;p&gt;Inside the bunch: 5 white alstroemeria, 3 orange alstroemeria, 3 white chrysanthemum daisies and 2 pink roses. Bright on purpose, and hard to walk past without smiling.&lt;/p&gt;</t>
        </is>
      </c>
      <c r="V159" s="29" t="inlineStr">
        <is>
          <t>ok</t>
        </is>
      </c>
      <c r="W159" s="30" t="n"/>
      <c r="X159" s="30" t="inlineStr">
        <is>
          <t>n/a (Mel's: mason jar products only)</t>
        </is>
      </c>
      <c r="Y159" s="30" t="n"/>
      <c r="Z159" s="48" t="inlineStr">
        <is>
          <t>-</t>
        </is>
      </c>
      <c r="AA159" t="n">
        <v>139</v>
      </c>
      <c r="AB159" s="44" t="n">
        <v>7216.87</v>
      </c>
      <c r="AC159" t="n">
        <v>56</v>
      </c>
      <c r="AD159" s="45" t="n">
        <v>0.000826887048721395</v>
      </c>
      <c r="AE159" s="45" t="n">
        <v>0.00205977226227064</v>
      </c>
      <c r="AF159" t="n">
        <v>66</v>
      </c>
    </row>
    <row r="160" ht="109.5" customHeight="1" s="24">
      <c r="A160" s="30" t="inlineStr">
        <is>
          <t>AU111-72</t>
        </is>
      </c>
      <c r="B160" s="30" t="inlineStr">
        <is>
          <t>Joy and Harmony</t>
        </is>
      </c>
      <c r="C160" s="30" t="inlineStr">
        <is>
          <t>Bouquets</t>
        </is>
      </c>
      <c r="D160" s="43" t="inlineStr">
        <is>
          <t>READY TO REVIEW</t>
        </is>
      </c>
      <c r="E160" s="30" t="inlineStr">
        <is>
          <t>Ruffled carnations, chrysanthemums, roses and alstroemeria come together in a harmonious, joy-filled bouquet. Rich and welcoming, it's a wonderful way to mark an anniversary, celebrate a birthday, or offer warm congratulations.</t>
        </is>
      </c>
      <c r="F160" s="30" t="inlineStr">
        <is>
          <t>Shopify (28 Sep)</t>
        </is>
      </c>
      <c r="G160" s="30" t="inlineStr">
        <is>
          <t>4 × Roses White; 2 × Chrysanthemum Daisies White; 2 × Chrysanthemum Button White; 3 × Ruscus Israeli; 2 × Mini Carnations White; 3 × Alstroemeria White; 3 × Carnations Cream</t>
        </is>
      </c>
      <c r="H160" s="30" t="inlineStr">
        <is>
          <t>4 × Roses White; 2 × Chrysanthemum Daisies White; 2 × Chrysanthemum Button White; 3 × Ruscus Israeli; 2 × Mini Carnations White; 3 × Alstroemeria White; 3 × Carnations Cream</t>
        </is>
      </c>
      <c r="I160" s="30" t="inlineStr">
        <is>
          <t>4 × Roses White; 2 × Chrysanthemum Daisies White; 2 × Chrysanthemum Button White; 3 × Ruscus Israeli; 2 × Mini Carnations White; 3 × Alstroemeria White; 3 × Carnations Cream</t>
        </is>
      </c>
      <c r="J160" s="30" t="inlineStr">
        <is>
          <t>3 × Ruscus Israeli; 3 × Carnations Cream; 3 × Alstroemeria White; 2 × Mini Carnations White; 2 × Chrysanthemum Button White; 2 × Chrysanthemum Daisies White; 4 × Roses White</t>
        </is>
      </c>
      <c r="K160" s="30" t="inlineStr">
        <is>
          <t>Y</t>
        </is>
      </c>
      <c r="L160" s="30" t="n"/>
      <c r="M160" s="30" t="inlineStr">
        <is>
          <t>A hand-arranged bouquet of 4 white roses, 3 cream carnations, 3 white alstroemeria and 2 white chrysanthemum daisies. A lovely way to mark a thank-you, a new home or a thinking-of-you gesture.</t>
        </is>
      </c>
      <c r="N160" s="30">
        <f>LEN(TRIM(SUBSTITUTE(M160,CHAR(10)," ")))-LEN(SUBSTITUTE(TRIM(SUBSTITUTE(M160,CHAR(10)," "))," ",""))+1</f>
        <v/>
      </c>
      <c r="O160" s="30" t="inlineStr">
        <is>
          <t>&lt;p&gt;A hand-arranged bouquet of 4 white roses, 3 cream carnations, 3 white alstroemeria and 2 white chrysanthemum daisies. A lovely way to mark a thank-you, a new home or a thinking-of-you gesture.&lt;/p&gt;</t>
        </is>
      </c>
      <c r="P160" s="29" t="inlineStr">
        <is>
          <t>ok</t>
        </is>
      </c>
      <c r="Q160" s="30" t="inlineStr">
        <is>
          <t>Joy and Harmony brings together 4 white roses, 3 cream carnations, 3 white alstroemeria and 2 white chrysanthemum daisies. It suits a thank-you, a new home or a thinking-of-you gesture.
White tones say calm and a fresh start. We hand-arrange each one at Aussie Blooms so it looks the way you pictured it, ready for a summer table.</t>
        </is>
      </c>
      <c r="R160" s="30" t="inlineStr">
        <is>
          <t>&lt;p&gt;Joy and Harmony brings together 4 white roses, 3 cream carnations, 3 white alstroemeria and 2 white chrysanthemum daisies. It suits a thank-you, a new home or a thinking-of-you gesture.&lt;/p&gt;&lt;p&gt;White tones say calm and a fresh start. We hand-arrange each one at Aussie Blooms so it looks the way you pictured it, ready for a summer table.&lt;/p&gt;</t>
        </is>
      </c>
      <c r="S160" s="29" t="inlineStr">
        <is>
          <t>ok</t>
        </is>
      </c>
      <c r="T160" s="30" t="inlineStr">
        <is>
          <t>In this bunch: 4 white roses, 3 cream carnations, 3 white alstroemeria and 2 white chrysanthemum daisies. Soft colours that make a quiet room feel looked after.</t>
        </is>
      </c>
      <c r="U160" s="30" t="inlineStr">
        <is>
          <t>&lt;p&gt;In this bunch: 4 white roses, 3 cream carnations, 3 white alstroemeria and 2 white chrysanthemum daisies. Soft colours that make a quiet room feel looked after.&lt;/p&gt;</t>
        </is>
      </c>
      <c r="V160" s="29" t="inlineStr">
        <is>
          <t>ok</t>
        </is>
      </c>
      <c r="W160" s="30" t="n"/>
      <c r="X160" s="30" t="inlineStr">
        <is>
          <t>n/a (Mel's: mason jar products only)</t>
        </is>
      </c>
      <c r="Y160" s="30" t="n"/>
      <c r="Z160" s="48" t="inlineStr">
        <is>
          <t>-</t>
        </is>
      </c>
      <c r="AA160" t="n">
        <v>124</v>
      </c>
      <c r="AB160" s="44" t="n">
        <v>8847.719999999999</v>
      </c>
      <c r="AC160" t="n">
        <v>74</v>
      </c>
      <c r="AD160" s="45" t="n">
        <v>0.001013744889226668</v>
      </c>
      <c r="AE160" s="45" t="n">
        <v>0.002525234380048025</v>
      </c>
      <c r="AF160" t="n">
        <v>57</v>
      </c>
    </row>
    <row r="161" ht="109.5" customHeight="1" s="24">
      <c r="A161" s="30" t="inlineStr">
        <is>
          <t>AU222-80</t>
        </is>
      </c>
      <c r="B161" s="30" t="inlineStr">
        <is>
          <t>Wild Spirits</t>
        </is>
      </c>
      <c r="C161" s="30" t="inlineStr">
        <is>
          <t>Bouquets</t>
        </is>
      </c>
      <c r="D161" s="43" t="inlineStr">
        <is>
          <t>READY TO REVIEW</t>
        </is>
      </c>
      <c r="E161" s="30" t="inlineStr">
        <is>
          <t>Romantic roses and free-spirited alstroemeria combine in a relaxed, characterful bouquet with natural flair. Bold yet easy-going, it's a spirited choice for a birthday, a celebration, or simply because.</t>
        </is>
      </c>
      <c r="F161" s="30" t="inlineStr">
        <is>
          <t>Shopify (28 Sep)</t>
        </is>
      </c>
      <c r="G161" s="30" t="inlineStr">
        <is>
          <t>4 × Roses White; 2 × Limonium Purple; 1 × Baby's Breath; 2 × Ruscus Israeli; 3 × Alstroemeria White; 1 × Eryngium</t>
        </is>
      </c>
      <c r="H161" s="30" t="inlineStr">
        <is>
          <t>4 × Roses White; 2 × Limonium Purple; 1 × Baby's Breath; 2 × Ruscus Israeli; 3 × Alstroemeria White; 1 × Eryngium</t>
        </is>
      </c>
      <c r="I161" s="30" t="inlineStr">
        <is>
          <t>4 × Roses White; 2 × Limonium Purple; 1 × Baby's Breath; 2 × Ruscus Israeli; 3 × Alstroemeria White; 1 × Eryngium</t>
        </is>
      </c>
      <c r="J161" s="30" t="inlineStr">
        <is>
          <t>1 × Baby's Breath; 1 × Eryngium; 3 × Alstroemeria White; 2 × Ruscus Israeli; 2 × Limonium Purple; 4 × Roses White</t>
        </is>
      </c>
      <c r="K161" s="30" t="inlineStr">
        <is>
          <t>Y</t>
        </is>
      </c>
      <c r="L161" s="30" t="n"/>
      <c r="M161" s="30" t="inlineStr">
        <is>
          <t>A hand-arranged bouquet of 4 white roses and 3 white alstroemeria. A lovely way to mark a birthday, a thank-you or a just-because moment, and a bright moment when the door opens.</t>
        </is>
      </c>
      <c r="N161" s="30">
        <f>LEN(TRIM(SUBSTITUTE(M161,CHAR(10)," ")))-LEN(SUBSTITUTE(TRIM(SUBSTITUTE(M161,CHAR(10)," "))," ",""))+1</f>
        <v/>
      </c>
      <c r="O161" s="30" t="inlineStr">
        <is>
          <t>&lt;p&gt;A hand-arranged bouquet of 4 white roses and 3 white alstroemeria. A lovely way to mark a birthday, a thank-you or a just-because moment, and a bright moment when the door opens.&lt;/p&gt;</t>
        </is>
      </c>
      <c r="P161" s="29" t="inlineStr">
        <is>
          <t>ok</t>
        </is>
      </c>
      <c r="Q161" s="30" t="inlineStr">
        <is>
          <t>Wild Spirits brings together 4 white roses and 3 white alstroemeria. It suits a birthday, a thank-you or a just-because moment.
White tones say calm and a fresh start. We hand-arrange each one at Aussie Blooms so it looks the way you pictured it, ready for the bedside table.</t>
        </is>
      </c>
      <c r="R161" s="30" t="inlineStr">
        <is>
          <t>&lt;p&gt;Wild Spirits brings together 4 white roses and 3 white alstroemeria. It suits a birthday, a thank-you or a just-because moment.&lt;/p&gt;&lt;p&gt;White tones say calm and a fresh start. We hand-arrange each one at Aussie Blooms so it looks the way you pictured it, ready for the bedside table.&lt;/p&gt;</t>
        </is>
      </c>
      <c r="S161" s="29" t="inlineStr">
        <is>
          <t>ok</t>
        </is>
      </c>
      <c r="T161" s="30" t="inlineStr">
        <is>
          <t>In this bunch: 4 white roses and 3 white alstroemeria. Soft colours that make a quiet room feel looked after.</t>
        </is>
      </c>
      <c r="U161" s="30" t="inlineStr">
        <is>
          <t>&lt;p&gt;In this bunch: 4 white roses and 3 white alstroemeria. Soft colours that make a quiet room feel looked after.&lt;/p&gt;</t>
        </is>
      </c>
      <c r="V161" s="29" t="inlineStr">
        <is>
          <t>ok</t>
        </is>
      </c>
      <c r="W161" s="30" t="n"/>
      <c r="X161" s="30" t="inlineStr">
        <is>
          <t>n/a (Mel's: mason jar products only)</t>
        </is>
      </c>
      <c r="Y161" s="30" t="n"/>
      <c r="Z161" s="48" t="inlineStr">
        <is>
          <t>-</t>
        </is>
      </c>
      <c r="AA161" t="n">
        <v>21</v>
      </c>
      <c r="AB161" s="44" t="n">
        <v>109634.51</v>
      </c>
      <c r="AC161" t="n">
        <v>1396</v>
      </c>
      <c r="AD161" s="45" t="n">
        <v>0.01256158922246296</v>
      </c>
      <c r="AE161" s="45" t="n">
        <v>0.03129086746548477</v>
      </c>
      <c r="AF161" t="n">
        <v>6</v>
      </c>
    </row>
    <row r="162" ht="109.5" customHeight="1" s="24">
      <c r="A162" s="30" t="inlineStr">
        <is>
          <t>AU216-80</t>
        </is>
      </c>
      <c r="B162" s="30" t="inlineStr">
        <is>
          <t>Shimmering Sunlight</t>
        </is>
      </c>
      <c r="C162" s="30" t="inlineStr">
        <is>
          <t>Bouquets</t>
        </is>
      </c>
      <c r="D162" s="43" t="inlineStr">
        <is>
          <t>READY TO REVIEW</t>
        </is>
      </c>
      <c r="E162" s="30" t="inlineStr">
        <is>
          <t>Radiant roses, soft carnations, alstroemeria and chrysanthemums shimmer together in a warm, sunlit bouquet. Bright and cheerful, it's a lovely way to celebrate a birthday, welcome a new home, or send get-well warmth.</t>
        </is>
      </c>
      <c r="F162" s="30" t="inlineStr">
        <is>
          <t>Shopify (28 Sep)</t>
        </is>
      </c>
      <c r="G162" s="30" t="inlineStr">
        <is>
          <t>6 × Roses Pink; 5 × Chrysanthemum Spray yellow; 3 × Carnation Pink; 1 × Limonium Purple; 3 × Ruscus Israeli; 4 × Alstroemeria Pink</t>
        </is>
      </c>
      <c r="H162" s="30" t="inlineStr">
        <is>
          <t>6 × Roses Pink; 5 × Chrysanthemum Spray yellow; 3 × Carnation Pink; 1 × Limonium Purple; 3 × Ruscus Israeli; 4 × Alstroemeria Pink</t>
        </is>
      </c>
      <c r="I162" s="30" t="inlineStr">
        <is>
          <t>6 × Roses Pink; 5 × Chrysanthemum Spray yellow; 3 × Carnation Pink; 1 × Limonium Purple; 3 × Ruscus Israeli; 4 × Alstroemeria Pink</t>
        </is>
      </c>
      <c r="J162" s="30" t="inlineStr">
        <is>
          <t>5 × Chrysanthemum Spray yellow; 4 × Alstroemeria Pink; 3 × Ruscus Israeli; 1 × Limonium Purple; 3 × Carnation Pink; 6 × Roses Pink</t>
        </is>
      </c>
      <c r="K162" s="30" t="inlineStr">
        <is>
          <t>Y</t>
        </is>
      </c>
      <c r="L162" s="30" t="n"/>
      <c r="M162" s="30" t="inlineStr">
        <is>
          <t>A hand-arranged bouquet of 6 pink roses, 5 yellow spray chrysanthemums, 4 pink alstroemeria and 3 pink carnations. Chosen for a get-well wish or a thank-you, it says you were thinking of them.</t>
        </is>
      </c>
      <c r="N162" s="30">
        <f>LEN(TRIM(SUBSTITUTE(M162,CHAR(10)," ")))-LEN(SUBSTITUTE(TRIM(SUBSTITUTE(M162,CHAR(10)," "))," ",""))+1</f>
        <v/>
      </c>
      <c r="O162" s="30" t="inlineStr">
        <is>
          <t>&lt;p&gt;A hand-arranged bouquet of 6 pink roses, 5 yellow spray chrysanthemums, 4 pink alstroemeria and 3 pink carnations. Chosen for a get-well wish or a thank-you, it says you were thinking of them.&lt;/p&gt;</t>
        </is>
      </c>
      <c r="P162" s="29" t="inlineStr">
        <is>
          <t>ok</t>
        </is>
      </c>
      <c r="Q162" s="30" t="inlineStr">
        <is>
          <t>Shimmering Sunlight brings together 6 pink roses, 5 yellow spray chrysanthemums, 4 pink alstroemeria and 3 pink carnations. It suits a get-well wish or a thank-you.
Pink tones say affection. We hand-arrange each one at Aussie Blooms so it looks the way you pictured it, ready for the bedside table.</t>
        </is>
      </c>
      <c r="R162" s="30" t="inlineStr">
        <is>
          <t>&lt;p&gt;Shimmering Sunlight brings together 6 pink roses, 5 yellow spray chrysanthemums, 4 pink alstroemeria and 3 pink carnations. It suits a get-well wish or a thank-you.&lt;/p&gt;&lt;p&gt;Pink tones say affection. We hand-arrange each one at Aussie Blooms so it looks the way you pictured it, ready for the bedside table.&lt;/p&gt;</t>
        </is>
      </c>
      <c r="S162" s="29" t="inlineStr">
        <is>
          <t>ok</t>
        </is>
      </c>
      <c r="T162" s="30" t="inlineStr">
        <is>
          <t>In this bunch: 6 pink roses, 5 yellow spray chrysanthemums, 4 pink alstroemeria and 3 pink carnations. Brings the colour in before anyone has said hello.</t>
        </is>
      </c>
      <c r="U162" s="30" t="inlineStr">
        <is>
          <t>&lt;p&gt;In this bunch: 6 pink roses, 5 yellow spray chrysanthemums, 4 pink alstroemeria and 3 pink carnations. Brings the colour in before anyone has said hello.&lt;/p&gt;</t>
        </is>
      </c>
      <c r="V162" s="29" t="inlineStr">
        <is>
          <t>ok</t>
        </is>
      </c>
      <c r="W162" s="30" t="n"/>
      <c r="X162" s="30" t="inlineStr">
        <is>
          <t>n/a (Mel's: mason jar products only)</t>
        </is>
      </c>
      <c r="Y162" s="30" t="n"/>
      <c r="Z162" s="48" t="inlineStr">
        <is>
          <t>-</t>
        </is>
      </c>
      <c r="AA162" t="n">
        <v>90</v>
      </c>
      <c r="AB162" s="44" t="n">
        <v>18140.12</v>
      </c>
      <c r="AC162" t="n">
        <v>129</v>
      </c>
      <c r="AD162" s="45" t="n">
        <v>0.002078439747891385</v>
      </c>
      <c r="AE162" s="45" t="n">
        <v>0.005177384925942771</v>
      </c>
      <c r="AF162" t="n">
        <v>39</v>
      </c>
    </row>
    <row r="163" ht="109.5" customHeight="1" s="24">
      <c r="A163" s="30" t="inlineStr">
        <is>
          <t>AU11-90</t>
        </is>
      </c>
      <c r="B163" s="30" t="inlineStr">
        <is>
          <t>Three Dozen Stems Pink Roses</t>
        </is>
      </c>
      <c r="C163" s="30" t="inlineStr">
        <is>
          <t>Bouquets</t>
        </is>
      </c>
      <c r="D163" s="43" t="inlineStr">
        <is>
          <t>READY TO REVIEW</t>
        </is>
      </c>
      <c r="E163" s="30" t="inlineStr">
        <is>
          <t>Three dozen blush-pink roses arranged into a lavish, romantic statement of beauty. Timeless and impressive, they're a breathtaking way to celebrate a birthday, mark a graduation, or offer heartfelt congratulations.</t>
        </is>
      </c>
      <c r="F163" s="30" t="inlineStr">
        <is>
          <t>Shopify (28 Sep)</t>
        </is>
      </c>
      <c r="G163" s="30" t="inlineStr">
        <is>
          <t>36 × Roses Pink; 3 × Baby's Breath; 5 × Ruscus Israeli</t>
        </is>
      </c>
      <c r="H163" s="30" t="inlineStr">
        <is>
          <t>36 × Roses Pink; 3 × Baby's Breath; 5 × Ruscus Israeli</t>
        </is>
      </c>
      <c r="I163" s="30" t="inlineStr">
        <is>
          <t>36 × Roses Pink; 3 × Baby's Breath; 5 × Ruscus Israeli</t>
        </is>
      </c>
      <c r="J163" s="30" t="inlineStr">
        <is>
          <t>5 × Ruscus Israeli; 3 × Baby's Breath; 36 × Roses Pink</t>
        </is>
      </c>
      <c r="K163" s="30" t="inlineStr">
        <is>
          <t>Y</t>
        </is>
      </c>
      <c r="L163" s="30" t="n"/>
      <c r="M163" s="30" t="inlineStr">
        <is>
          <t>A fresh arrangement of 36 pink roses. Chosen for a birthday, a thank-you or a just-because moment, it is a gift that says you care.</t>
        </is>
      </c>
      <c r="N163" s="30">
        <f>LEN(TRIM(SUBSTITUTE(M163,CHAR(10)," ")))-LEN(SUBSTITUTE(TRIM(SUBSTITUTE(M163,CHAR(10)," "))," ",""))+1</f>
        <v/>
      </c>
      <c r="O163" s="30" t="inlineStr">
        <is>
          <t>&lt;p&gt;A fresh arrangement of 36 pink roses. Chosen for a birthday, a thank-you or a just-because moment, it is a gift that says you care.&lt;/p&gt;</t>
        </is>
      </c>
      <c r="P163" s="29" t="inlineStr">
        <is>
          <t>ok</t>
        </is>
      </c>
      <c r="Q163" s="30" t="inlineStr">
        <is>
          <t>Three Dozen Stems Pink Roses brings together 36 pink roses. It suits a birthday, a thank-you or a just-because moment.
Pink tones say affection. We hand-arrange each one at Aussie Blooms so it looks the way you pictured it, ready for the bedside table.</t>
        </is>
      </c>
      <c r="R163" s="30" t="inlineStr">
        <is>
          <t>&lt;p&gt;Three Dozen Stems Pink Roses brings together 36 pink roses. It suits a birthday, a thank-you or a just-because moment.&lt;/p&gt;&lt;p&gt;Pink tones say affection. We hand-arrange each one at Aussie Blooms so it looks the way you pictured it, ready for the bedside table.&lt;/p&gt;</t>
        </is>
      </c>
      <c r="S163" s="29" t="inlineStr">
        <is>
          <t>ok</t>
        </is>
      </c>
      <c r="T163" s="30" t="inlineStr">
        <is>
          <t>The bunch holds: 36 pink roses. Gentle, easy on the eye, and ready for any table you give it.</t>
        </is>
      </c>
      <c r="U163" s="30" t="inlineStr">
        <is>
          <t>&lt;p&gt;The bunch holds: 36 pink roses. Gentle, easy on the eye, and ready for any table you give it.&lt;/p&gt;</t>
        </is>
      </c>
      <c r="V163" s="29" t="inlineStr">
        <is>
          <t>ok</t>
        </is>
      </c>
      <c r="W163" s="30" t="n"/>
      <c r="X163" s="30" t="inlineStr">
        <is>
          <t>n/a (Mel's: mason jar products only)</t>
        </is>
      </c>
      <c r="Y163" s="30" t="n"/>
      <c r="Z163" s="48" t="inlineStr">
        <is>
          <t>-</t>
        </is>
      </c>
      <c r="AA163" t="n">
        <v>189</v>
      </c>
      <c r="AB163" s="44" t="n">
        <v>2980.7</v>
      </c>
      <c r="AC163" t="n">
        <v>12</v>
      </c>
      <c r="AD163" s="45" t="n">
        <v>0.0003415195543391888</v>
      </c>
      <c r="AE163" s="45" t="n">
        <v>0.0008507238154698776</v>
      </c>
      <c r="AF163" t="n">
        <v>97</v>
      </c>
    </row>
    <row r="164" ht="109.5" customHeight="1" s="24">
      <c r="A164" s="30" t="inlineStr">
        <is>
          <t>AU100-48</t>
        </is>
      </c>
      <c r="B164" s="30" t="inlineStr">
        <is>
          <t>Pretty in Pink</t>
        </is>
      </c>
      <c r="C164" s="30" t="inlineStr">
        <is>
          <t>Bouquets</t>
        </is>
      </c>
      <c r="D164" s="43" t="inlineStr">
        <is>
          <t>READY TO REVIEW</t>
        </is>
      </c>
      <c r="E164" s="30" t="inlineStr">
        <is>
          <t>Pretty in Pink is a romantic blush of roses, soft carnations and flowing alstroemeria in the prettiest pink tones. A delightful way to celebrate an anniversary, a birthday or to send warm congratulations.</t>
        </is>
      </c>
      <c r="F164" s="30" t="inlineStr">
        <is>
          <t>Shopify (28 Sep)</t>
        </is>
      </c>
      <c r="G164" s="30" t="inlineStr">
        <is>
          <t>3 × Roses Pink; 2 × Roses Purple; 3 × Carnation Pink; 1 × Limonium Pink; 3 × Ruscus Israeli; 4 × Alstroemeria Pink</t>
        </is>
      </c>
      <c r="H164" s="30" t="inlineStr">
        <is>
          <t>3 × Roses Pink; 2 × Roses Purple; 3 × Carnation Pink; 1 × Limonium Pink; 3 × Ruscus Israeli; 4 × Alstroemeria Pink</t>
        </is>
      </c>
      <c r="I164" s="30" t="inlineStr">
        <is>
          <t>3 × Roses Pink; 2 × Roses Purple; 3 × Carnation Pink; 1 × Limonium Pink; 3 × Ruscus Israeli; 4 × Alstroemeria Pink</t>
        </is>
      </c>
      <c r="J164" s="30" t="inlineStr">
        <is>
          <t>3 × Carnation Pink; 4 × Alstroemeria Pink; 3 × Ruscus Israeli; 1 × Limonium Pink; 3 × Roses Pink; 2 × Roses Purple</t>
        </is>
      </c>
      <c r="K164" s="30" t="inlineStr">
        <is>
          <t>Y</t>
        </is>
      </c>
      <c r="L164" s="30" t="n"/>
      <c r="M164" s="30" t="inlineStr">
        <is>
          <t>A hand-arranged bouquet of 4 pink alstroemeria, 3 pink carnations, 3 pink roses and 2 purple roses. Chosen for a birthday, a thank-you or a just-because moment, it says you were thinking of them.</t>
        </is>
      </c>
      <c r="N164" s="30">
        <f>LEN(TRIM(SUBSTITUTE(M164,CHAR(10)," ")))-LEN(SUBSTITUTE(TRIM(SUBSTITUTE(M164,CHAR(10)," "))," ",""))+1</f>
        <v/>
      </c>
      <c r="O164" s="30" t="inlineStr">
        <is>
          <t>&lt;p&gt;A hand-arranged bouquet of 4 pink alstroemeria, 3 pink carnations, 3 pink roses and 2 purple roses. Chosen for a birthday, a thank-you or a just-because moment, it says you were thinking of them.&lt;/p&gt;</t>
        </is>
      </c>
      <c r="P164" s="29" t="inlineStr">
        <is>
          <t>ok</t>
        </is>
      </c>
      <c r="Q164" s="30" t="inlineStr">
        <is>
          <t>Pretty in Pink brings together 4 pink alstroemeria, 3 pink carnations, 3 pink roses and 2 purple roses. It suits a birthday, a thank-you or a just-because moment.
Pink tones say affection. We hand-arrange each one at Aussie Blooms so it looks the way you pictured it, ready for the kitchen bench.</t>
        </is>
      </c>
      <c r="R164" s="30" t="inlineStr">
        <is>
          <t>&lt;p&gt;Pretty in Pink brings together 4 pink alstroemeria, 3 pink carnations, 3 pink roses and 2 purple roses. It suits a birthday, a thank-you or a just-because moment.&lt;/p&gt;&lt;p&gt;Pink tones say affection. We hand-arrange each one at Aussie Blooms so it looks the way you pictured it, ready for the kitchen bench.&lt;/p&gt;</t>
        </is>
      </c>
      <c r="S164" s="29" t="inlineStr">
        <is>
          <t>ok</t>
        </is>
      </c>
      <c r="T164" s="30" t="inlineStr">
        <is>
          <t>In this bunch: 4 pink alstroemeria, 3 pink carnations, 3 pink roses and 2 purple roses. Soft colours that make a quiet room feel looked after.</t>
        </is>
      </c>
      <c r="U164" s="30" t="inlineStr">
        <is>
          <t>&lt;p&gt;In this bunch: 4 pink alstroemeria, 3 pink carnations, 3 pink roses and 2 purple roses. Soft colours that make a quiet room feel looked after.&lt;/p&gt;</t>
        </is>
      </c>
      <c r="V164" s="29" t="inlineStr">
        <is>
          <t>ok</t>
        </is>
      </c>
      <c r="W164" s="30" t="n"/>
      <c r="X164" s="30" t="inlineStr">
        <is>
          <t>n/a (Mel's: mason jar products only)</t>
        </is>
      </c>
      <c r="Y164" s="30" t="n"/>
      <c r="Z164" s="48" t="inlineStr">
        <is>
          <t>-</t>
        </is>
      </c>
      <c r="AA164" t="n">
        <v>42</v>
      </c>
      <c r="AB164" s="44" t="n">
        <v>52141.58</v>
      </c>
      <c r="AC164" t="n">
        <v>560</v>
      </c>
      <c r="AD164" s="45" t="n">
        <v>0.005974223895105568</v>
      </c>
      <c r="AE164" s="45" t="n">
        <v>0.01488176733056928</v>
      </c>
      <c r="AF164" t="n">
        <v>14</v>
      </c>
    </row>
    <row r="165" ht="109.5" customHeight="1" s="24">
      <c r="A165" s="30" t="inlineStr">
        <is>
          <t>AU81-81</t>
        </is>
      </c>
      <c r="B165" s="30" t="inlineStr">
        <is>
          <t>Always and Forever</t>
        </is>
      </c>
      <c r="C165" s="30" t="inlineStr">
        <is>
          <t>Bouquets</t>
        </is>
      </c>
      <c r="D165" s="43" t="inlineStr">
        <is>
          <t>READY TO REVIEW</t>
        </is>
      </c>
      <c r="E165" s="30" t="inlineStr">
        <is>
          <t>Forty roses and 29 carnations create a wonderfully full, romantic bouquet that says everything words sometimes can't. Generous and enduring, it's a heartfelt choice for an anniversary, a birthday, or simply showing someone they're loved.</t>
        </is>
      </c>
      <c r="F165" s="30" t="inlineStr">
        <is>
          <t>Shopify (28 Sep)</t>
        </is>
      </c>
      <c r="G165" s="30" t="inlineStr">
        <is>
          <t>9 × Roses Red; 6 × Carnation White; 3 × Ruscus Israeli</t>
        </is>
      </c>
      <c r="H165" s="30" t="inlineStr">
        <is>
          <t>9 × Roses Red; 6 × Carnation White; 3 × Ruscus Israeli</t>
        </is>
      </c>
      <c r="I165" s="30" t="inlineStr">
        <is>
          <t>9 × Roses Red; 6 × Carnation White; 3 × Ruscus Israeli</t>
        </is>
      </c>
      <c r="J165" s="30" t="inlineStr">
        <is>
          <t>3 × Ruscus Israeli; 6 × Carnation White; 9 × Roses Red</t>
        </is>
      </c>
      <c r="K165" s="30" t="inlineStr">
        <is>
          <t>Y</t>
        </is>
      </c>
      <c r="L165" s="30" t="n"/>
      <c r="M165" s="30" t="inlineStr">
        <is>
          <t>A hand-arranged bouquet of 9 red roses and 6 white carnations. A lovely way to mark an anniversary or a thank-you, and a bright moment when the door opens.</t>
        </is>
      </c>
      <c r="N165" s="30">
        <f>LEN(TRIM(SUBSTITUTE(M165,CHAR(10)," ")))-LEN(SUBSTITUTE(TRIM(SUBSTITUTE(M165,CHAR(10)," "))," ",""))+1</f>
        <v/>
      </c>
      <c r="O165" s="30" t="inlineStr">
        <is>
          <t>&lt;p&gt;A hand-arranged bouquet of 9 red roses and 6 white carnations. A lovely way to mark an anniversary or a thank-you, and a bright moment when the door opens.&lt;/p&gt;</t>
        </is>
      </c>
      <c r="P165" s="29" t="inlineStr">
        <is>
          <t>ok</t>
        </is>
      </c>
      <c r="Q165" s="30" t="inlineStr">
        <is>
          <t>Always and Forever brings together 9 red roses and 6 white carnations. It suits an anniversary or a thank-you.
Red tones say love and devotion. We hand-arrange each one at Aussie Blooms so it looks the way you pictured it, ready for a summer table.</t>
        </is>
      </c>
      <c r="R165" s="30" t="inlineStr">
        <is>
          <t>&lt;p&gt;Always and Forever brings together 9 red roses and 6 white carnations. It suits an anniversary or a thank-you.&lt;/p&gt;&lt;p&gt;Red tones say love and devotion. We hand-arrange each one at Aussie Blooms so it looks the way you pictured it, ready for a summer table.&lt;/p&gt;</t>
        </is>
      </c>
      <c r="S165" s="29" t="inlineStr">
        <is>
          <t>ok</t>
        </is>
      </c>
      <c r="T165" s="30" t="inlineStr">
        <is>
          <t>In this bunch: 9 red roses and 6 white carnations. Some things need no speech. Put these on the table and the message is delivered.</t>
        </is>
      </c>
      <c r="U165" s="30" t="inlineStr">
        <is>
          <t>&lt;p&gt;In this bunch: 9 red roses and 6 white carnations. Some things need no speech. Put these on the table and the message is delivered.&lt;/p&gt;</t>
        </is>
      </c>
      <c r="V165" s="47" t="inlineStr">
        <is>
          <t>delivery promise</t>
        </is>
      </c>
      <c r="W165" s="30" t="n"/>
      <c r="X165" s="30" t="inlineStr">
        <is>
          <t>n/a (Mel's: mason jar products only)</t>
        </is>
      </c>
      <c r="Y165" s="30" t="n"/>
      <c r="Z165" s="48" t="inlineStr">
        <is>
          <t>-</t>
        </is>
      </c>
      <c r="AA165" t="n">
        <v>84</v>
      </c>
      <c r="AB165" s="44" t="n">
        <v>19956.2</v>
      </c>
      <c r="AC165" t="n">
        <v>318</v>
      </c>
      <c r="AD165" s="45" t="n">
        <v>0.00228652079387517</v>
      </c>
      <c r="AE165" s="45" t="n">
        <v>0.005695713961914976</v>
      </c>
      <c r="AF165" t="n">
        <v>34</v>
      </c>
    </row>
    <row r="166" ht="109.5" customHeight="1" s="24">
      <c r="A166" s="30" t="inlineStr">
        <is>
          <t>AU111-57</t>
        </is>
      </c>
      <c r="B166" s="30" t="inlineStr">
        <is>
          <t>Fuchsia Bouquet</t>
        </is>
      </c>
      <c r="C166" s="30" t="inlineStr">
        <is>
          <t>Bouquets</t>
        </is>
      </c>
      <c r="D166" s="43" t="inlineStr">
        <is>
          <t>READY TO REVIEW</t>
        </is>
      </c>
      <c r="E166" s="30" t="inlineStr">
        <is>
          <t>Thirty-four roses, nineteen gerberas, eighteen alstroemeria and fourteen carnations burst with bold fuchsia colour and lush texture. Vibrant and full of life, it's a striking choice for a birthday, an anniversary, or simply because they brighten your world.</t>
        </is>
      </c>
      <c r="F166" s="30" t="inlineStr">
        <is>
          <t>Shopify (28 Sep)</t>
        </is>
      </c>
      <c r="G166" s="30" t="inlineStr">
        <is>
          <t>5 × Roses Pink; 3 × Gerbera Daisies Pink; 3 × Ruscus Israeli; 3 × Alstroemeria Pink; 2 × Mini Carnations Pink</t>
        </is>
      </c>
      <c r="H166" s="30" t="inlineStr">
        <is>
          <t>5 × Roses Pink; 3 × Gerbera Daisies Pink; 3 × Ruscus Israeli; 3 × Alstroemeria Pink; 2 × Mini Carnations Pink</t>
        </is>
      </c>
      <c r="I166" s="30" t="inlineStr">
        <is>
          <t>5 × Roses Pink; 3 × Gerbera Daisies Pink; 3 × Ruscus Israeli; 3 × Alstroemeria Pink; 2 × Mini Carnations Pink</t>
        </is>
      </c>
      <c r="J166" s="30" t="inlineStr">
        <is>
          <t>3 × Ruscus Israeli; 2 × Mini Carnations Pink; 3 × Alstroemeria Pink; 3 × Gerbera Daisies Pink; 5 × Roses Pink</t>
        </is>
      </c>
      <c r="K166" s="30" t="inlineStr">
        <is>
          <t>Y</t>
        </is>
      </c>
      <c r="L166" s="30" t="n"/>
      <c r="M166" s="30" t="inlineStr">
        <is>
          <t>A florist-designed bouquet of 5 pink roses, 3 pink alstroemeria and 3 pink gerberas. Chosen for a birthday, a thank-you or a just-because moment, it is a gift that says you care.</t>
        </is>
      </c>
      <c r="N166" s="30">
        <f>LEN(TRIM(SUBSTITUTE(M166,CHAR(10)," ")))-LEN(SUBSTITUTE(TRIM(SUBSTITUTE(M166,CHAR(10)," "))," ",""))+1</f>
        <v/>
      </c>
      <c r="O166" s="30" t="inlineStr">
        <is>
          <t>&lt;p&gt;A florist-designed bouquet of 5 pink roses, 3 pink alstroemeria and 3 pink gerberas. Chosen for a birthday, a thank-you or a just-because moment, it is a gift that says you care.&lt;/p&gt;</t>
        </is>
      </c>
      <c r="P166" s="29" t="inlineStr">
        <is>
          <t>ok</t>
        </is>
      </c>
      <c r="Q166" s="30" t="inlineStr">
        <is>
          <t>Fuchsia Bouquet brings together 5 pink roses, 3 pink alstroemeria and 3 pink gerberas. It suits a birthday, a thank-you or a just-because moment.
Pink tones say affection. We hand-arrange each one at Aussie Blooms so it looks the way you pictured it, ready for a summer table.</t>
        </is>
      </c>
      <c r="R166" s="30" t="inlineStr">
        <is>
          <t>&lt;p&gt;Fuchsia Bouquet brings together 5 pink roses, 3 pink alstroemeria and 3 pink gerberas. It suits a birthday, a thank-you or a just-because moment.&lt;/p&gt;&lt;p&gt;Pink tones say affection. We hand-arrange each one at Aussie Blooms so it looks the way you pictured it, ready for a summer table.&lt;/p&gt;</t>
        </is>
      </c>
      <c r="S166" s="29" t="inlineStr">
        <is>
          <t>ok</t>
        </is>
      </c>
      <c r="T166" s="30" t="inlineStr">
        <is>
          <t>Inside the bunch: 5 pink roses, 3 pink alstroemeria and 3 pink gerberas. Calm colour for the kind of day that deserves a pause.</t>
        </is>
      </c>
      <c r="U166" s="30" t="inlineStr">
        <is>
          <t>&lt;p&gt;Inside the bunch: 5 pink roses, 3 pink alstroemeria and 3 pink gerberas. Calm colour for the kind of day that deserves a pause.&lt;/p&gt;</t>
        </is>
      </c>
      <c r="V166" s="29" t="inlineStr">
        <is>
          <t>ok</t>
        </is>
      </c>
      <c r="W166" s="30" t="n"/>
      <c r="X166" s="30" t="inlineStr">
        <is>
          <t>n/a (Mel's: mason jar products only)</t>
        </is>
      </c>
      <c r="Y166" s="30" t="n"/>
      <c r="Z166" s="48" t="inlineStr">
        <is>
          <t>-</t>
        </is>
      </c>
      <c r="AA166" t="n">
        <v>200</v>
      </c>
      <c r="AB166" s="44" t="n">
        <v>2588.41</v>
      </c>
      <c r="AC166" t="n">
        <v>25</v>
      </c>
      <c r="AD166" s="45" t="n">
        <v>0.0002965721574284899</v>
      </c>
      <c r="AE166" s="45" t="n">
        <v>0.0007387600332809024</v>
      </c>
      <c r="AF166" t="n">
        <v>106</v>
      </c>
    </row>
    <row r="167" ht="109.5" customHeight="1" s="24">
      <c r="A167" s="30" t="inlineStr">
        <is>
          <t>AU0511-18</t>
        </is>
      </c>
      <c r="B167" s="30" t="inlineStr">
        <is>
          <t>Sue Elena</t>
        </is>
      </c>
      <c r="C167" s="30" t="inlineStr">
        <is>
          <t>Bouquets</t>
        </is>
      </c>
      <c r="D167" s="43" t="inlineStr">
        <is>
          <t>READY TO REVIEW</t>
        </is>
      </c>
      <c r="E167" s="30" t="n"/>
      <c r="F167" s="30" t="inlineStr">
        <is>
          <t>none</t>
        </is>
      </c>
      <c r="G167" s="30" t="inlineStr">
        <is>
          <t>5 × Roses Assorted; 1 × Leather Fern; 2 × Ruscus Israeli; 4 × Gerbera Daisies assorted; 4 × Chrysanthemum Daisy White</t>
        </is>
      </c>
      <c r="H167" s="30" t="inlineStr">
        <is>
          <t>5 × Roses Assorted; 1 × Leather Fern; 2 × Ruscus Israeli; 4 × Gerbera Daisies assorted; 4 × Chrysanthemum Daisy White</t>
        </is>
      </c>
      <c r="I167" s="30" t="inlineStr">
        <is>
          <t>5 × Roses Assorted; 1 × Leather Fern; 2 × Ruscus Israeli; 4 × Gerbera Daisies assorted; 4 × Chrysanthemum Daisy White</t>
        </is>
      </c>
      <c r="J167" s="30" t="inlineStr">
        <is>
          <t>4 × Gerbera Daisies assorted; 5 × Roses Assorted; 4 × Chrysanthemum Daisy White; 2 × Ruscus Israeli; 1 × Leather Fern</t>
        </is>
      </c>
      <c r="K167" s="30" t="inlineStr">
        <is>
          <t>N</t>
        </is>
      </c>
      <c r="L167" s="30" t="n"/>
      <c r="M167" s="30" t="inlineStr">
        <is>
          <t>A florist-designed bouquet of 5 assorted-colour roses, 4 assorted-colour gerberas and 4 white chrysanthemum daisies. Chosen for a birthday, a thank-you or a just-because moment, it is a gift that says you care.</t>
        </is>
      </c>
      <c r="N167" s="30">
        <f>LEN(TRIM(SUBSTITUTE(M167,CHAR(10)," ")))-LEN(SUBSTITUTE(TRIM(SUBSTITUTE(M167,CHAR(10)," "))," ",""))+1</f>
        <v/>
      </c>
      <c r="O167" s="30" t="inlineStr">
        <is>
          <t>&lt;p&gt;A florist-designed bouquet of 5 assorted-colour roses, 4 assorted-colour gerberas and 4 white chrysanthemum daisies. Chosen for a birthday, a thank-you or a just-because moment, it is a gift that says you care.&lt;/p&gt;</t>
        </is>
      </c>
      <c r="P167" s="29" t="inlineStr">
        <is>
          <t>ok</t>
        </is>
      </c>
      <c r="Q167" s="30" t="inlineStr">
        <is>
          <t>Sue Elena brings together 5 assorted-colour roses, 4 assorted-colour gerberas and 4 white chrysanthemum daisies. It suits a birthday, a thank-you or a just-because moment.
White tones say calm and a fresh start. We hand-arrange each one at Aussie Blooms so it looks the way you pictured it, ready for a summer table.</t>
        </is>
      </c>
      <c r="R167" s="30" t="inlineStr">
        <is>
          <t>&lt;p&gt;Sue Elena brings together 5 assorted-colour roses, 4 assorted-colour gerberas and 4 white chrysanthemum daisies. It suits a birthday, a thank-you or a just-because moment.&lt;/p&gt;&lt;p&gt;White tones say calm and a fresh start. We hand-arrange each one at Aussie Blooms so it looks the way you pictured it, ready for a summer table.&lt;/p&gt;</t>
        </is>
      </c>
      <c r="S167" s="29" t="inlineStr">
        <is>
          <t>ok</t>
        </is>
      </c>
      <c r="T167" s="30" t="inlineStr">
        <is>
          <t>Inside the bunch: 5 assorted-colour roses, 4 assorted-colour gerberas and 4 white chrysanthemum daisies. Calm colour for the kind of day that deserves a pause.</t>
        </is>
      </c>
      <c r="U167" s="30" t="inlineStr">
        <is>
          <t>&lt;p&gt;Inside the bunch: 5 assorted-colour roses, 4 assorted-colour gerberas and 4 white chrysanthemum daisies. Calm colour for the kind of day that deserves a pause.&lt;/p&gt;</t>
        </is>
      </c>
      <c r="V167" s="29" t="inlineStr">
        <is>
          <t>ok</t>
        </is>
      </c>
      <c r="W167" s="30" t="n"/>
      <c r="X167" s="30" t="inlineStr">
        <is>
          <t>n/a (Mel's: mason jar products only)</t>
        </is>
      </c>
      <c r="Y167" s="30" t="n"/>
      <c r="Z167" s="48" t="inlineStr">
        <is>
          <t>-</t>
        </is>
      </c>
      <c r="AA167" t="inlineStr">
        <is>
          <t>no sales</t>
        </is>
      </c>
      <c r="AB167" s="44" t="n">
        <v>0</v>
      </c>
      <c r="AC167" t="n">
        <v>0</v>
      </c>
      <c r="AD167" s="45" t="n">
        <v>0</v>
      </c>
      <c r="AE167" s="45" t="n">
        <v>0</v>
      </c>
      <c r="AF167" t="inlineStr">
        <is>
          <t>no sales</t>
        </is>
      </c>
    </row>
    <row r="168" ht="109.5" customHeight="1" s="24">
      <c r="A168" s="30" t="inlineStr">
        <is>
          <t>AU0511-17</t>
        </is>
      </c>
      <c r="B168" s="30" t="inlineStr">
        <is>
          <t>Summer Blooms</t>
        </is>
      </c>
      <c r="C168" s="30" t="inlineStr">
        <is>
          <t>Bouquets</t>
        </is>
      </c>
      <c r="D168" s="43" t="inlineStr">
        <is>
          <t>READY TO REVIEW</t>
        </is>
      </c>
      <c r="E168" s="30" t="inlineStr">
        <is>
          <t>Nine roses and nine cheerful gerberas come together in a warm, sun-soaked bouquet. Summer Blooms radiates happiness, making it a wonderful way to celebrate a friend's birthday, send congratulations, or welcome someone to a new home.</t>
        </is>
      </c>
      <c r="F168" s="30" t="inlineStr">
        <is>
          <t>Shopify (28 Sep)</t>
        </is>
      </c>
      <c r="G168" s="30" t="inlineStr">
        <is>
          <t>2 × Roses Pink; 1 × Limonium Pink; 2 × Gerbera Daisies Hot Pink; 2 × Ruscus Israeli; 2 × Lisianthus Orange</t>
        </is>
      </c>
      <c r="H168" s="30" t="inlineStr">
        <is>
          <t>2 × Roses Pink; 1 × Limonium Pink; 2 × Gerbera Daisies Hot Pink; 2 × Ruscus Israeli</t>
        </is>
      </c>
      <c r="I168" s="31" t="inlineStr">
        <is>
          <t>2 × Roses Pink; 1 × Limonium Pink; 2 × Gerbera Daisies Hot Pink; 2 × Ruscus Israeli</t>
        </is>
      </c>
      <c r="J168" s="30" t="inlineStr">
        <is>
          <t>2 × Gerbera Daisies Hot Pink; 2 × Ruscus Israeli; 1 × Limonium Pink; 2 × Roses Pink</t>
        </is>
      </c>
      <c r="K168" s="30" t="inlineStr">
        <is>
          <t>Y</t>
        </is>
      </c>
      <c r="L168" s="30" t="inlineStr">
        <is>
          <t>Item not carried ($0) removed per rule I4: 2 x Lisianthus Orange: ING-1155 is $0 in the catalogue, so it is removed, not replaced</t>
        </is>
      </c>
      <c r="M168" s="30" t="inlineStr">
        <is>
          <t>A hand-arranged bouquet of 2 hot pink gerberas and 2 pink roses. Chosen for a birthday, a thank-you or a just-because moment, it is a gift that says you care.</t>
        </is>
      </c>
      <c r="N168" s="30">
        <f>LEN(TRIM(SUBSTITUTE(M168,CHAR(10)," ")))-LEN(SUBSTITUTE(TRIM(SUBSTITUTE(M168,CHAR(10)," "))," ",""))+1</f>
        <v/>
      </c>
      <c r="O168" s="30" t="inlineStr">
        <is>
          <t>&lt;p&gt;A hand-arranged bouquet of 2 hot pink gerberas and 2 pink roses. Chosen for a birthday, a thank-you or a just-because moment, it is a gift that says you care.&lt;/p&gt;</t>
        </is>
      </c>
      <c r="P168" s="29" t="inlineStr">
        <is>
          <t>ok</t>
        </is>
      </c>
      <c r="Q168" s="30" t="inlineStr">
        <is>
          <t>Summer Blooms brings together 2 hot pink gerberas and 2 pink roses. It suits a birthday, a thank-you or a just-because moment.
Hot pink tones say a bold, happy affection. We hand-arrange each one at Aussie Blooms so it looks the way you pictured it, ready for the bedside table.</t>
        </is>
      </c>
      <c r="R168" s="30" t="inlineStr">
        <is>
          <t>&lt;p&gt;Summer Blooms brings together 2 hot pink gerberas and 2 pink roses. It suits a birthday, a thank-you or a just-because moment.&lt;/p&gt;&lt;p&gt;Hot pink tones say a bold, happy affection. We hand-arrange each one at Aussie Blooms so it looks the way you pictured it, ready for the bedside table.&lt;/p&gt;</t>
        </is>
      </c>
      <c r="S168" s="29" t="inlineStr">
        <is>
          <t>ok</t>
        </is>
      </c>
      <c r="T168" s="30" t="inlineStr">
        <is>
          <t>In this bunch: 2 hot pink gerberas and 2 pink roses. Brings the colour in before anyone has said hello.</t>
        </is>
      </c>
      <c r="U168" s="30" t="inlineStr">
        <is>
          <t>&lt;p&gt;In this bunch: 2 hot pink gerberas and 2 pink roses. Brings the colour in before anyone has said hello.&lt;/p&gt;</t>
        </is>
      </c>
      <c r="V168" s="29" t="inlineStr">
        <is>
          <t>ok</t>
        </is>
      </c>
      <c r="W168" s="30" t="n"/>
      <c r="X168" s="30" t="inlineStr">
        <is>
          <t>n/a (Mel's: mason jar products only)</t>
        </is>
      </c>
      <c r="Y168" s="30" t="n"/>
      <c r="Z168" s="48" t="inlineStr">
        <is>
          <t>-</t>
        </is>
      </c>
      <c r="AA168" t="n">
        <v>29</v>
      </c>
      <c r="AB168" s="44" t="n">
        <v>78191.2</v>
      </c>
      <c r="AC168" t="n">
        <v>1462</v>
      </c>
      <c r="AD168" s="45" t="n">
        <v>0.008958910248346491</v>
      </c>
      <c r="AE168" s="45" t="n">
        <v>0.02231660885032653</v>
      </c>
      <c r="AF168" t="n">
        <v>8</v>
      </c>
    </row>
    <row r="169" ht="109.5" customHeight="1" s="24">
      <c r="A169" s="30" t="inlineStr">
        <is>
          <t>AU0511-06</t>
        </is>
      </c>
      <c r="B169" s="30" t="inlineStr">
        <is>
          <t>Chirpy Gerberas</t>
        </is>
      </c>
      <c r="C169" s="30" t="inlineStr">
        <is>
          <t>Bouquets</t>
        </is>
      </c>
      <c r="D169" s="43" t="inlineStr">
        <is>
          <t>READY TO REVIEW</t>
        </is>
      </c>
      <c r="E169" s="30" t="n"/>
      <c r="F169" s="30" t="inlineStr">
        <is>
          <t>none</t>
        </is>
      </c>
      <c r="G169" s="30" t="inlineStr">
        <is>
          <t>5 × Gerbera Daisies assorted; 2 × Ruscus Israeli</t>
        </is>
      </c>
      <c r="H169" s="30" t="inlineStr">
        <is>
          <t>5 × Gerbera Daisies assorted; 2 × Ruscus Israeli</t>
        </is>
      </c>
      <c r="I169" s="30" t="inlineStr">
        <is>
          <t>5 × Gerbera Daisies assorted; 2 × Ruscus Israeli</t>
        </is>
      </c>
      <c r="J169" s="30" t="inlineStr">
        <is>
          <t>5 × Gerbera Daisies assorted; 2 × Ruscus Israeli</t>
        </is>
      </c>
      <c r="K169" s="30" t="inlineStr">
        <is>
          <t>N</t>
        </is>
      </c>
      <c r="L169" s="30" t="n"/>
      <c r="M169" s="30" t="inlineStr">
        <is>
          <t>A hand-arranged bouquet of 5 assorted-colour gerberas. A lovely way to mark a birthday, a thank-you or a just-because moment, and a bright moment when the door opens.</t>
        </is>
      </c>
      <c r="N169" s="30">
        <f>LEN(TRIM(SUBSTITUTE(M169,CHAR(10)," ")))-LEN(SUBSTITUTE(TRIM(SUBSTITUTE(M169,CHAR(10)," "))," ",""))+1</f>
        <v/>
      </c>
      <c r="O169" s="30" t="inlineStr">
        <is>
          <t>&lt;p&gt;A hand-arranged bouquet of 5 assorted-colour gerberas. A lovely way to mark a birthday, a thank-you or a just-because moment, and a bright moment when the door opens.&lt;/p&gt;</t>
        </is>
      </c>
      <c r="P169" s="29" t="inlineStr">
        <is>
          <t>ok</t>
        </is>
      </c>
      <c r="Q169" s="30" t="inlineStr">
        <is>
          <t>Chirpy Gerberas brings together 5 assorted-colour gerberas. It suits a birthday, a thank-you or a just-because moment.
Mixed colours say thoughtfulness. We hand-arrange each one at Aussie Blooms so it looks the way you pictured it, ready for a Sunday lunch.</t>
        </is>
      </c>
      <c r="R169" s="30" t="inlineStr">
        <is>
          <t>&lt;p&gt;Chirpy Gerberas brings together 5 assorted-colour gerberas. It suits a birthday, a thank-you or a just-because moment.&lt;/p&gt;&lt;p&gt;Mixed colours say thoughtfulness. We hand-arrange each one at Aussie Blooms so it looks the way you pictured it, ready for a Sunday lunch.&lt;/p&gt;</t>
        </is>
      </c>
      <c r="S169" s="29" t="inlineStr">
        <is>
          <t>ok</t>
        </is>
      </c>
      <c r="T169" s="30" t="inlineStr">
        <is>
          <t>In this bunch: 5 assorted-colour gerberas. Hand it over and watch the day get a little better.</t>
        </is>
      </c>
      <c r="U169" s="30" t="inlineStr">
        <is>
          <t>&lt;p&gt;In this bunch: 5 assorted-colour gerberas. Hand it over and watch the day get a little better.&lt;/p&gt;</t>
        </is>
      </c>
      <c r="V169" s="29" t="inlineStr">
        <is>
          <t>ok</t>
        </is>
      </c>
      <c r="W169" s="30" t="n"/>
      <c r="X169" s="30" t="inlineStr">
        <is>
          <t>n/a (Mel's: mason jar products only)</t>
        </is>
      </c>
      <c r="Y169" s="30" t="n"/>
      <c r="Z169" s="48" t="inlineStr">
        <is>
          <t>-</t>
        </is>
      </c>
      <c r="AA169" t="inlineStr">
        <is>
          <t>no sales</t>
        </is>
      </c>
      <c r="AB169" s="44" t="n">
        <v>0</v>
      </c>
      <c r="AC169" t="n">
        <v>0</v>
      </c>
      <c r="AD169" s="45" t="n">
        <v>0</v>
      </c>
      <c r="AE169" s="45" t="n">
        <v>0</v>
      </c>
      <c r="AF169" t="inlineStr">
        <is>
          <t>no sales</t>
        </is>
      </c>
    </row>
    <row r="170" ht="109.5" customHeight="1" s="24">
      <c r="A170" s="30" t="inlineStr">
        <is>
          <t>AU0511-16</t>
        </is>
      </c>
      <c r="B170" s="30" t="inlineStr">
        <is>
          <t>Rosameria</t>
        </is>
      </c>
      <c r="C170" s="30" t="inlineStr">
        <is>
          <t>Bouquets</t>
        </is>
      </c>
      <c r="D170" s="43" t="inlineStr">
        <is>
          <t>READY TO REVIEW</t>
        </is>
      </c>
      <c r="E170" s="30" t="inlineStr">
        <is>
          <t>Rosameria is a lavish pairing of romantic roses and graceful alstroemeria, brimming with colour and charm. A generous bouquet to celebrate a birthday, express love or say a heartfelt thank you.</t>
        </is>
      </c>
      <c r="F170" s="30" t="inlineStr">
        <is>
          <t>Shopify (28 Sep)</t>
        </is>
      </c>
      <c r="G170" s="30" t="inlineStr">
        <is>
          <t>12 × Roses Assorted; 2 × Baby's Breath; 2 × Ruscus Israeli; 7 × Alstroemeria assorted</t>
        </is>
      </c>
      <c r="H170" s="30" t="inlineStr">
        <is>
          <t>12 × Roses Assorted; 2 × Baby's Breath; 2 × Ruscus Israeli; 7 × Alstroemeria assorted</t>
        </is>
      </c>
      <c r="I170" s="30" t="inlineStr">
        <is>
          <t>12 × Roses Assorted; 2 × Baby's Breath; 2 × Ruscus Israeli; 7 × Alstroemeria assorted</t>
        </is>
      </c>
      <c r="J170" s="30" t="inlineStr">
        <is>
          <t>2 × Ruscus Israeli; 7 × Alstroemeria assorted; 2 × Baby's Breath; 12 × Roses Assorted</t>
        </is>
      </c>
      <c r="K170" s="30" t="inlineStr">
        <is>
          <t>Y</t>
        </is>
      </c>
      <c r="L170" s="30" t="n"/>
      <c r="M170" s="30" t="inlineStr">
        <is>
          <t>A hand-arranged bouquet of 12 assorted-colour roses and 7 assorted-colour alstroemeria. A lovely way to mark a birthday, a thank-you or a just-because moment, and a bright moment when the door opens.</t>
        </is>
      </c>
      <c r="N170" s="30">
        <f>LEN(TRIM(SUBSTITUTE(M170,CHAR(10)," ")))-LEN(SUBSTITUTE(TRIM(SUBSTITUTE(M170,CHAR(10)," "))," ",""))+1</f>
        <v/>
      </c>
      <c r="O170" s="30" t="inlineStr">
        <is>
          <t>&lt;p&gt;A hand-arranged bouquet of 12 assorted-colour roses and 7 assorted-colour alstroemeria. A lovely way to mark a birthday, a thank-you or a just-because moment, and a bright moment when the door opens.&lt;/p&gt;</t>
        </is>
      </c>
      <c r="P170" s="29" t="inlineStr">
        <is>
          <t>ok</t>
        </is>
      </c>
      <c r="Q170" s="30" t="inlineStr">
        <is>
          <t>Rosameria brings together 12 assorted-colour roses and 7 assorted-colour alstroemeria. It suits a birthday, a thank-you or a just-because moment.
Mixed colours say thoughtfulness. We hand-arrange each one at Aussie Blooms so it looks the way you pictured it, ready for a summer table.</t>
        </is>
      </c>
      <c r="R170" s="30" t="inlineStr">
        <is>
          <t>&lt;p&gt;Rosameria brings together 12 assorted-colour roses and 7 assorted-colour alstroemeria. It suits a birthday, a thank-you or a just-because moment.&lt;/p&gt;&lt;p&gt;Mixed colours say thoughtfulness. We hand-arrange each one at Aussie Blooms so it looks the way you pictured it, ready for a summer table.&lt;/p&gt;</t>
        </is>
      </c>
      <c r="S170" s="29" t="inlineStr">
        <is>
          <t>ok</t>
        </is>
      </c>
      <c r="T170" s="30" t="inlineStr">
        <is>
          <t>In this bunch: 12 assorted-colour roses and 7 assorted-colour alstroemeria. Hand it over and watch the day get a little better.</t>
        </is>
      </c>
      <c r="U170" s="30" t="inlineStr">
        <is>
          <t>&lt;p&gt;In this bunch: 12 assorted-colour roses and 7 assorted-colour alstroemeria. Hand it over and watch the day get a little better.&lt;/p&gt;</t>
        </is>
      </c>
      <c r="V170" s="29" t="inlineStr">
        <is>
          <t>ok</t>
        </is>
      </c>
      <c r="W170" s="30" t="n"/>
      <c r="X170" s="30" t="inlineStr">
        <is>
          <t>n/a (Mel's: mason jar products only)</t>
        </is>
      </c>
      <c r="Y170" s="30" t="n"/>
      <c r="Z170" s="48" t="inlineStr">
        <is>
          <t>-</t>
        </is>
      </c>
      <c r="AA170" t="n">
        <v>70</v>
      </c>
      <c r="AB170" s="44" t="n">
        <v>29284.58</v>
      </c>
      <c r="AC170" t="n">
        <v>217</v>
      </c>
      <c r="AD170" s="45" t="n">
        <v>0.003355338246254344</v>
      </c>
      <c r="AE170" s="45" t="n">
        <v>0.00835813387192031</v>
      </c>
      <c r="AF170" t="n">
        <v>28</v>
      </c>
    </row>
    <row r="171" ht="109.5" customHeight="1" s="24">
      <c r="A171" s="30" t="inlineStr">
        <is>
          <t>AU0611-04</t>
        </is>
      </c>
      <c r="B171" s="30" t="inlineStr">
        <is>
          <t>Blooming Blossoms</t>
        </is>
      </c>
      <c r="C171" s="30" t="inlineStr">
        <is>
          <t>Bouquets</t>
        </is>
      </c>
      <c r="D171" s="43" t="inlineStr">
        <is>
          <t>READY TO REVIEW</t>
        </is>
      </c>
      <c r="E171" s="30" t="inlineStr">
        <is>
          <t>Blooming Blossoms mingles flowing alstroemeria, full chrysanthemums and elegant roses into a joyful, garden-fresh display. A wonderful way to mark an anniversary, brighten a birthday or congratulate a proud graduate.</t>
        </is>
      </c>
      <c r="F171" s="30" t="inlineStr">
        <is>
          <t>Shopify (28 Sep)</t>
        </is>
      </c>
      <c r="G171" s="30" t="inlineStr">
        <is>
          <t>3 × Roses Pink; 5 × Chrysanthemum Daisies Pink; 2 × Ruscus Israeli; 6 × Alstroemeria Pink</t>
        </is>
      </c>
      <c r="H171" s="30" t="inlineStr">
        <is>
          <t>3 × Roses Pink; 5 × Chrysanthemum Daisies Pink; 2 × Ruscus Israeli; 6 × Alstroemeria Pink</t>
        </is>
      </c>
      <c r="I171" s="30" t="inlineStr">
        <is>
          <t>3 × Roses Pink; 5 × Chrysanthemum Daisies Pink; 2 × Ruscus Israeli; 6 × Alstroemeria Pink</t>
        </is>
      </c>
      <c r="J171" s="30" t="inlineStr">
        <is>
          <t>2 × Ruscus Israeli; 6 × Alstroemeria Pink; 5 × Chrysanthemum Daisies Pink; 3 × Roses Pink</t>
        </is>
      </c>
      <c r="K171" s="30" t="inlineStr">
        <is>
          <t>Y</t>
        </is>
      </c>
      <c r="L171" s="30" t="n"/>
      <c r="M171" s="30" t="inlineStr">
        <is>
          <t>A fresh arrangement of 6 pink alstroemeria, 5 pink chrysanthemum daisies and 3 pink roses. A lovely way to mark a birthday, a thank-you or a just-because moment, and a bright moment when the door opens.</t>
        </is>
      </c>
      <c r="N171" s="30">
        <f>LEN(TRIM(SUBSTITUTE(M171,CHAR(10)," ")))-LEN(SUBSTITUTE(TRIM(SUBSTITUTE(M171,CHAR(10)," "))," ",""))+1</f>
        <v/>
      </c>
      <c r="O171" s="30" t="inlineStr">
        <is>
          <t>&lt;p&gt;A fresh arrangement of 6 pink alstroemeria, 5 pink chrysanthemum daisies and 3 pink roses. A lovely way to mark a birthday, a thank-you or a just-because moment, and a bright moment when the door opens.&lt;/p&gt;</t>
        </is>
      </c>
      <c r="P171" s="29" t="inlineStr">
        <is>
          <t>ok</t>
        </is>
      </c>
      <c r="Q171" s="30" t="inlineStr">
        <is>
          <t>Blooming Blossoms brings together 6 pink alstroemeria, 5 pink chrysanthemum daisies and 3 pink roses. It suits a birthday, a thank-you or a just-because moment.
Pink tones say affection. We hand-arrange each one at Aussie Blooms so it looks the way you pictured it, ready for the kitchen bench.</t>
        </is>
      </c>
      <c r="R171" s="30" t="inlineStr">
        <is>
          <t>&lt;p&gt;Blooming Blossoms brings together 6 pink alstroemeria, 5 pink chrysanthemum daisies and 3 pink roses. It suits a birthday, a thank-you or a just-because moment.&lt;/p&gt;&lt;p&gt;Pink tones say affection. We hand-arrange each one at Aussie Blooms so it looks the way you pictured it, ready for the kitchen bench.&lt;/p&gt;</t>
        </is>
      </c>
      <c r="S171" s="29" t="inlineStr">
        <is>
          <t>ok</t>
        </is>
      </c>
      <c r="T171" s="30" t="inlineStr">
        <is>
          <t>The bunch holds: 6 pink alstroemeria, 5 pink chrysanthemum daisies and 3 pink roses. Gentle, easy on the eye, and ready for any table you give it.</t>
        </is>
      </c>
      <c r="U171" s="30" t="inlineStr">
        <is>
          <t>&lt;p&gt;The bunch holds: 6 pink alstroemeria, 5 pink chrysanthemum daisies and 3 pink roses. Gentle, easy on the eye, and ready for any table you give it.&lt;/p&gt;</t>
        </is>
      </c>
      <c r="V171" s="29" t="inlineStr">
        <is>
          <t>ok</t>
        </is>
      </c>
      <c r="W171" s="30" t="n"/>
      <c r="X171" s="30" t="inlineStr">
        <is>
          <t>n/a (Mel's: mason jar products only)</t>
        </is>
      </c>
      <c r="Y171" s="30" t="n"/>
      <c r="Z171" s="48" t="inlineStr">
        <is>
          <t>-</t>
        </is>
      </c>
      <c r="AA171" t="n">
        <v>164</v>
      </c>
      <c r="AB171" s="44" t="n">
        <v>4812.05</v>
      </c>
      <c r="AC171" t="n">
        <v>45</v>
      </c>
      <c r="AD171" s="45" t="n">
        <v>0.0005513497322438458</v>
      </c>
      <c r="AE171" s="45" t="n">
        <v>0.001373409931915449</v>
      </c>
      <c r="AF171" t="n">
        <v>80</v>
      </c>
    </row>
    <row r="172" ht="109.5" customHeight="1" s="24">
      <c r="A172" s="30" t="inlineStr">
        <is>
          <t>AU0611-07</t>
        </is>
      </c>
      <c r="B172" s="30" t="inlineStr">
        <is>
          <t>Garden Colours</t>
        </is>
      </c>
      <c r="C172" s="30" t="inlineStr">
        <is>
          <t>Bouquets</t>
        </is>
      </c>
      <c r="D172" s="43" t="inlineStr">
        <is>
          <t>READY TO REVIEW</t>
        </is>
      </c>
      <c r="E172" s="30" t="inlineStr">
        <is>
          <t>Garden Colours brings together cheerful chrysanthemums, bright gerberas, soft carnations, roses and alstroemeria for a bouquet bursting with natural charm. A lively choice to celebrate a birthday or warmly welcome someone to a new home.</t>
        </is>
      </c>
      <c r="F172" s="30" t="inlineStr">
        <is>
          <t>Shopify (28 Sep)</t>
        </is>
      </c>
      <c r="G172" s="30" t="inlineStr">
        <is>
          <t>3 × Roses Peach; 2 × Chrysanthemum Spray White; 2 × Gerbera Daisies Orange; 2 × Chrysanthemum button Yellow; 3 × Ruscus Israeli; 2 × Mini Carnations Pink; 2 × Alstroemeria Yellow</t>
        </is>
      </c>
      <c r="H172" s="30" t="inlineStr">
        <is>
          <t>3 × Roses Peach; 2 × Chrysanthemum Spray White; 2 × Gerbera Daisies Orange; 2 × Chrysanthemum button Yellow; 3 × Ruscus Israeli; 2 × Mini Carnations Pink; 2 × Alstroemeria Yellow</t>
        </is>
      </c>
      <c r="I172" s="30" t="inlineStr">
        <is>
          <t>3 × Roses Peach; 2 × Chrysanthemum Spray White; 2 × Gerbera Daisies Orange; 2 × Chrysanthemum button Yellow; 3 × Ruscus Israeli; 2 × Mini Carnations Pink; 2 × Alstroemeria Yellow</t>
        </is>
      </c>
      <c r="J172" s="30" t="inlineStr">
        <is>
          <t>2 × Gerbera Daisies Orange; 2 × Alstroemeria Yellow; 2 × Mini Carnations Pink; 3 × Ruscus Israeli; 2 × Chrysanthemum Spray White; 2 × Chrysanthemum button Yellow; 3 × Roses Peach</t>
        </is>
      </c>
      <c r="K172" s="30" t="inlineStr">
        <is>
          <t>Y</t>
        </is>
      </c>
      <c r="L172" s="30" t="n"/>
      <c r="M172" s="30" t="inlineStr">
        <is>
          <t>A hand-arranged bouquet of 3 peach roses, 2 orange gerberas, 2 white spray chrysanthemums and 2 yellow alstroemeria. A warm gift for a birthday, a thank-you or a just-because moment.</t>
        </is>
      </c>
      <c r="N172" s="30">
        <f>LEN(TRIM(SUBSTITUTE(M172,CHAR(10)," ")))-LEN(SUBSTITUTE(TRIM(SUBSTITUTE(M172,CHAR(10)," "))," ",""))+1</f>
        <v/>
      </c>
      <c r="O172" s="30" t="inlineStr">
        <is>
          <t>&lt;p&gt;A hand-arranged bouquet of 3 peach roses, 2 orange gerberas, 2 white spray chrysanthemums and 2 yellow alstroemeria. A warm gift for a birthday, a thank-you or a just-because moment.&lt;/p&gt;</t>
        </is>
      </c>
      <c r="P172" s="29" t="inlineStr">
        <is>
          <t>ok</t>
        </is>
      </c>
      <c r="Q172" s="30" t="inlineStr">
        <is>
          <t>Garden Colours brings together 3 peach roses, 2 orange gerberas, 2 white spray chrysanthemums and 2 yellow alstroemeria. It suits a birthday, a thank-you or a just-because moment.
Yellow tones say friendship and cheer. We hand-arrange each one at Aussie Blooms so it looks the way you pictured it, ready for the kitchen bench.</t>
        </is>
      </c>
      <c r="R172" s="30" t="inlineStr">
        <is>
          <t>&lt;p&gt;Garden Colours brings together 3 peach roses, 2 orange gerberas, 2 white spray chrysanthemums and 2 yellow alstroemeria. It suits a birthday, a thank-you or a just-because moment.&lt;/p&gt;&lt;p&gt;Yellow tones say friendship and cheer. We hand-arrange each one at Aussie Blooms so it looks the way you pictured it, ready for the kitchen bench.&lt;/p&gt;</t>
        </is>
      </c>
      <c r="S172" s="29" t="inlineStr">
        <is>
          <t>ok</t>
        </is>
      </c>
      <c r="T172" s="30" t="inlineStr">
        <is>
          <t>In this bunch: 3 peach roses, 2 orange gerberas, 2 white spray chrysanthemums and 2 yellow alstroemeria. Brings the colour in before anyone has said hello.</t>
        </is>
      </c>
      <c r="U172" s="30" t="inlineStr">
        <is>
          <t>&lt;p&gt;In this bunch: 3 peach roses, 2 orange gerberas, 2 white spray chrysanthemums and 2 yellow alstroemeria. Brings the colour in before anyone has said hello.&lt;/p&gt;</t>
        </is>
      </c>
      <c r="V172" s="29" t="inlineStr">
        <is>
          <t>ok</t>
        </is>
      </c>
      <c r="W172" s="30" t="n"/>
      <c r="X172" s="30" t="inlineStr">
        <is>
          <t>n/a (Mel's: mason jar products only)</t>
        </is>
      </c>
      <c r="Y172" s="30" t="n"/>
      <c r="Z172" s="48" t="inlineStr">
        <is>
          <t>-</t>
        </is>
      </c>
      <c r="AA172" t="n">
        <v>166</v>
      </c>
      <c r="AB172" s="44" t="n">
        <v>4630.76</v>
      </c>
      <c r="AC172" t="n">
        <v>45</v>
      </c>
      <c r="AD172" s="45" t="n">
        <v>0.0005305784183083646</v>
      </c>
      <c r="AE172" s="45" t="n">
        <v>0.001321668673709293</v>
      </c>
      <c r="AF172" t="n">
        <v>81</v>
      </c>
    </row>
    <row r="173" ht="109.5" customHeight="1" s="24">
      <c r="A173" s="30" t="inlineStr">
        <is>
          <t>AU0611-08</t>
        </is>
      </c>
      <c r="B173" s="30" t="inlineStr">
        <is>
          <t>Shining Sunrise</t>
        </is>
      </c>
      <c r="C173" s="30" t="inlineStr">
        <is>
          <t>Bouquets</t>
        </is>
      </c>
      <c r="D173" s="43" t="inlineStr">
        <is>
          <t>READY TO REVIEW</t>
        </is>
      </c>
      <c r="E173" s="30" t="inlineStr">
        <is>
          <t>Shining Sunrise sends bright colour for birthdays, thank-you gifts, housewarmings, and cheerful check-ins. It is a good pick when you want the flowers to feel warm and upbeat. 
 Sunny alstroemeria, gerberas, and roses give the bouquet a lively feel. 
 Suited to home, office, and everyday celebration sending. 
 Bright tones help the gift feel friendly without being formal. 
 Choose the delivery date and add a personal note at checkout.</t>
        </is>
      </c>
      <c r="F173" s="30" t="inlineStr">
        <is>
          <t>Shopify (28 Sep)</t>
        </is>
      </c>
      <c r="G173" s="30" t="inlineStr">
        <is>
          <t>3 × Roses Pink; 3 × Gerbera Daisies Yellow; 2 × Ruscus Israeli; 3 × Alstroemeria Pink; 4 × Alstroemeria orange</t>
        </is>
      </c>
      <c r="H173" s="30" t="inlineStr">
        <is>
          <t>3 × Roses Pink; 3 × Gerbera Daisies Yellow; 2 × Ruscus Israeli; 3 × Alstroemeria Pink; 4 × Alstroemeria orange</t>
        </is>
      </c>
      <c r="I173" s="30" t="inlineStr">
        <is>
          <t>3 × Roses Pink; 3 × Gerbera Daisies Yellow; 2 × Ruscus Israeli; 3 × Alstroemeria Pink; 4 × Alstroemeria orange</t>
        </is>
      </c>
      <c r="J173" s="30" t="inlineStr">
        <is>
          <t>2 × Ruscus Israeli; 4 × Alstroemeria orange; 3 × Alstroemeria Pink; 3 × Gerbera Daisies Yellow; 3 × Roses Pink</t>
        </is>
      </c>
      <c r="K173" s="30" t="inlineStr">
        <is>
          <t>Y</t>
        </is>
      </c>
      <c r="L173" s="30" t="n"/>
      <c r="M173" s="30" t="inlineStr">
        <is>
          <t>A florist-designed bouquet of 4 orange alstroemeria, 3 pink alstroemeria, 3 pink roses and 3 yellow gerberas. Chosen for a birthday, a thank-you or a just-because moment, it says you were thinking of them.</t>
        </is>
      </c>
      <c r="N173" s="30">
        <f>LEN(TRIM(SUBSTITUTE(M173,CHAR(10)," ")))-LEN(SUBSTITUTE(TRIM(SUBSTITUTE(M173,CHAR(10)," "))," ",""))+1</f>
        <v/>
      </c>
      <c r="O173" s="30" t="inlineStr">
        <is>
          <t>&lt;p&gt;A florist-designed bouquet of 4 orange alstroemeria, 3 pink alstroemeria, 3 pink roses and 3 yellow gerberas. Chosen for a birthday, a thank-you or a just-because moment, it says you were thinking of them.&lt;/p&gt;</t>
        </is>
      </c>
      <c r="P173" s="29" t="inlineStr">
        <is>
          <t>ok</t>
        </is>
      </c>
      <c r="Q173" s="30" t="inlineStr">
        <is>
          <t>Shining Sunrise brings together 4 orange alstroemeria, 3 pink alstroemeria, 3 pink roses and 3 yellow gerberas. It suits a birthday, a thank-you or a just-because moment.
Pink tones say affection. We hand-arrange each one at Aussie Blooms so it looks the way you pictured it, ready for the kitchen bench.</t>
        </is>
      </c>
      <c r="R173" s="30" t="inlineStr">
        <is>
          <t>&lt;p&gt;Shining Sunrise brings together 4 orange alstroemeria, 3 pink alstroemeria, 3 pink roses and 3 yellow gerberas. It suits a birthday, a thank-you or a just-because moment.&lt;/p&gt;&lt;p&gt;Pink tones say affection. We hand-arrange each one at Aussie Blooms so it looks the way you pictured it, ready for the kitchen bench.&lt;/p&gt;</t>
        </is>
      </c>
      <c r="S173" s="29" t="inlineStr">
        <is>
          <t>ok</t>
        </is>
      </c>
      <c r="T173" s="30" t="inlineStr">
        <is>
          <t>Inside the bunch: 4 orange alstroemeria, 3 pink alstroemeria, 3 pink roses and 3 yellow gerberas. Bright on purpose, and hard to walk past without smiling.</t>
        </is>
      </c>
      <c r="U173" s="30" t="inlineStr">
        <is>
          <t>&lt;p&gt;Inside the bunch: 4 orange alstroemeria, 3 pink alstroemeria, 3 pink roses and 3 yellow gerberas. Bright on purpose, and hard to walk past without smiling.&lt;/p&gt;</t>
        </is>
      </c>
      <c r="V173" s="29" t="inlineStr">
        <is>
          <t>ok</t>
        </is>
      </c>
      <c r="W173" s="30" t="n"/>
      <c r="X173" s="30" t="inlineStr">
        <is>
          <t>n/a (Mel's: mason jar products only)</t>
        </is>
      </c>
      <c r="Y173" s="30" t="n"/>
      <c r="Z173" s="48" t="inlineStr">
        <is>
          <t>-</t>
        </is>
      </c>
      <c r="AA173" t="n">
        <v>41</v>
      </c>
      <c r="AB173" s="44" t="n">
        <v>52794.66</v>
      </c>
      <c r="AC173" t="n">
        <v>486</v>
      </c>
      <c r="AD173" s="45" t="n">
        <v>0.006049051818260476</v>
      </c>
      <c r="AE173" s="45" t="n">
        <v>0.01506816338163349</v>
      </c>
      <c r="AF173" t="n">
        <v>13</v>
      </c>
    </row>
    <row r="174" ht="109.5" customHeight="1" s="24">
      <c r="A174" s="30" t="inlineStr">
        <is>
          <t>AU0611-11</t>
        </is>
      </c>
      <c r="B174" s="30" t="inlineStr">
        <is>
          <t>Summer Joy</t>
        </is>
      </c>
      <c r="C174" s="30" t="inlineStr">
        <is>
          <t>Bouquets</t>
        </is>
      </c>
      <c r="D174" s="43" t="inlineStr">
        <is>
          <t>READY TO REVIEW</t>
        </is>
      </c>
      <c r="E174" s="30" t="inlineStr">
        <is>
          <t>Summer Joy bursts with roses, vibrant gerberas, full chrysanthemums and soft carnations in a celebration of warm, sunny colour. A joyful way to send congratulations, welcome a new home or say a heartfelt thank you.</t>
        </is>
      </c>
      <c r="F174" s="30" t="inlineStr">
        <is>
          <t>Shopify (28 Sep)</t>
        </is>
      </c>
      <c r="G174" s="30" t="inlineStr">
        <is>
          <t>3 × Roses Pink; 2 × Chrysanthemum Daisy Purple; 3 × Gerbera Daisies Yellow; 2 × Ruscus Israeli; 2 × Mini Carnations Red</t>
        </is>
      </c>
      <c r="H174" s="30" t="inlineStr">
        <is>
          <t>3 × Roses Pink; 2 × Chrysanthemum Daisy Purple; 3 × Gerbera Daisies Yellow; 2 × Ruscus Israeli; 2 × Mini Carnations Red</t>
        </is>
      </c>
      <c r="I174" s="30" t="inlineStr">
        <is>
          <t>3 × Roses Pink; 2 × Chrysanthemum Daisy Purple; 3 × Gerbera Daisies Yellow; 2 × Ruscus Israeli; 2 × Mini Carnations Red</t>
        </is>
      </c>
      <c r="J174" s="30" t="inlineStr">
        <is>
          <t>2 × Chrysanthemum Daisy Purple; 2 × Mini Carnations Red; 2 × Ruscus Israeli; 3 × Gerbera Daisies Yellow; 3 × Roses Pink</t>
        </is>
      </c>
      <c r="K174" s="30" t="inlineStr">
        <is>
          <t>Y</t>
        </is>
      </c>
      <c r="L174" s="30" t="n"/>
      <c r="M174" s="30" t="inlineStr">
        <is>
          <t>A fresh arrangement of 3 pink roses, 3 yellow gerberas and 2 purple chrysanthemum daisies. A lovely way to mark a birthday, a thank-you or a just-because moment, and a bright moment when the door opens.</t>
        </is>
      </c>
      <c r="N174" s="30">
        <f>LEN(TRIM(SUBSTITUTE(M174,CHAR(10)," ")))-LEN(SUBSTITUTE(TRIM(SUBSTITUTE(M174,CHAR(10)," "))," ",""))+1</f>
        <v/>
      </c>
      <c r="O174" s="30" t="inlineStr">
        <is>
          <t>&lt;p&gt;A fresh arrangement of 3 pink roses, 3 yellow gerberas and 2 purple chrysanthemum daisies. A lovely way to mark a birthday, a thank-you or a just-because moment, and a bright moment when the door opens.&lt;/p&gt;</t>
        </is>
      </c>
      <c r="P174" s="29" t="inlineStr">
        <is>
          <t>ok</t>
        </is>
      </c>
      <c r="Q174" s="30" t="inlineStr">
        <is>
          <t>Summer Joy brings together 3 pink roses, 3 yellow gerberas and 2 purple chrysanthemum daisies. It suits a birthday, a thank-you or a just-because moment.
Pink tones say affection. We hand-arrange each one at Aussie Blooms so it looks the way you pictured it, ready for the kitchen bench.</t>
        </is>
      </c>
      <c r="R174" s="30" t="inlineStr">
        <is>
          <t>&lt;p&gt;Summer Joy brings together 3 pink roses, 3 yellow gerberas and 2 purple chrysanthemum daisies. It suits a birthday, a thank-you or a just-because moment.&lt;/p&gt;&lt;p&gt;Pink tones say affection. We hand-arrange each one at Aussie Blooms so it looks the way you pictured it, ready for the kitchen bench.&lt;/p&gt;</t>
        </is>
      </c>
      <c r="S174" s="29" t="inlineStr">
        <is>
          <t>ok</t>
        </is>
      </c>
      <c r="T174" s="30" t="inlineStr">
        <is>
          <t>The bunch holds: 3 pink roses, 3 yellow gerberas and 2 purple chrysanthemum daisies. Enough colour to turn an ordinary bench into the best spot in the house.</t>
        </is>
      </c>
      <c r="U174" s="30" t="inlineStr">
        <is>
          <t>&lt;p&gt;The bunch holds: 3 pink roses, 3 yellow gerberas and 2 purple chrysanthemum daisies. Enough colour to turn an ordinary bench into the best spot in the house.&lt;/p&gt;</t>
        </is>
      </c>
      <c r="V174" s="29" t="inlineStr">
        <is>
          <t>ok</t>
        </is>
      </c>
      <c r="W174" s="30" t="n"/>
      <c r="X174" s="30" t="inlineStr">
        <is>
          <t>n/a (Mel's: mason jar products only)</t>
        </is>
      </c>
      <c r="Y174" s="30" t="n"/>
      <c r="Z174" s="48" t="inlineStr">
        <is>
          <t>-</t>
        </is>
      </c>
      <c r="AA174" t="n">
        <v>128</v>
      </c>
      <c r="AB174" s="44" t="n">
        <v>8475.889999999999</v>
      </c>
      <c r="AC174" t="n">
        <v>89</v>
      </c>
      <c r="AD174" s="45" t="n">
        <v>0.0009711417369839257</v>
      </c>
      <c r="AE174" s="45" t="n">
        <v>0.002419110101755621</v>
      </c>
      <c r="AF174" t="n">
        <v>60</v>
      </c>
    </row>
    <row r="175" ht="109.5" customHeight="1" s="24">
      <c r="A175" s="30" t="inlineStr">
        <is>
          <t>AU0611-17</t>
        </is>
      </c>
      <c r="B175" s="30" t="inlineStr">
        <is>
          <t>Pinky Purple</t>
        </is>
      </c>
      <c r="C175" s="30" t="inlineStr">
        <is>
          <t>Bouquets</t>
        </is>
      </c>
      <c r="D175" s="43" t="inlineStr">
        <is>
          <t>READY TO REVIEW</t>
        </is>
      </c>
      <c r="E175" s="30" t="inlineStr">
        <is>
          <t>Pinky Purple weaves ruffled carnations, soft chrysanthemums, cheerful daisies and flowing alstroemeria into a playful blend of pinks and purples. A charming pick-me-up to send just because someone deserves a smile.</t>
        </is>
      </c>
      <c r="F175" s="30" t="inlineStr">
        <is>
          <t>Shopify (28 Sep)</t>
        </is>
      </c>
      <c r="G175" s="30" t="inlineStr">
        <is>
          <t>4 × Carnation Purple; 2 × Chrysanthemum Daisies Pink; 3 × Daisy poms purple; 1 × Carnation Pink; 3 × Ruscus Israeli; 1 × Mini Carnations Pink; 2 × Alstroemeria White</t>
        </is>
      </c>
      <c r="H175" s="30" t="inlineStr">
        <is>
          <t>4 × Carnation Purple; 2 × Chrysanthemum Daisies Pink; 3 × Daisy poms purple; 1 × Carnation Pink; 3 × Ruscus Israeli; 1 × Mini Carnations Pink; 2 × Alstroemeria White</t>
        </is>
      </c>
      <c r="I175" s="30" t="inlineStr">
        <is>
          <t>4 × Carnation Purple; 2 × Chrysanthemum Daisies Pink; 3 × Daisy poms purple; 1 × Carnation Pink; 3 × Ruscus Israeli; 1 × Mini Carnations Pink; 2 × Alstroemeria White</t>
        </is>
      </c>
      <c r="J175" s="30" t="inlineStr">
        <is>
          <t>3 × Daisy poms purple; 2 × Alstroemeria White; 1 × Mini Carnations Pink; 3 × Ruscus Israeli; 2 × Chrysanthemum Daisies Pink; 4 × Carnation Purple; 1 × Carnation Pink</t>
        </is>
      </c>
      <c r="K175" s="30" t="inlineStr">
        <is>
          <t>Y</t>
        </is>
      </c>
      <c r="L175" s="30" t="n"/>
      <c r="M175" s="30" t="inlineStr">
        <is>
          <t>A hand-arranged bouquet of 4 purple carnations, 2 pink chrysanthemum daisies, 2 white alstroemeria and 1 pink carnation. A warm gift for a birthday, a thank-you or a just-because moment.</t>
        </is>
      </c>
      <c r="N175" s="30">
        <f>LEN(TRIM(SUBSTITUTE(M175,CHAR(10)," ")))-LEN(SUBSTITUTE(TRIM(SUBSTITUTE(M175,CHAR(10)," "))," ",""))+1</f>
        <v/>
      </c>
      <c r="O175" s="30" t="inlineStr">
        <is>
          <t>&lt;p&gt;A hand-arranged bouquet of 4 purple carnations, 2 pink chrysanthemum daisies, 2 white alstroemeria and 1 pink carnation. A warm gift for a birthday, a thank-you or a just-because moment.&lt;/p&gt;</t>
        </is>
      </c>
      <c r="P175" s="29" t="inlineStr">
        <is>
          <t>ok</t>
        </is>
      </c>
      <c r="Q175" s="30" t="inlineStr">
        <is>
          <t>Pinky Purple brings together 4 purple carnations, 2 pink chrysanthemum daisies, 2 white alstroemeria and 1 pink carnation. It suits a birthday, a thank-you or a just-because moment.
Purple tones say admiration. We hand-arrange each one at Aussie Blooms so it looks the way you pictured it, ready for the bedside table.</t>
        </is>
      </c>
      <c r="R175" s="30" t="inlineStr">
        <is>
          <t>&lt;p&gt;Pinky Purple brings together 4 purple carnations, 2 pink chrysanthemum daisies, 2 white alstroemeria and 1 pink carnation. It suits a birthday, a thank-you or a just-because moment.&lt;/p&gt;&lt;p&gt;Purple tones say admiration. We hand-arrange each one at Aussie Blooms so it looks the way you pictured it, ready for the bedside table.&lt;/p&gt;</t>
        </is>
      </c>
      <c r="S175" s="29" t="inlineStr">
        <is>
          <t>ok</t>
        </is>
      </c>
      <c r="T175" s="30" t="inlineStr">
        <is>
          <t>In this bunch: 4 purple carnations, 2 pink chrysanthemum daisies, 2 white alstroemeria and 1 pink carnation. Soft colours that make a quiet room feel looked after.</t>
        </is>
      </c>
      <c r="U175" s="30" t="inlineStr">
        <is>
          <t>&lt;p&gt;In this bunch: 4 purple carnations, 2 pink chrysanthemum daisies, 2 white alstroemeria and 1 pink carnation. Soft colours that make a quiet room feel looked after.&lt;/p&gt;</t>
        </is>
      </c>
      <c r="V175" s="29" t="inlineStr">
        <is>
          <t>ok</t>
        </is>
      </c>
      <c r="W175" s="30" t="n"/>
      <c r="X175" s="30" t="inlineStr">
        <is>
          <t>n/a (Mel's: mason jar products only)</t>
        </is>
      </c>
      <c r="Y175" s="30" t="n"/>
      <c r="Z175" s="48" t="inlineStr">
        <is>
          <t>-</t>
        </is>
      </c>
      <c r="AA175" t="n">
        <v>174</v>
      </c>
      <c r="AB175" s="44" t="n">
        <v>3721.48</v>
      </c>
      <c r="AC175" t="n">
        <v>39</v>
      </c>
      <c r="AD175" s="45" t="n">
        <v>0.0004263961063244585</v>
      </c>
      <c r="AE175" s="45" t="n">
        <v>0.001062150959922995</v>
      </c>
      <c r="AF175" t="n">
        <v>85</v>
      </c>
    </row>
    <row r="176" ht="109.5" customHeight="1" s="24">
      <c r="A176" s="30" t="inlineStr">
        <is>
          <t>AU0611-21</t>
        </is>
      </c>
      <c r="B176" s="30" t="inlineStr">
        <is>
          <t>Beauty in Pink</t>
        </is>
      </c>
      <c r="C176" s="30" t="inlineStr">
        <is>
          <t>Bouquets</t>
        </is>
      </c>
      <c r="D176" s="43" t="inlineStr">
        <is>
          <t>READY TO REVIEW</t>
        </is>
      </c>
      <c r="E176" s="30" t="inlineStr">
        <is>
          <t>Beauty in Pink is a generous gathering of ruffled carnations, romantic roses, flowing alstroemeria and full chrysanthemums in beautiful blush tones. A showstopping way to celebrate an anniversary, a birthday or a well-earned graduation.</t>
        </is>
      </c>
      <c r="F176" s="30" t="inlineStr">
        <is>
          <t>Shopify (28 Sep)</t>
        </is>
      </c>
      <c r="G176" s="30" t="inlineStr">
        <is>
          <t>4 × Roses Pink; 4 × Carnation Pink; 5 × Chrysanthemum Daisies Pink; 3 × Ruscus Israeli; 6 × Alstroemeria Pink; 3 × Mini Carnations Hot Pink</t>
        </is>
      </c>
      <c r="H176" s="30" t="inlineStr">
        <is>
          <t>4 × Roses Pink; 4 × Carnation Pink; 5 × Chrysanthemum Daisies Pink; 3 × Ruscus Israeli; 6 × Alstroemeria Pink; 3 × Mini Carnations Hot Pink</t>
        </is>
      </c>
      <c r="I176" s="30" t="inlineStr">
        <is>
          <t>4 × Roses Pink; 4 × Carnation Pink; 5 × Chrysanthemum Daisies Pink; 3 × Ruscus Israeli; 6 × Alstroemeria Pink; 3 × Mini Carnations Hot Pink</t>
        </is>
      </c>
      <c r="J176" s="30" t="inlineStr">
        <is>
          <t>5 × Chrysanthemum Daisies Pink; 3 × Mini Carnations Hot Pink; 6 × Alstroemeria Pink; 3 × Ruscus Israeli; 4 × Carnation Pink; 4 × Roses Pink</t>
        </is>
      </c>
      <c r="K176" s="30" t="inlineStr">
        <is>
          <t>Y</t>
        </is>
      </c>
      <c r="L176" s="30" t="n"/>
      <c r="M176" s="30" t="inlineStr">
        <is>
          <t>A fresh arrangement of 6 pink alstroemeria, 5 pink chrysanthemum daisies, 4 pink carnations and 4 pink roses. A thoughtful choice for a birthday, a thank-you or a just-because moment.</t>
        </is>
      </c>
      <c r="N176" s="30">
        <f>LEN(TRIM(SUBSTITUTE(M176,CHAR(10)," ")))-LEN(SUBSTITUTE(TRIM(SUBSTITUTE(M176,CHAR(10)," "))," ",""))+1</f>
        <v/>
      </c>
      <c r="O176" s="30" t="inlineStr">
        <is>
          <t>&lt;p&gt;A fresh arrangement of 6 pink alstroemeria, 5 pink chrysanthemum daisies, 4 pink carnations and 4 pink roses. A thoughtful choice for a birthday, a thank-you or a just-because moment.&lt;/p&gt;</t>
        </is>
      </c>
      <c r="P176" s="29" t="inlineStr">
        <is>
          <t>ok</t>
        </is>
      </c>
      <c r="Q176" s="30" t="inlineStr">
        <is>
          <t>Beauty in Pink brings together 6 pink alstroemeria, 5 pink chrysanthemum daisies, 4 pink carnations and 4 pink roses. It suits a birthday, a thank-you or a just-because moment.
Pink tones say affection. We hand-arrange each one at Aussie Blooms so it looks the way you pictured it, ready for the bedside table.</t>
        </is>
      </c>
      <c r="R176" s="30" t="inlineStr">
        <is>
          <t>&lt;p&gt;Beauty in Pink brings together 6 pink alstroemeria, 5 pink chrysanthemum daisies, 4 pink carnations and 4 pink roses. It suits a birthday, a thank-you or a just-because moment.&lt;/p&gt;&lt;p&gt;Pink tones say affection. We hand-arrange each one at Aussie Blooms so it looks the way you pictured it, ready for the bedside table.&lt;/p&gt;</t>
        </is>
      </c>
      <c r="S176" s="29" t="inlineStr">
        <is>
          <t>ok</t>
        </is>
      </c>
      <c r="T176" s="30" t="inlineStr">
        <is>
          <t>The bunch holds: 6 pink alstroemeria, 5 pink chrysanthemum daisies, 4 pink carnations and 4 pink roses. Enough colour to turn an ordinary bench into the best spot in the house.</t>
        </is>
      </c>
      <c r="U176" s="30" t="inlineStr">
        <is>
          <t>&lt;p&gt;The bunch holds: 6 pink alstroemeria, 5 pink chrysanthemum daisies, 4 pink carnations and 4 pink roses. Enough colour to turn an ordinary bench into the best spot in the house.&lt;/p&gt;</t>
        </is>
      </c>
      <c r="V176" s="29" t="inlineStr">
        <is>
          <t>ok</t>
        </is>
      </c>
      <c r="W176" s="30" t="n"/>
      <c r="X176" s="30" t="inlineStr">
        <is>
          <t>n/a (Mel's: mason jar products only)</t>
        </is>
      </c>
      <c r="Y176" s="30" t="n"/>
      <c r="Z176" s="48" t="inlineStr">
        <is>
          <t>-</t>
        </is>
      </c>
      <c r="AA176" t="n">
        <v>133</v>
      </c>
      <c r="AB176" s="44" t="n">
        <v>8229.35</v>
      </c>
      <c r="AC176" t="n">
        <v>54</v>
      </c>
      <c r="AD176" s="45" t="n">
        <v>0.000942893817888969</v>
      </c>
      <c r="AE176" s="45" t="n">
        <v>0.002348744650623418</v>
      </c>
      <c r="AF176" t="n">
        <v>62</v>
      </c>
    </row>
    <row r="177" ht="109.5" customHeight="1" s="24">
      <c r="A177" s="30" t="inlineStr">
        <is>
          <t>AU1111-03</t>
        </is>
      </c>
      <c r="B177" s="30" t="inlineStr">
        <is>
          <t>Classic Rainbow Gerbera Bouquet</t>
        </is>
      </c>
      <c r="C177" s="30" t="inlineStr">
        <is>
          <t>Bouquets</t>
        </is>
      </c>
      <c r="D177" s="43" t="inlineStr">
        <is>
          <t>READY TO REVIEW</t>
        </is>
      </c>
      <c r="E177" s="30" t="n"/>
      <c r="F177" s="30" t="inlineStr">
        <is>
          <t>none</t>
        </is>
      </c>
      <c r="G177" s="30" t="inlineStr">
        <is>
          <t>18 × Gerbera Daisies assorted; 3 × Ruscus Israeli</t>
        </is>
      </c>
      <c r="H177" s="30" t="inlineStr">
        <is>
          <t>18 × Gerbera Daisies assorted; 3 × Ruscus Israeli</t>
        </is>
      </c>
      <c r="I177" s="30" t="inlineStr">
        <is>
          <t>18 × Gerbera Daisies assorted; 3 × Ruscus Israeli</t>
        </is>
      </c>
      <c r="J177" s="30" t="inlineStr">
        <is>
          <t>18 × Gerbera Daisies assorted; 3 × Ruscus Israeli</t>
        </is>
      </c>
      <c r="K177" s="30" t="inlineStr">
        <is>
          <t>N</t>
        </is>
      </c>
      <c r="L177" s="30" t="n"/>
      <c r="M177" s="30" t="inlineStr">
        <is>
          <t>A florist-designed bouquet of 18 assorted-colour gerberas. Chosen for a birthday, a thank-you or a just-because moment, it says you were thinking of them.</t>
        </is>
      </c>
      <c r="N177" s="30">
        <f>LEN(TRIM(SUBSTITUTE(M177,CHAR(10)," ")))-LEN(SUBSTITUTE(TRIM(SUBSTITUTE(M177,CHAR(10)," "))," ",""))+1</f>
        <v/>
      </c>
      <c r="O177" s="30" t="inlineStr">
        <is>
          <t>&lt;p&gt;A florist-designed bouquet of 18 assorted-colour gerberas. Chosen for a birthday, a thank-you or a just-because moment, it says you were thinking of them.&lt;/p&gt;</t>
        </is>
      </c>
      <c r="P177" s="29" t="inlineStr">
        <is>
          <t>ok</t>
        </is>
      </c>
      <c r="Q177" s="30" t="inlineStr">
        <is>
          <t>Classic Rainbow Gerbera Bouquet brings together 18 assorted-colour gerberas. It suits a birthday, a thank-you or a just-because moment.
Mixed colours say thoughtfulness. We hand-arrange each one at Aussie Blooms so it looks the way you pictured it, ready for a Sunday lunch.</t>
        </is>
      </c>
      <c r="R177" s="30" t="inlineStr">
        <is>
          <t>&lt;p&gt;Classic Rainbow Gerbera Bouquet brings together 18 assorted-colour gerberas. It suits a birthday, a thank-you or a just-because moment.&lt;/p&gt;&lt;p&gt;Mixed colours say thoughtfulness. We hand-arrange each one at Aussie Blooms so it looks the way you pictured it, ready for a Sunday lunch.&lt;/p&gt;</t>
        </is>
      </c>
      <c r="S177" s="29" t="inlineStr">
        <is>
          <t>ok</t>
        </is>
      </c>
      <c r="T177" s="30" t="inlineStr">
        <is>
          <t>Inside the bunch: 18 assorted-colour gerberas. Made for the moment someone opens the door and smiles.</t>
        </is>
      </c>
      <c r="U177" s="30" t="inlineStr">
        <is>
          <t>&lt;p&gt;Inside the bunch: 18 assorted-colour gerberas. Made for the moment someone opens the door and smiles.&lt;/p&gt;</t>
        </is>
      </c>
      <c r="V177" s="29" t="inlineStr">
        <is>
          <t>ok</t>
        </is>
      </c>
      <c r="W177" s="30" t="n"/>
      <c r="X177" s="30" t="inlineStr">
        <is>
          <t>n/a (Mel's: mason jar products only)</t>
        </is>
      </c>
      <c r="Y177" s="30" t="n"/>
      <c r="Z177" s="48" t="inlineStr">
        <is>
          <t>-</t>
        </is>
      </c>
      <c r="AA177" t="n">
        <v>237</v>
      </c>
      <c r="AB177" s="44" t="n">
        <v>380.14</v>
      </c>
      <c r="AC177" t="n">
        <v>3</v>
      </c>
      <c r="AD177" s="45" t="n">
        <v>4.355528680729334e-05</v>
      </c>
      <c r="AE177" s="45" t="n">
        <v>0.0001084960416052334</v>
      </c>
      <c r="AF177" t="n">
        <v>130</v>
      </c>
    </row>
    <row r="178" ht="109.5" customHeight="1" s="24">
      <c r="A178" s="30" t="inlineStr">
        <is>
          <t>AU1111-04</t>
        </is>
      </c>
      <c r="B178" s="30" t="inlineStr">
        <is>
          <t>24 Pink and White Roses</t>
        </is>
      </c>
      <c r="C178" s="30" t="inlineStr">
        <is>
          <t>Bouquets</t>
        </is>
      </c>
      <c r="D178" s="46" t="inlineStr">
        <is>
          <t>READY - NOTIFY JARROD</t>
        </is>
      </c>
      <c r="E178" s="30" t="inlineStr">
        <is>
          <t>24 Pink and White Roses pairs soft pink and pure white blooms in a bouquet of timeless romance and grace. An exquisite way to celebrate an anniversary, a birthday or to share a tender message of love.</t>
        </is>
      </c>
      <c r="F178" s="30" t="inlineStr">
        <is>
          <t>Shopify (28 Sep)</t>
        </is>
      </c>
      <c r="G178" s="30" t="inlineStr">
        <is>
          <t>24 × Roses White; 3 × Baby's Breath; 4 × Ruscus Israeli</t>
        </is>
      </c>
      <c r="H178" s="30" t="inlineStr">
        <is>
          <t>24 × Roses White; 3 × Baby's Breath; 4 × Ruscus Israeli</t>
        </is>
      </c>
      <c r="I178" s="31" t="inlineStr">
        <is>
          <t>12 × Roses White; 12 × Roses light pink; 4 × Ruscus Israeli; 3 × Baby's Breath</t>
        </is>
      </c>
      <c r="J178" s="30" t="inlineStr">
        <is>
          <t>24 × Roses White; 4 × Ruscus Israeli; 3 × Baby's Breath</t>
        </is>
      </c>
      <c r="K178" s="30" t="inlineStr">
        <is>
          <t>Y</t>
        </is>
      </c>
      <c r="L178" s="30" t="n"/>
      <c r="M178" s="30" t="inlineStr">
        <is>
          <t>A hand-arranged bouquet of 12 light pink roses and 12 white roses. Chosen for a birthday, a thank-you or a just-because moment, it is a gift that says you care.</t>
        </is>
      </c>
      <c r="N178" s="30">
        <f>LEN(TRIM(SUBSTITUTE(M178,CHAR(10)," ")))-LEN(SUBSTITUTE(TRIM(SUBSTITUTE(M178,CHAR(10)," "))," ",""))+1</f>
        <v/>
      </c>
      <c r="O178" s="30" t="inlineStr">
        <is>
          <t>&lt;p&gt;A hand-arranged bouquet of 12 light pink roses and 12 white roses. Chosen for a birthday, a thank-you or a just-because moment, it is a gift that says you care.&lt;/p&gt;</t>
        </is>
      </c>
      <c r="P178" s="29" t="inlineStr">
        <is>
          <t>ok</t>
        </is>
      </c>
      <c r="Q178" s="30" t="inlineStr">
        <is>
          <t>24 Pink and White Roses brings together 12 light pink roses and 12 white roses. It suits a birthday, a thank-you or a just-because moment.
Light pink tones say tenderness. We hand-arrange each one at Aussie Blooms so it looks the way you pictured it, ready for the kitchen bench.</t>
        </is>
      </c>
      <c r="R178" s="30" t="inlineStr">
        <is>
          <t>&lt;p&gt;24 Pink and White Roses brings together 12 light pink roses and 12 white roses. It suits a birthday, a thank-you or a just-because moment.&lt;/p&gt;&lt;p&gt;Light pink tones say tenderness. We hand-arrange each one at Aussie Blooms so it looks the way you pictured it, ready for the kitchen bench.&lt;/p&gt;</t>
        </is>
      </c>
      <c r="S178" s="29" t="inlineStr">
        <is>
          <t>ok</t>
        </is>
      </c>
      <c r="T178" s="30" t="inlineStr">
        <is>
          <t>In this bunch: 12 light pink roses and 12 white roses. Soft colours that make a quiet room feel looked after.</t>
        </is>
      </c>
      <c r="U178" s="30" t="inlineStr">
        <is>
          <t>&lt;p&gt;In this bunch: 12 light pink roses and 12 white roses. Soft colours that make a quiet room feel looked after.&lt;/p&gt;</t>
        </is>
      </c>
      <c r="V178" s="29" t="inlineStr">
        <is>
          <t>ok</t>
        </is>
      </c>
      <c r="W178" s="30" t="n"/>
      <c r="X178" s="30" t="inlineStr">
        <is>
          <t>n/a (Mel's: mason jar products only)</t>
        </is>
      </c>
      <c r="Y178" s="30" t="n"/>
      <c r="Z178" s="48" t="inlineStr">
        <is>
          <t>-</t>
        </is>
      </c>
      <c r="AA178" t="n">
        <v>182</v>
      </c>
      <c r="AB178" s="44" t="n">
        <v>3373.9</v>
      </c>
      <c r="AC178" t="n">
        <v>19</v>
      </c>
      <c r="AD178" s="45" t="n">
        <v>0.0003865709871325128</v>
      </c>
      <c r="AE178" s="45" t="n">
        <v>0.0009629467506177036</v>
      </c>
      <c r="AF178" t="n">
        <v>92</v>
      </c>
    </row>
    <row r="179" ht="109.5" customHeight="1" s="24">
      <c r="A179" s="30" t="inlineStr">
        <is>
          <t>AU1111-05</t>
        </is>
      </c>
      <c r="B179" s="30" t="inlineStr">
        <is>
          <t>Flower Fairy</t>
        </is>
      </c>
      <c r="C179" s="30" t="inlineStr">
        <is>
          <t>Bouquets</t>
        </is>
      </c>
      <c r="D179" s="43" t="inlineStr">
        <is>
          <t>READY TO REVIEW</t>
        </is>
      </c>
      <c r="E179" s="30" t="inlineStr">
        <is>
          <t>Flower Fairy enchants with romantic roses and delicate alstroemeria woven together in a soft, whimsical display. A captivating gift to mark an anniversary, brighten a birthday or whisper a little love.</t>
        </is>
      </c>
      <c r="F179" s="30" t="inlineStr">
        <is>
          <t>Shopify (28 Sep)</t>
        </is>
      </c>
      <c r="G179" s="30" t="inlineStr">
        <is>
          <t>7 × Roses Pink; 1 × Baby's Breath; 2 × Ruscus Israeli; 3 × Alstroemeria White</t>
        </is>
      </c>
      <c r="H179" s="30" t="inlineStr">
        <is>
          <t>7 × Roses Pink; 1 × Baby's Breath; 2 × Ruscus Israeli; 3 × Alstroemeria White</t>
        </is>
      </c>
      <c r="I179" s="30" t="inlineStr">
        <is>
          <t>7 × Roses Pink; 1 × Baby's Breath; 2 × Ruscus Israeli; 3 × Alstroemeria White</t>
        </is>
      </c>
      <c r="J179" s="30" t="inlineStr">
        <is>
          <t>2 × Ruscus Israeli; 3 × Alstroemeria White; 1 × Baby's Breath; 7 × Roses Pink</t>
        </is>
      </c>
      <c r="K179" s="30" t="inlineStr">
        <is>
          <t>Y</t>
        </is>
      </c>
      <c r="L179" s="30" t="n"/>
      <c r="M179" s="30" t="inlineStr">
        <is>
          <t>A fresh arrangement of 7 pink roses and 3 white alstroemeria. A lovely way to mark a birthday, a thank-you or a just-because moment, and a bright moment when the door opens.</t>
        </is>
      </c>
      <c r="N179" s="30">
        <f>LEN(TRIM(SUBSTITUTE(M179,CHAR(10)," ")))-LEN(SUBSTITUTE(TRIM(SUBSTITUTE(M179,CHAR(10)," "))," ",""))+1</f>
        <v/>
      </c>
      <c r="O179" s="30" t="inlineStr">
        <is>
          <t>&lt;p&gt;A fresh arrangement of 7 pink roses and 3 white alstroemeria. A lovely way to mark a birthday, a thank-you or a just-because moment, and a bright moment when the door opens.&lt;/p&gt;</t>
        </is>
      </c>
      <c r="P179" s="29" t="inlineStr">
        <is>
          <t>ok</t>
        </is>
      </c>
      <c r="Q179" s="30" t="inlineStr">
        <is>
          <t>Flower Fairy brings together 7 pink roses and 3 white alstroemeria. It suits a birthday, a thank-you or a just-because moment.
Pink tones say affection. We hand-arrange each one at Aussie Blooms so it looks the way you pictured it, ready for the kitchen bench.</t>
        </is>
      </c>
      <c r="R179" s="30" t="inlineStr">
        <is>
          <t>&lt;p&gt;Flower Fairy brings together 7 pink roses and 3 white alstroemeria. It suits a birthday, a thank-you or a just-because moment.&lt;/p&gt;&lt;p&gt;Pink tones say affection. We hand-arrange each one at Aussie Blooms so it looks the way you pictured it, ready for the kitchen bench.&lt;/p&gt;</t>
        </is>
      </c>
      <c r="S179" s="29" t="inlineStr">
        <is>
          <t>ok</t>
        </is>
      </c>
      <c r="T179" s="30" t="inlineStr">
        <is>
          <t>The bunch holds: 7 pink roses and 3 white alstroemeria. Gentle, easy on the eye, and ready for any table you give it.</t>
        </is>
      </c>
      <c r="U179" s="30" t="inlineStr">
        <is>
          <t>&lt;p&gt;The bunch holds: 7 pink roses and 3 white alstroemeria. Gentle, easy on the eye, and ready for any table you give it.&lt;/p&gt;</t>
        </is>
      </c>
      <c r="V179" s="29" t="inlineStr">
        <is>
          <t>ok</t>
        </is>
      </c>
      <c r="W179" s="30" t="n"/>
      <c r="X179" s="30" t="inlineStr">
        <is>
          <t>n/a (Mel's: mason jar products only)</t>
        </is>
      </c>
      <c r="Y179" s="30" t="n"/>
      <c r="Z179" s="48" t="inlineStr">
        <is>
          <t>-</t>
        </is>
      </c>
      <c r="AA179" t="n">
        <v>137</v>
      </c>
      <c r="AB179" s="44" t="n">
        <v>7542.41</v>
      </c>
      <c r="AC179" t="n">
        <v>84</v>
      </c>
      <c r="AD179" s="45" t="n">
        <v>0.0008641870062204225</v>
      </c>
      <c r="AE179" s="45" t="n">
        <v>0.002152686304108846</v>
      </c>
      <c r="AF179" t="n">
        <v>65</v>
      </c>
    </row>
    <row r="180" ht="109.5" customHeight="1" s="24">
      <c r="A180" s="30" t="inlineStr">
        <is>
          <t>AU1111-06</t>
        </is>
      </c>
      <c r="B180" s="30" t="inlineStr">
        <is>
          <t>Gerberomeria</t>
        </is>
      </c>
      <c r="C180" s="30" t="inlineStr">
        <is>
          <t>Bouquets</t>
        </is>
      </c>
      <c r="D180" s="43" t="inlineStr">
        <is>
          <t>READY TO REVIEW</t>
        </is>
      </c>
      <c r="E180" s="30" t="inlineStr">
        <is>
          <t>Thirty-two graceful alstroemeria and eighteen vivid gerberas combine in a fresh, colour-rich bouquet full of charm. Lively and heartfelt, it's a wonderful way to celebrate a birthday or say a warm, sincere thank you.</t>
        </is>
      </c>
      <c r="F180" s="30" t="inlineStr">
        <is>
          <t>Shopify (28 Sep)</t>
        </is>
      </c>
      <c r="G180" s="30" t="inlineStr">
        <is>
          <t>4 × Gerbera Daisies assorted; 2 × Ruscus Israeli; 2 × Alstroemeria orange; 2 × Alstroemeria Yellow; 2 × Alstroemeria Pink</t>
        </is>
      </c>
      <c r="H180" s="30" t="inlineStr">
        <is>
          <t>4 × Gerbera Daisies assorted; 2 × Ruscus Israeli; 2 × Alstroemeria orange; 2 × Alstroemeria Yellow; 2 × Alstroemeria Pink</t>
        </is>
      </c>
      <c r="I180" s="30" t="inlineStr">
        <is>
          <t>4 × Gerbera Daisies assorted; 2 × Ruscus Israeli; 2 × Alstroemeria orange; 2 × Alstroemeria Yellow; 2 × Alstroemeria Pink</t>
        </is>
      </c>
      <c r="J180" s="30" t="inlineStr">
        <is>
          <t>2 × Alstroemeria Yellow; 2 × Alstroemeria orange; 2 × Alstroemeria Pink; 2 × Ruscus Israeli; 4 × Gerbera Daisies assorted</t>
        </is>
      </c>
      <c r="K180" s="30" t="inlineStr">
        <is>
          <t>Y</t>
        </is>
      </c>
      <c r="L180" s="30" t="n"/>
      <c r="M180" s="30" t="inlineStr">
        <is>
          <t>A florist-designed bouquet of 4 assorted-colour gerberas, 2 orange alstroemeria, 2 pink alstroemeria and 2 yellow alstroemeria. A lovely way to mark a birthday, a thank-you or a just-because moment, and a bright moment when the door opens.</t>
        </is>
      </c>
      <c r="N180" s="30">
        <f>LEN(TRIM(SUBSTITUTE(M180,CHAR(10)," ")))-LEN(SUBSTITUTE(TRIM(SUBSTITUTE(M180,CHAR(10)," "))," ",""))+1</f>
        <v/>
      </c>
      <c r="O180" s="30" t="inlineStr">
        <is>
          <t>&lt;p&gt;A florist-designed bouquet of 4 assorted-colour gerberas, 2 orange alstroemeria, 2 pink alstroemeria and 2 yellow alstroemeria. A lovely way to mark a birthday, a thank-you or a just-because moment, and a bright moment when the door opens.&lt;/p&gt;</t>
        </is>
      </c>
      <c r="P180" s="29" t="inlineStr">
        <is>
          <t>ok</t>
        </is>
      </c>
      <c r="Q180" s="30" t="inlineStr">
        <is>
          <t>Gerberomeria brings together 4 assorted-colour gerberas, 2 orange alstroemeria, 2 pink alstroemeria and 2 yellow alstroemeria. It suits a birthday, a thank-you or a just-because moment.
Orange tones say warmth and energy. We hand-arrange each one at Aussie Blooms so it looks the way you pictured it, ready for a summer table.</t>
        </is>
      </c>
      <c r="R180" s="30" t="inlineStr">
        <is>
          <t>&lt;p&gt;Gerberomeria brings together 4 assorted-colour gerberas, 2 orange alstroemeria, 2 pink alstroemeria and 2 yellow alstroemeria. It suits a birthday, a thank-you or a just-because moment.&lt;/p&gt;&lt;p&gt;Orange tones say warmth and energy. We hand-arrange each one at Aussie Blooms so it looks the way you pictured it, ready for a summer table.&lt;/p&gt;</t>
        </is>
      </c>
      <c r="S180" s="29" t="inlineStr">
        <is>
          <t>ok</t>
        </is>
      </c>
      <c r="T180" s="30" t="inlineStr">
        <is>
          <t>Inside the bunch: 4 assorted-colour gerberas, 2 orange alstroemeria, 2 pink alstroemeria and 2 yellow alstroemeria. Bright on purpose, and hard to walk past without smiling.</t>
        </is>
      </c>
      <c r="U180" s="30" t="inlineStr">
        <is>
          <t>&lt;p&gt;Inside the bunch: 4 assorted-colour gerberas, 2 orange alstroemeria, 2 pink alstroemeria and 2 yellow alstroemeria. Bright on purpose, and hard to walk past without smiling.&lt;/p&gt;</t>
        </is>
      </c>
      <c r="V180" s="29" t="inlineStr">
        <is>
          <t>ok</t>
        </is>
      </c>
      <c r="W180" s="30" t="n"/>
      <c r="X180" s="30" t="inlineStr">
        <is>
          <t>n/a (Mel's: mason jar products only)</t>
        </is>
      </c>
      <c r="Y180" s="30" t="n"/>
      <c r="Z180" s="48" t="inlineStr">
        <is>
          <t>-</t>
        </is>
      </c>
      <c r="AA180" t="n">
        <v>221</v>
      </c>
      <c r="AB180" s="44" t="n">
        <v>1317.16</v>
      </c>
      <c r="AC180" t="n">
        <v>17</v>
      </c>
      <c r="AD180" s="45" t="n">
        <v>0.000150916192905494</v>
      </c>
      <c r="AE180" s="45" t="n">
        <v>0.0003759316203523682</v>
      </c>
      <c r="AF180" t="n">
        <v>120</v>
      </c>
    </row>
    <row r="181" ht="109.5" customHeight="1" s="24">
      <c r="A181" s="30" t="inlineStr">
        <is>
          <t>AU15-140</t>
        </is>
      </c>
      <c r="B181" s="30" t="inlineStr">
        <is>
          <t>150 Blooms of Peruvian Lillies</t>
        </is>
      </c>
      <c r="C181" s="30" t="inlineStr">
        <is>
          <t>Bouquets</t>
        </is>
      </c>
      <c r="D181" s="43" t="inlineStr">
        <is>
          <t>READY TO REVIEW</t>
        </is>
      </c>
      <c r="E181" s="30" t="inlineStr">
        <is>
          <t>This abundant and colourful bouquet of Alstroemeria, also known as Peruvian Lilies, adds vibrancy and life to any room. This full bloom bouquet contains 140 Blooms of Alstroemeria (35 stems), each stem with multiple blooms. To allow these beautiful flowers to last much longer, they are shipped fresh, budding, and ready to bloom. Vase not included, but they are available.</t>
        </is>
      </c>
      <c r="F181" s="30" t="inlineStr">
        <is>
          <t>Shopify (28 Sep)</t>
        </is>
      </c>
      <c r="G181" s="30" t="inlineStr">
        <is>
          <t>1 × Greeting Card; 35 × Alstroemeria assorted</t>
        </is>
      </c>
      <c r="H181" s="30" t="inlineStr">
        <is>
          <t>1 × Greeting Card; 35 × Alstroemeria assorted</t>
        </is>
      </c>
      <c r="I181" s="30" t="inlineStr">
        <is>
          <t>1 × Greeting Card; 35 × Alstroemeria assorted</t>
        </is>
      </c>
      <c r="J181" s="30" t="inlineStr">
        <is>
          <t>1 × Greeting Card; 35 × Alstroemeria assorted</t>
        </is>
      </c>
      <c r="K181" s="30" t="inlineStr">
        <is>
          <t>N</t>
        </is>
      </c>
      <c r="L181" s="30" t="n"/>
      <c r="M181" s="30" t="inlineStr">
        <is>
          <t>A florist-designed bouquet of 35 assorted-colour alstroemeria, plus a greeting card. A lovely way to mark a birthday, a thank-you or a just-because moment, and a bright moment when the door opens.</t>
        </is>
      </c>
      <c r="N181" s="30">
        <f>LEN(TRIM(SUBSTITUTE(M181,CHAR(10)," ")))-LEN(SUBSTITUTE(TRIM(SUBSTITUTE(M181,CHAR(10)," "))," ",""))+1</f>
        <v/>
      </c>
      <c r="O181" s="30" t="inlineStr">
        <is>
          <t>&lt;p&gt;A florist-designed bouquet of 35 assorted-colour alstroemeria, plus a greeting card. A lovely way to mark a birthday, a thank-you or a just-because moment, and a bright moment when the door opens.&lt;/p&gt;</t>
        </is>
      </c>
      <c r="P181" s="29" t="inlineStr">
        <is>
          <t>ok</t>
        </is>
      </c>
      <c r="Q181" s="30" t="inlineStr">
        <is>
          <t>150 Blooms of Peruvian Lillies brings together 35 assorted-colour alstroemeria, plus a greeting card. It suits a birthday, a thank-you or a just-because moment.
Mixed colours say thoughtfulness. We hand-arrange each one at Aussie Blooms so it looks the way you pictured it, ready for the bedside table.</t>
        </is>
      </c>
      <c r="R181" s="30" t="inlineStr">
        <is>
          <t>&lt;p&gt;150 Blooms of Peruvian Lillies brings together 35 assorted-colour alstroemeria, plus a greeting card. It suits a birthday, a thank-you or a just-because moment.&lt;/p&gt;&lt;p&gt;Mixed colours say thoughtfulness. We hand-arrange each one at Aussie Blooms so it looks the way you pictured it, ready for the bedside table.&lt;/p&gt;</t>
        </is>
      </c>
      <c r="S181" s="29" t="inlineStr">
        <is>
          <t>ok</t>
        </is>
      </c>
      <c r="T181" s="30" t="inlineStr">
        <is>
          <t>Inside the bunch: 35 assorted-colour alstroemeria, plus a greeting card. Made for the moment someone opens the door and smiles.</t>
        </is>
      </c>
      <c r="U181" s="30" t="inlineStr">
        <is>
          <t>&lt;p&gt;Inside the bunch: 35 assorted-colour alstroemeria, plus a greeting card. Made for the moment someone opens the door and smiles.&lt;/p&gt;</t>
        </is>
      </c>
      <c r="V181" s="29" t="inlineStr">
        <is>
          <t>ok</t>
        </is>
      </c>
      <c r="W181" s="30" t="n"/>
      <c r="X181" s="30" t="inlineStr">
        <is>
          <t>n/a (Mel's: mason jar products only)</t>
        </is>
      </c>
      <c r="Y181" s="30" t="n"/>
      <c r="Z181" s="48" t="inlineStr">
        <is>
          <t>-</t>
        </is>
      </c>
      <c r="AA181" t="inlineStr">
        <is>
          <t>no sales</t>
        </is>
      </c>
      <c r="AB181" s="44" t="n">
        <v>0</v>
      </c>
      <c r="AC181" t="n">
        <v>0</v>
      </c>
      <c r="AD181" s="45" t="n">
        <v>0</v>
      </c>
      <c r="AE181" s="45" t="n">
        <v>0</v>
      </c>
      <c r="AF181" t="inlineStr">
        <is>
          <t>no sales</t>
        </is>
      </c>
    </row>
    <row r="182" ht="109.5" customHeight="1" s="24">
      <c r="A182" s="30" t="inlineStr">
        <is>
          <t>AU15-200</t>
        </is>
      </c>
      <c r="B182" s="30" t="inlineStr">
        <is>
          <t>200 Blooms of Peruvian Lilies</t>
        </is>
      </c>
      <c r="C182" s="30" t="inlineStr">
        <is>
          <t>Bouquets</t>
        </is>
      </c>
      <c r="D182" s="43" t="inlineStr">
        <is>
          <t>READY TO REVIEW</t>
        </is>
      </c>
      <c r="E182" s="30" t="inlineStr">
        <is>
          <t>This abundant and colourful bouquet of Alstroemeria, also known as Peruvian Lilies, adds vibrancy and life to any room. This full bloom bouquet contains 200 Blooms of Alstroemeria (50 stems), each stem with multiple blooms. To allow these beautiful flowers to last much longer, they are shipped fresh, budding, and ready to bloom. Bouquet includes 50 stems of Alstromeria and stands approximately 20" tall</t>
        </is>
      </c>
      <c r="F182" s="30" t="inlineStr">
        <is>
          <t>Shopify (28 Sep)</t>
        </is>
      </c>
      <c r="G182" s="30" t="inlineStr">
        <is>
          <t>1 × Greeting Card; 50 × Alstroemeria assorted</t>
        </is>
      </c>
      <c r="H182" s="30" t="inlineStr">
        <is>
          <t>1 × Greeting Card; 50 × Alstroemeria assorted</t>
        </is>
      </c>
      <c r="I182" s="30" t="inlineStr">
        <is>
          <t>1 × Greeting Card; 50 × Alstroemeria assorted</t>
        </is>
      </c>
      <c r="J182" s="30" t="inlineStr">
        <is>
          <t>1 × Greeting Card; 50 × Alstroemeria assorted</t>
        </is>
      </c>
      <c r="K182" s="30" t="inlineStr">
        <is>
          <t>N</t>
        </is>
      </c>
      <c r="L182" s="30" t="n"/>
      <c r="M182" s="30" t="inlineStr">
        <is>
          <t>A hand-arranged bouquet of 50 assorted-colour alstroemeria, plus a greeting card. A lovely way to mark a birthday, a thank-you or a just-because moment, and a bright moment when the door opens.</t>
        </is>
      </c>
      <c r="N182" s="30">
        <f>LEN(TRIM(SUBSTITUTE(M182,CHAR(10)," ")))-LEN(SUBSTITUTE(TRIM(SUBSTITUTE(M182,CHAR(10)," "))," ",""))+1</f>
        <v/>
      </c>
      <c r="O182" s="30" t="inlineStr">
        <is>
          <t>&lt;p&gt;A hand-arranged bouquet of 50 assorted-colour alstroemeria, plus a greeting card. A lovely way to mark a birthday, a thank-you or a just-because moment, and a bright moment when the door opens.&lt;/p&gt;</t>
        </is>
      </c>
      <c r="P182" s="29" t="inlineStr">
        <is>
          <t>ok</t>
        </is>
      </c>
      <c r="Q182" s="30" t="inlineStr">
        <is>
          <t>200 Blooms of Peruvian Lilies brings together 50 assorted-colour alstroemeria, plus a greeting card. It suits a birthday, a thank-you or a just-because moment.
Mixed colours say thoughtfulness. We hand-arrange each one at Aussie Blooms so it looks the way you pictured it, ready for the kitchen bench.</t>
        </is>
      </c>
      <c r="R182" s="30" t="inlineStr">
        <is>
          <t>&lt;p&gt;200 Blooms of Peruvian Lilies brings together 50 assorted-colour alstroemeria, plus a greeting card. It suits a birthday, a thank-you or a just-because moment.&lt;/p&gt;&lt;p&gt;Mixed colours say thoughtfulness. We hand-arrange each one at Aussie Blooms so it looks the way you pictured it, ready for the kitchen bench.&lt;/p&gt;</t>
        </is>
      </c>
      <c r="S182" s="29" t="inlineStr">
        <is>
          <t>ok</t>
        </is>
      </c>
      <c r="T182" s="30" t="inlineStr">
        <is>
          <t>In this bunch: 50 assorted-colour alstroemeria, plus a greeting card. Hand it over and watch the day get a little better.</t>
        </is>
      </c>
      <c r="U182" s="30" t="inlineStr">
        <is>
          <t>&lt;p&gt;In this bunch: 50 assorted-colour alstroemeria, plus a greeting card. Hand it over and watch the day get a little better.&lt;/p&gt;</t>
        </is>
      </c>
      <c r="V182" s="29" t="inlineStr">
        <is>
          <t>ok</t>
        </is>
      </c>
      <c r="W182" s="30" t="n"/>
      <c r="X182" s="30" t="inlineStr">
        <is>
          <t>n/a (Mel's: mason jar products only)</t>
        </is>
      </c>
      <c r="Y182" s="30" t="n"/>
      <c r="Z182" s="48" t="inlineStr">
        <is>
          <t>-</t>
        </is>
      </c>
      <c r="AA182" t="inlineStr">
        <is>
          <t>no sales</t>
        </is>
      </c>
      <c r="AB182" s="44" t="n">
        <v>0</v>
      </c>
      <c r="AC182" t="n">
        <v>0</v>
      </c>
      <c r="AD182" s="45" t="n">
        <v>0</v>
      </c>
      <c r="AE182" s="45" t="n">
        <v>0</v>
      </c>
      <c r="AF182" t="inlineStr">
        <is>
          <t>no sales</t>
        </is>
      </c>
    </row>
    <row r="183" ht="109.5" customHeight="1" s="24">
      <c r="A183" s="30" t="inlineStr">
        <is>
          <t>FBAU61-66</t>
        </is>
      </c>
      <c r="B183" s="30" t="inlineStr">
        <is>
          <t>European Sampler Basket</t>
        </is>
      </c>
      <c r="C183" s="30" t="inlineStr">
        <is>
          <t>Bouquets</t>
        </is>
      </c>
      <c r="D183" s="46" t="inlineStr">
        <is>
          <t>READY - NOTIFY JARROD</t>
        </is>
      </c>
      <c r="E183" s="30" t="inlineStr">
        <is>
          <t>The European Sampler Basket pairs fresh seasonal fruit with continental-style treats for a wholesome yet indulgent gift. Bright and nourishing, it's a thoughtful way to brighten a recovery and wish someone a speedy return to good health.</t>
        </is>
      </c>
      <c r="F183" s="30" t="inlineStr">
        <is>
          <t>Shopify (28 Sep)</t>
        </is>
      </c>
      <c r="G183" s="30" t="inlineStr">
        <is>
          <t>1 × Small Basket; 1 × Red Bow; 10 × Fresh Fruit; 1 × Gift Basket Box - Medium</t>
        </is>
      </c>
      <c r="H183" s="30" t="inlineStr">
        <is>
          <t>1 × Small Basket; 1 × Red Bow; 10 × Fresh Fruit; 1 × Gift Basket Box - Medium</t>
        </is>
      </c>
      <c r="I183" s="31" t="inlineStr">
        <is>
          <t>1 × Small Basket; 1 × Red Bow; 10 × Fresh Fruit</t>
        </is>
      </c>
      <c r="J183" s="30" t="inlineStr">
        <is>
          <t>1 × Small Basket; 1 × Red Bow; 10 × Fresh Fruit; 1 × Gift Basket Box - Medium</t>
        </is>
      </c>
      <c r="K183" s="30" t="inlineStr">
        <is>
          <t>Y</t>
        </is>
      </c>
      <c r="L183" s="30" t="n"/>
      <c r="M183" s="30" t="inlineStr">
        <is>
          <t>A gift basket with 10 pieces of fresh fruit, finished with a red bow. Chosen for a birthday, a thank-you or a just-because moment, it is a gift that says you care.</t>
        </is>
      </c>
      <c r="N183" s="30">
        <f>LEN(TRIM(SUBSTITUTE(M183,CHAR(10)," ")))-LEN(SUBSTITUTE(TRIM(SUBSTITUTE(M183,CHAR(10)," "))," ",""))+1</f>
        <v/>
      </c>
      <c r="O183" s="30" t="inlineStr">
        <is>
          <t>&lt;p&gt;A gift basket with 10 pieces of fresh fruit, finished with a red bow. Chosen for a birthday, a thank-you or a just-because moment, it is a gift that says you care.&lt;/p&gt;</t>
        </is>
      </c>
      <c r="P183" s="29" t="inlineStr">
        <is>
          <t>ok</t>
        </is>
      </c>
      <c r="Q183" s="30" t="inlineStr">
        <is>
          <t>European Sampler Basket brings together 10 pieces of fresh fruit, arranged in a small basket, finished with a red bow. It suits a birthday, a thank-you or a just-because moment.
Mixed colours say thoughtfulness. We hand-arrange each one at Aussie Blooms so it looks the way you pictured it, ready for the bedside table.</t>
        </is>
      </c>
      <c r="R183" s="30" t="inlineStr">
        <is>
          <t>&lt;p&gt;European Sampler Basket brings together 10 pieces of fresh fruit, arranged in a small basket, finished with a red bow. It suits a birthday, a thank-you or a just-because moment.&lt;/p&gt;&lt;p&gt;Mixed colours say thoughtfulness. We hand-arrange each one at Aussie Blooms so it looks the way you pictured it, ready for the bedside table.&lt;/p&gt;</t>
        </is>
      </c>
      <c r="S183" s="29" t="inlineStr">
        <is>
          <t>ok</t>
        </is>
      </c>
      <c r="T183" s="30" t="inlineStr">
        <is>
          <t>Inside the bunch: 10 pieces of fresh fruit in a small basket, finished with a red bow. Made for the moment someone opens the door and smiles.</t>
        </is>
      </c>
      <c r="U183" s="30" t="inlineStr">
        <is>
          <t>&lt;p&gt;Inside the bunch: 10 pieces of fresh fruit in a small basket, finished with a red bow. Made for the moment someone opens the door and smiles.&lt;/p&gt;</t>
        </is>
      </c>
      <c r="V183" s="29" t="inlineStr">
        <is>
          <t>ok</t>
        </is>
      </c>
      <c r="W183" s="30" t="n"/>
      <c r="X183" s="30" t="inlineStr">
        <is>
          <t>n/a (Mel's: mason jar products only)</t>
        </is>
      </c>
      <c r="Y183" s="30" t="n"/>
      <c r="Z183" s="48" t="inlineStr">
        <is>
          <t>-</t>
        </is>
      </c>
      <c r="AA183" t="n">
        <v>149</v>
      </c>
      <c r="AB183" s="44" t="n">
        <v>6316.14</v>
      </c>
      <c r="AC183" t="n">
        <v>93</v>
      </c>
      <c r="AD183" s="45" t="n">
        <v>0.0007236839114653658</v>
      </c>
      <c r="AE183" s="45" t="n">
        <v>0.001802693668733614</v>
      </c>
      <c r="AF183" t="n">
        <v>72</v>
      </c>
    </row>
    <row r="184" ht="109.5" customHeight="1" s="24">
      <c r="A184" s="30" t="inlineStr">
        <is>
          <t>FBAU76-60</t>
        </is>
      </c>
      <c r="B184" s="30" t="inlineStr">
        <is>
          <t>Fruits &amp; Chocolates</t>
        </is>
      </c>
      <c r="C184" s="30" t="inlineStr">
        <is>
          <t>Bouquets</t>
        </is>
      </c>
      <c r="D184" s="46" t="inlineStr">
        <is>
          <t>READY - NOTIFY JARROD</t>
        </is>
      </c>
      <c r="E184" s="30" t="inlineStr">
        <is>
          <t>Fruits &amp; Chocolates brings together crisp seasonal fruit and smooth, rich chocolates for the best of both worlds. A balanced and generous gift, it's sure to delight on any occasion that calls for a little something special.</t>
        </is>
      </c>
      <c r="F184" s="30" t="inlineStr">
        <is>
          <t>Shopify (28 Sep)</t>
        </is>
      </c>
      <c r="G184" s="30" t="inlineStr">
        <is>
          <t>1 × Small Chocolates; 1 × Small Basket; 1 × Gift Basket Box - Medium; 1 × Red Bow; 10 × Fresh Fruit</t>
        </is>
      </c>
      <c r="H184" s="30" t="inlineStr">
        <is>
          <t>1 × Small Chocolates; 1 × Small Basket; 1 × Gift Basket Box - Medium; 1 × Red Bow; 8 × Fresh Fruit</t>
        </is>
      </c>
      <c r="I184" s="31" t="inlineStr">
        <is>
          <t>10 × Fresh Fruit; 1 × Red Bow; 1 × Small Basket; 1 × Small Chocolates</t>
        </is>
      </c>
      <c r="J184" s="30" t="inlineStr">
        <is>
          <t>8 × Fresh Fruit; 1 × Red Bow; 1 × Gift Basket Box - Medium; 1 × Small Basket; 1 × Small Chocolates</t>
        </is>
      </c>
      <c r="K184" s="30" t="inlineStr">
        <is>
          <t>Y</t>
        </is>
      </c>
      <c r="L184" s="30" t="inlineStr">
        <is>
          <t>Quantity differs from Jarrod: Fresh Fruit is 8 in the master; Jarrod Standard is 10 (Petite 8)</t>
        </is>
      </c>
      <c r="M184" s="30" t="inlineStr">
        <is>
          <t>A gift basket with 10 pieces of fresh fruit and a box of small chocolates, finished with a red bow. A lovely way to mark a birthday, a thank-you or a just-because moment, and a bright moment when the door opens.</t>
        </is>
      </c>
      <c r="N184" s="30">
        <f>LEN(TRIM(SUBSTITUTE(M184,CHAR(10)," ")))-LEN(SUBSTITUTE(TRIM(SUBSTITUTE(M184,CHAR(10)," "))," ",""))+1</f>
        <v/>
      </c>
      <c r="O184" s="30" t="inlineStr">
        <is>
          <t>&lt;p&gt;A gift basket with 10 pieces of fresh fruit and a box of small chocolates, finished with a red bow. A lovely way to mark a birthday, a thank-you or a just-because moment, and a bright moment when the door opens.&lt;/p&gt;</t>
        </is>
      </c>
      <c r="P184" s="29" t="inlineStr">
        <is>
          <t>ok</t>
        </is>
      </c>
      <c r="Q184" s="30" t="inlineStr">
        <is>
          <t>Fruits &amp; Chocolates brings together 10 pieces of fresh fruit and a box of small chocolates, arranged in a small basket, finished with a red bow. It suits a birthday, a thank-you or a just-because moment.
Mixed colours say thoughtfulness. We hand-arrange each one at Aussie Blooms so it looks the way you pictured it, ready for a summer table.</t>
        </is>
      </c>
      <c r="R184" s="30" t="inlineStr">
        <is>
          <t>&lt;p&gt;Fruits &amp;amp; Chocolates brings together 10 pieces of fresh fruit and a box of small chocolates, arranged in a small basket, finished with a red bow. It suits a birthday, a thank-you or a just-because moment.&lt;/p&gt;&lt;p&gt;Mixed colours say thoughtfulness. We hand-arrange each one at Aussie Blooms so it looks the way you pictured it, ready for a summer table.&lt;/p&gt;</t>
        </is>
      </c>
      <c r="S184" s="29" t="inlineStr">
        <is>
          <t>ok</t>
        </is>
      </c>
      <c r="T184" s="30" t="inlineStr">
        <is>
          <t>The bunch holds: 10 pieces of fresh fruit and a box of small chocolates in a small basket, finished with a red bow. A simple good turn for a birthday, a thank-you or no reason at all.</t>
        </is>
      </c>
      <c r="U184" s="30" t="inlineStr">
        <is>
          <t>&lt;p&gt;The bunch holds: 10 pieces of fresh fruit and a box of small chocolates in a small basket, finished with a red bow. A simple good turn for a birthday, a thank-you or no reason at all.&lt;/p&gt;</t>
        </is>
      </c>
      <c r="V184" s="29" t="inlineStr">
        <is>
          <t>ok</t>
        </is>
      </c>
      <c r="W184" s="30" t="n"/>
      <c r="X184" s="30" t="inlineStr">
        <is>
          <t>n/a (Mel's: mason jar products only)</t>
        </is>
      </c>
      <c r="Y184" s="30" t="n"/>
      <c r="Z184" s="48" t="inlineStr">
        <is>
          <t>-</t>
        </is>
      </c>
      <c r="AA184" t="n">
        <v>157</v>
      </c>
      <c r="AB184" s="44" t="n">
        <v>5662.87</v>
      </c>
      <c r="AC184" t="n">
        <v>52</v>
      </c>
      <c r="AD184" s="45" t="n">
        <v>0.000648834447841367</v>
      </c>
      <c r="AE184" s="45" t="n">
        <v>0.001616243960448856</v>
      </c>
      <c r="AF184" t="n">
        <v>77</v>
      </c>
    </row>
    <row r="185" ht="109.5" customHeight="1" s="24">
      <c r="A185" s="30" t="inlineStr">
        <is>
          <t>AU11-65</t>
        </is>
      </c>
      <c r="B185" s="30" t="inlineStr">
        <is>
          <t>One Dozen Premium Red Roses</t>
        </is>
      </c>
      <c r="C185" s="30" t="inlineStr">
        <is>
          <t>Bouquets</t>
        </is>
      </c>
      <c r="D185" s="43" t="inlineStr">
        <is>
          <t>READY TO REVIEW</t>
        </is>
      </c>
      <c r="E185" s="30" t="inlineStr">
        <is>
          <t>A dozen premium red roses, deep and velvety, capture the language of love like nothing else. Perfect for an anniversary, a birthday, or a heartfelt just-because moment, this enduring classic says everything words sometimes cannot.</t>
        </is>
      </c>
      <c r="F185" s="30" t="inlineStr">
        <is>
          <t>Shopify (28 Sep)</t>
        </is>
      </c>
      <c r="G185" s="30" t="inlineStr">
        <is>
          <t>12 × Roses Red; 2 × Baby's Breath; 3 × Ruscus Israeli</t>
        </is>
      </c>
      <c r="H185" s="30" t="inlineStr">
        <is>
          <t>12 × Roses Red; 2 × Baby's Breath; 3 × Ruscus Israeli</t>
        </is>
      </c>
      <c r="I185" s="30" t="inlineStr">
        <is>
          <t>12 × Roses Red; 2 × Baby's Breath; 3 × Ruscus Israeli</t>
        </is>
      </c>
      <c r="J185" s="30" t="inlineStr">
        <is>
          <t>3 × Ruscus Israeli; 2 × Baby's Breath; 12 × Roses Red</t>
        </is>
      </c>
      <c r="K185" s="30" t="inlineStr">
        <is>
          <t>Y</t>
        </is>
      </c>
      <c r="L185" s="30" t="n"/>
      <c r="M185" s="30" t="inlineStr">
        <is>
          <t>A hand-arranged bouquet of 12 red roses. A lovely way to mark a thank-you or an anniversary, and a bright moment when the door opens.</t>
        </is>
      </c>
      <c r="N185" s="30">
        <f>LEN(TRIM(SUBSTITUTE(M185,CHAR(10)," ")))-LEN(SUBSTITUTE(TRIM(SUBSTITUTE(M185,CHAR(10)," "))," ",""))+1</f>
        <v/>
      </c>
      <c r="O185" s="30" t="inlineStr">
        <is>
          <t>&lt;p&gt;A hand-arranged bouquet of 12 red roses. A lovely way to mark a thank-you or an anniversary, and a bright moment when the door opens.&lt;/p&gt;</t>
        </is>
      </c>
      <c r="P185" s="29" t="inlineStr">
        <is>
          <t>ok</t>
        </is>
      </c>
      <c r="Q185" s="30" t="inlineStr">
        <is>
          <t>One Dozen Premium Red Roses brings together 12 red roses. It suits an anniversary or a thank-you.
Red tones say love and devotion. We hand-arrange each one at Aussie Blooms so it looks the way you pictured it, ready for the kitchen bench.</t>
        </is>
      </c>
      <c r="R185" s="30" t="inlineStr">
        <is>
          <t>&lt;p&gt;One Dozen Premium Red Roses brings together 12 red roses. It suits an anniversary or a thank-you.&lt;/p&gt;&lt;p&gt;Red tones say love and devotion. We hand-arrange each one at Aussie Blooms so it looks the way you pictured it, ready for the kitchen bench.&lt;/p&gt;</t>
        </is>
      </c>
      <c r="S185" s="29" t="inlineStr">
        <is>
          <t>ok</t>
        </is>
      </c>
      <c r="T185" s="30" t="inlineStr">
        <is>
          <t>In this bunch: 12 red roses. Some things need no speech. Put these on the table and the message is delivered.</t>
        </is>
      </c>
      <c r="U185" s="30" t="inlineStr">
        <is>
          <t>&lt;p&gt;In this bunch: 12 red roses. Some things need no speech. Put these on the table and the message is delivered.&lt;/p&gt;</t>
        </is>
      </c>
      <c r="V185" s="47" t="inlineStr">
        <is>
          <t>delivery promise</t>
        </is>
      </c>
      <c r="W185" s="30" t="n"/>
      <c r="X185" s="30" t="inlineStr">
        <is>
          <t>n/a (Mel's: mason jar products only)</t>
        </is>
      </c>
      <c r="Y185" s="30" t="n"/>
      <c r="Z185" s="48" t="inlineStr">
        <is>
          <t>-</t>
        </is>
      </c>
      <c r="AA185" t="n">
        <v>142</v>
      </c>
      <c r="AB185" s="44" t="n">
        <v>7011.06</v>
      </c>
      <c r="AC185" t="n">
        <v>54</v>
      </c>
      <c r="AD185" s="45" t="n">
        <v>0.0008033059639162994</v>
      </c>
      <c r="AE185" s="45" t="n">
        <v>0.002001031876300278</v>
      </c>
      <c r="AF185" t="n">
        <v>67</v>
      </c>
    </row>
    <row r="186" ht="109.5" customHeight="1" s="24">
      <c r="A186" s="30" t="inlineStr">
        <is>
          <t>AU112-10</t>
        </is>
      </c>
      <c r="B186" s="30" t="inlineStr">
        <is>
          <t>Lavender Love</t>
        </is>
      </c>
      <c r="C186" s="30" t="inlineStr">
        <is>
          <t>Bouquets</t>
        </is>
      </c>
      <c r="D186" s="43" t="inlineStr">
        <is>
          <t>READY TO REVIEW</t>
        </is>
      </c>
      <c r="E186" s="30" t="inlineStr">
        <is>
          <t>Lavender Love is a soft, romantic bouquet for anniversaries, birthdays, and warm congratulations. Choose it when you want gentle colour with enough presence to feel thoughtful. 
 Lavender, pink, and cream tones create a calm, graceful look. 
 Roses, carnations, chrysanthemums, and seasonal accents suit personal messages. 
 Works well for partners, family, friends, and get-well notes. 
 Add your card message and review delivery details at checkout.</t>
        </is>
      </c>
      <c r="F186" s="30" t="inlineStr">
        <is>
          <t>Shopify (28 Sep)</t>
        </is>
      </c>
      <c r="G186" s="30" t="inlineStr">
        <is>
          <t>3 × Roses Purple; 3 × Chrysanthemum Spray Lavender; 3 × Carnation Purple; 3 × Ruscus Israeli; 2 × Mini Carnations Purple</t>
        </is>
      </c>
      <c r="H186" s="30" t="inlineStr">
        <is>
          <t>3 × Roses Purple; 3 × Chrysanthemum Spray Lavender; 3 × Carnation Purple; 3 × Ruscus Israeli; 2 × Mini Carnations Purple</t>
        </is>
      </c>
      <c r="I186" s="30" t="inlineStr">
        <is>
          <t>3 × Roses Purple; 3 × Chrysanthemum Spray Lavender; 3 × Carnation Purple; 3 × Ruscus Israeli; 2 × Mini Carnations Purple</t>
        </is>
      </c>
      <c r="J186" s="30" t="inlineStr">
        <is>
          <t>3 × Carnation Purple; 2 × Mini Carnations Purple; 3 × Ruscus Israeli; 3 × Chrysanthemum Spray Lavender; 3 × Roses Purple</t>
        </is>
      </c>
      <c r="K186" s="30" t="inlineStr">
        <is>
          <t>Y</t>
        </is>
      </c>
      <c r="L186" s="30" t="n"/>
      <c r="M186" s="30" t="inlineStr">
        <is>
          <t>A fresh arrangement of 3 lavender spray chrysanthemums, 3 purple carnations and 3 purple roses. Chosen for an anniversary or a thank-you, it is a gift that says you care.</t>
        </is>
      </c>
      <c r="N186" s="30">
        <f>LEN(TRIM(SUBSTITUTE(M186,CHAR(10)," ")))-LEN(SUBSTITUTE(TRIM(SUBSTITUTE(M186,CHAR(10)," "))," ",""))+1</f>
        <v/>
      </c>
      <c r="O186" s="30" t="inlineStr">
        <is>
          <t>&lt;p&gt;A fresh arrangement of 3 lavender spray chrysanthemums, 3 purple carnations and 3 purple roses. Chosen for an anniversary or a thank-you, it is a gift that says you care.&lt;/p&gt;</t>
        </is>
      </c>
      <c r="P186" s="29" t="inlineStr">
        <is>
          <t>ok</t>
        </is>
      </c>
      <c r="Q186" s="30" t="inlineStr">
        <is>
          <t>Lavender Love brings together 3 lavender spray chrysanthemums, 3 purple carnations and 3 purple roses. It suits an anniversary or a thank-you.
Purple tones say admiration. We hand-arrange each one at Aussie Blooms so it looks the way you pictured it, ready for the bedside table.</t>
        </is>
      </c>
      <c r="R186" s="30" t="inlineStr">
        <is>
          <t>&lt;p&gt;Lavender Love brings together 3 lavender spray chrysanthemums, 3 purple carnations and 3 purple roses. It suits an anniversary or a thank-you.&lt;/p&gt;&lt;p&gt;Purple tones say admiration. We hand-arrange each one at Aussie Blooms so it looks the way you pictured it, ready for the bedside table.&lt;/p&gt;</t>
        </is>
      </c>
      <c r="S186" s="29" t="inlineStr">
        <is>
          <t>ok</t>
        </is>
      </c>
      <c r="T186" s="30" t="inlineStr">
        <is>
          <t>The bunch holds: 3 lavender spray chrysanthemums, 3 purple carnations and 3 purple roses. Gentle, easy on the eye, and ready for any table you give it.</t>
        </is>
      </c>
      <c r="U186" s="30" t="inlineStr">
        <is>
          <t>&lt;p&gt;The bunch holds: 3 lavender spray chrysanthemums, 3 purple carnations and 3 purple roses. Gentle, easy on the eye, and ready for any table you give it.&lt;/p&gt;</t>
        </is>
      </c>
      <c r="V186" s="29" t="inlineStr">
        <is>
          <t>ok</t>
        </is>
      </c>
      <c r="W186" s="30" t="n"/>
      <c r="X186" s="30" t="inlineStr">
        <is>
          <t>n/a (Mel's: mason jar products only)</t>
        </is>
      </c>
      <c r="Y186" s="30" t="n"/>
      <c r="Z186" s="48" t="inlineStr">
        <is>
          <t>-</t>
        </is>
      </c>
      <c r="AA186" t="n">
        <v>10</v>
      </c>
      <c r="AB186" s="44" t="n">
        <v>182756.87</v>
      </c>
      <c r="AC186" t="n">
        <v>2042</v>
      </c>
      <c r="AD186" s="45" t="n">
        <v>0.02093972706186651</v>
      </c>
      <c r="AE186" s="45" t="n">
        <v>0.05216077461636816</v>
      </c>
      <c r="AF186" t="n">
        <v>4</v>
      </c>
    </row>
    <row r="187" ht="109.5" customHeight="1" s="24">
      <c r="A187" s="30" t="inlineStr">
        <is>
          <t>AU112-22</t>
        </is>
      </c>
      <c r="B187" s="30" t="inlineStr">
        <is>
          <t>Romantic Getaway</t>
        </is>
      </c>
      <c r="C187" s="30" t="inlineStr">
        <is>
          <t>Bouquets</t>
        </is>
      </c>
      <c r="D187" s="43" t="inlineStr">
        <is>
          <t>READY TO REVIEW</t>
        </is>
      </c>
      <c r="E187" s="30" t="inlineStr">
        <is>
          <t>Twenty graceful roses mingle with eighteen ruffled carnations in this dreamy bouquet, layering soft texture with timeless romance. Romantic Getaway makes a heartfelt escape for an anniversary, a love-struck moment or simply because someone deserves to feel adored.</t>
        </is>
      </c>
      <c r="F187" s="30" t="inlineStr">
        <is>
          <t>Shopify (28 Sep)</t>
        </is>
      </c>
      <c r="G187" s="30" t="inlineStr">
        <is>
          <t>2 × Roses Cream; 2 × Roses Spray Peach; 1 × Carnation White; 1 × Limonium White; 2 × Ruscus Israeli; 3 × Mini Carnations White</t>
        </is>
      </c>
      <c r="H187" s="30" t="inlineStr">
        <is>
          <t>2 × Roses Cream; 2 × Roses Spray Peach; 2 × Carnation White; 1 × Limonium White; 2 × Ruscus Israeli; 3 × Mini Carnations White</t>
        </is>
      </c>
      <c r="I187" s="31" t="inlineStr">
        <is>
          <t>2 × Roses Cream; 2 × Roses Spray Peach; 2 × Carnation White; 1 × Limonium White; 2 × Ruscus Israeli; 3 × Mini Carnations White</t>
        </is>
      </c>
      <c r="J187" s="30" t="inlineStr">
        <is>
          <t>2 × Carnation White; 2 × Roses Cream; 3 × Mini Carnations White; 2 × Ruscus Israeli; 1 × Limonium White; 2 × Roses Spray Peach</t>
        </is>
      </c>
      <c r="K187" s="30" t="inlineStr">
        <is>
          <t>Y</t>
        </is>
      </c>
      <c r="L187" s="30" t="n"/>
      <c r="M187" s="30" t="inlineStr">
        <is>
          <t>A fresh arrangement of 2 cream roses, 2 peach spray roses and 2 white carnations. A lovely way to mark an anniversary or a thank-you, and a bright moment when the door opens.</t>
        </is>
      </c>
      <c r="N187" s="30">
        <f>LEN(TRIM(SUBSTITUTE(M187,CHAR(10)," ")))-LEN(SUBSTITUTE(TRIM(SUBSTITUTE(M187,CHAR(10)," "))," ",""))+1</f>
        <v/>
      </c>
      <c r="O187" s="30" t="inlineStr">
        <is>
          <t>&lt;p&gt;A fresh arrangement of 2 cream roses, 2 peach spray roses and 2 white carnations. A lovely way to mark an anniversary or a thank-you, and a bright moment when the door opens.&lt;/p&gt;</t>
        </is>
      </c>
      <c r="P187" s="29" t="inlineStr">
        <is>
          <t>ok</t>
        </is>
      </c>
      <c r="Q187" s="30" t="inlineStr">
        <is>
          <t>Romantic Getaway brings together 2 cream roses, 2 peach spray roses and 2 white carnations. It suits an anniversary or a thank-you.
White tones say calm and a fresh start. We hand-arrange each one at Aussie Blooms so it looks the way you pictured it, ready for a summer table.</t>
        </is>
      </c>
      <c r="R187" s="30" t="inlineStr">
        <is>
          <t>&lt;p&gt;Romantic Getaway brings together 2 cream roses, 2 peach spray roses and 2 white carnations. It suits an anniversary or a thank-you.&lt;/p&gt;&lt;p&gt;White tones say calm and a fresh start. We hand-arrange each one at Aussie Blooms so it looks the way you pictured it, ready for a summer table.&lt;/p&gt;</t>
        </is>
      </c>
      <c r="S187" s="29" t="inlineStr">
        <is>
          <t>ok</t>
        </is>
      </c>
      <c r="T187" s="30" t="inlineStr">
        <is>
          <t>The bunch holds: 2 cream roses, 2 peach spray roses and 2 white carnations. Gentle, easy on the eye, and ready for any table you give it.</t>
        </is>
      </c>
      <c r="U187" s="30" t="inlineStr">
        <is>
          <t>&lt;p&gt;The bunch holds: 2 cream roses, 2 peach spray roses and 2 white carnations. Gentle, easy on the eye, and ready for any table you give it.&lt;/p&gt;</t>
        </is>
      </c>
      <c r="V187" s="29" t="inlineStr">
        <is>
          <t>ok</t>
        </is>
      </c>
      <c r="W187" s="30" t="n"/>
      <c r="X187" s="30" t="inlineStr">
        <is>
          <t>n/a (Mel's: mason jar products only)</t>
        </is>
      </c>
      <c r="Y187" s="30" t="n"/>
      <c r="Z187" s="48" t="inlineStr">
        <is>
          <t>-</t>
        </is>
      </c>
      <c r="AA187" t="n">
        <v>173</v>
      </c>
      <c r="AB187" s="44" t="n">
        <v>3952.07</v>
      </c>
      <c r="AC187" t="n">
        <v>46</v>
      </c>
      <c r="AD187" s="45" t="n">
        <v>0.0004528167520096118</v>
      </c>
      <c r="AE187" s="45" t="n">
        <v>0.001127964680451946</v>
      </c>
      <c r="AF187" t="n">
        <v>84</v>
      </c>
    </row>
    <row r="188" ht="109.5" customHeight="1" s="24">
      <c r="A188" s="30" t="inlineStr">
        <is>
          <t>AU112-30</t>
        </is>
      </c>
      <c r="B188" s="30" t="inlineStr">
        <is>
          <t>Pastel Posy</t>
        </is>
      </c>
      <c r="C188" s="30" t="inlineStr">
        <is>
          <t>Bouquets</t>
        </is>
      </c>
      <c r="D188" s="43" t="inlineStr">
        <is>
          <t>READY TO REVIEW</t>
        </is>
      </c>
      <c r="E188" s="30" t="inlineStr">
        <is>
          <t>Pastel Posy sends a gentle mix of flowers for birthdays, anniversaries, get-well notes, and soft congratulations. Choose it when you want a calm gift that still feels fresh and personal. 
 Pastel roses, chrysanthemums, carnations, and alstroemeria create a layered look. 
 Soft colour suits thoughtful messages and quieter occasions. 
 Easy to pair with chocolates, a vase, or a card message. 
 Delivery date, recipient address, and fees are confirmed before payment.</t>
        </is>
      </c>
      <c r="F188" s="30" t="inlineStr">
        <is>
          <t>Shopify (28 Sep)</t>
        </is>
      </c>
      <c r="G188" s="30" t="inlineStr">
        <is>
          <t>3 × Roses Pink; 2 × Roses Spray Pink; 2 × Carnation Yellow; 3 × Chrysanthemum Spray Lavender; 3 × Ruscus Israeli; 1 × Mini Carnations Pink; 2 × Alstroemeria Pink</t>
        </is>
      </c>
      <c r="H188" s="30" t="inlineStr">
        <is>
          <t>3 × Roses Pink; 2 × Roses Spray Pink; 2 × Carnation Yellow; 3 × Chrysanthemum Spray Lavender; 3 × Ruscus Israeli; 1 × Mini Carnations Pink; 2 × Alstroemeria Pink</t>
        </is>
      </c>
      <c r="I188" s="30" t="inlineStr">
        <is>
          <t>3 × Roses Pink; 2 × Roses Spray Pink; 2 × Carnation Yellow; 3 × Chrysanthemum Spray Lavender; 3 × Ruscus Israeli; 1 × Mini Carnations Pink; 2 × Alstroemeria Pink</t>
        </is>
      </c>
      <c r="J188" s="30" t="inlineStr">
        <is>
          <t>2 × Carnation Yellow; 2 × Alstroemeria Pink; 1 × Mini Carnations Pink; 3 × Ruscus Israeli; 3 × Chrysanthemum Spray Lavender; 3 × Roses Pink; 2 × Roses Spray Pink</t>
        </is>
      </c>
      <c r="K188" s="30" t="inlineStr">
        <is>
          <t>Y</t>
        </is>
      </c>
      <c r="L188" s="30" t="n"/>
      <c r="M188" s="30" t="inlineStr">
        <is>
          <t>A florist-designed bouquet of 3 lavender spray chrysanthemums, 3 pink roses, 2 pink alstroemeria, 2 pink spray roses and 2 yellow carnations. Chosen for a birthday, a thank-you or a just-because moment, it is a gift that says you care.</t>
        </is>
      </c>
      <c r="N188" s="30">
        <f>LEN(TRIM(SUBSTITUTE(M188,CHAR(10)," ")))-LEN(SUBSTITUTE(TRIM(SUBSTITUTE(M188,CHAR(10)," "))," ",""))+1</f>
        <v/>
      </c>
      <c r="O188" s="30" t="inlineStr">
        <is>
          <t>&lt;p&gt;A florist-designed bouquet of 3 lavender spray chrysanthemums, 3 pink roses, 2 pink alstroemeria, 2 pink spray roses and 2 yellow carnations. Chosen for a birthday, a thank-you or a just-because moment, it is a gift that says you care.&lt;/p&gt;</t>
        </is>
      </c>
      <c r="P188" s="29" t="inlineStr">
        <is>
          <t>ok</t>
        </is>
      </c>
      <c r="Q188" s="30" t="inlineStr">
        <is>
          <t>Pastel Posy brings together 3 lavender spray chrysanthemums, 3 pink roses, 2 pink alstroemeria, 2 pink spray roses and 2 yellow carnations. It suits a birthday, a thank-you or a just-because moment.
Pink tones say affection. We hand-arrange each one at Aussie Blooms so it looks the way you pictured it, ready for the kitchen bench.</t>
        </is>
      </c>
      <c r="R188" s="30" t="inlineStr">
        <is>
          <t>&lt;p&gt;Pastel Posy brings together 3 lavender spray chrysanthemums, 3 pink roses, 2 pink alstroemeria, 2 pink spray roses and 2 yellow carnations. It suits a birthday, a thank-you or a just-because moment.&lt;/p&gt;&lt;p&gt;Pink tones say affection. We hand-arrange each one at Aussie Blooms so it looks the way you pictured it, ready for the kitchen bench.&lt;/p&gt;</t>
        </is>
      </c>
      <c r="S188" s="29" t="inlineStr">
        <is>
          <t>ok</t>
        </is>
      </c>
      <c r="T188" s="30" t="inlineStr">
        <is>
          <t>Inside the bunch: 3 lavender spray chrysanthemums, 3 pink roses, 2 pink alstroemeria, 2 pink spray roses and 2 yellow carnations. Bright on purpose, and hard to walk past without smiling.</t>
        </is>
      </c>
      <c r="U188" s="30" t="inlineStr">
        <is>
          <t>&lt;p&gt;Inside the bunch: 3 lavender spray chrysanthemums, 3 pink roses, 2 pink alstroemeria, 2 pink spray roses and 2 yellow carnations. Bright on purpose, and hard to walk past without smiling.&lt;/p&gt;</t>
        </is>
      </c>
      <c r="V188" s="29" t="inlineStr">
        <is>
          <t>ok</t>
        </is>
      </c>
      <c r="W188" s="30" t="n"/>
      <c r="X188" s="30" t="inlineStr">
        <is>
          <t>n/a (Mel's: mason jar products only)</t>
        </is>
      </c>
      <c r="Y188" s="30" t="n"/>
      <c r="Z188" s="48" t="inlineStr">
        <is>
          <t>-</t>
        </is>
      </c>
      <c r="AA188" t="n">
        <v>33</v>
      </c>
      <c r="AB188" s="44" t="n">
        <v>67566.24000000001</v>
      </c>
      <c r="AC188" t="n">
        <v>697</v>
      </c>
      <c r="AD188" s="45" t="n">
        <v>0.007741534711542332</v>
      </c>
      <c r="AE188" s="45" t="n">
        <v>0.01928413135856586</v>
      </c>
      <c r="AF188" t="n">
        <v>10</v>
      </c>
    </row>
    <row r="189" ht="109.5" customHeight="1" s="24">
      <c r="A189" s="30" t="inlineStr">
        <is>
          <t>AU111-52</t>
        </is>
      </c>
      <c r="B189" s="30" t="inlineStr">
        <is>
          <t>Jubilee</t>
        </is>
      </c>
      <c r="C189" s="30" t="inlineStr">
        <is>
          <t>Bouquets</t>
        </is>
      </c>
      <c r="D189" s="43" t="inlineStr">
        <is>
          <t>READY TO REVIEW</t>
        </is>
      </c>
      <c r="E189" s="30" t="inlineStr">
        <is>
          <t>Alstroemeria, cheerful chrysanthemums and classic roses unite in Jubilee, a joyful celebration of colour and life. Generous and uplifting, it is the perfect way to mark a birthday, toast a well-earned achievement or welcome someone to a new home.</t>
        </is>
      </c>
      <c r="F189" s="30" t="inlineStr">
        <is>
          <t>Shopify (28 Sep)</t>
        </is>
      </c>
      <c r="G189" s="30" t="inlineStr">
        <is>
          <t>3 × Roses Pink; 2 × Chrysanthemum Spray White; 1 × Baby's Breath; 2 × Ruscus Israeli; 3 × Alstroemeria Pink</t>
        </is>
      </c>
      <c r="H189" s="30" t="inlineStr">
        <is>
          <t>3 × Roses Pink; 2 × Chrysanthemum Spray White; 1 × Baby's Breath; 2 × Ruscus Israeli; 3 × Alstroemeria Pink</t>
        </is>
      </c>
      <c r="I189" s="30" t="inlineStr">
        <is>
          <t>3 × Roses Pink; 2 × Chrysanthemum Spray White; 1 × Baby's Breath; 2 × Ruscus Israeli; 3 × Alstroemeria Pink</t>
        </is>
      </c>
      <c r="J189" s="30" t="inlineStr">
        <is>
          <t>1 × Baby's Breath; 3 × Alstroemeria Pink; 2 × Ruscus Israeli; 2 × Chrysanthemum Spray White; 3 × Roses Pink</t>
        </is>
      </c>
      <c r="K189" s="30" t="inlineStr">
        <is>
          <t>Y</t>
        </is>
      </c>
      <c r="L189" s="30" t="n"/>
      <c r="M189" s="30" t="inlineStr">
        <is>
          <t>A fresh arrangement of 3 pink alstroemeria, 3 pink roses and 2 white spray chrysanthemums. A lovely way to mark a birthday or a thank-you, and a bright moment when the door opens.</t>
        </is>
      </c>
      <c r="N189" s="30">
        <f>LEN(TRIM(SUBSTITUTE(M189,CHAR(10)," ")))-LEN(SUBSTITUTE(TRIM(SUBSTITUTE(M189,CHAR(10)," "))," ",""))+1</f>
        <v/>
      </c>
      <c r="O189" s="30" t="inlineStr">
        <is>
          <t>&lt;p&gt;A fresh arrangement of 3 pink alstroemeria, 3 pink roses and 2 white spray chrysanthemums. A lovely way to mark a birthday or a thank-you, and a bright moment when the door opens.&lt;/p&gt;</t>
        </is>
      </c>
      <c r="P189" s="29" t="inlineStr">
        <is>
          <t>ok</t>
        </is>
      </c>
      <c r="Q189" s="30" t="inlineStr">
        <is>
          <t>Jubilee brings together 3 pink alstroemeria, 3 pink roses and 2 white spray chrysanthemums. It suits a birthday or a thank-you.
Pink tones say affection. We hand-arrange each one at Aussie Blooms so it looks the way you pictured it, ready for a summer table.</t>
        </is>
      </c>
      <c r="R189" s="30" t="inlineStr">
        <is>
          <t>&lt;p&gt;Jubilee brings together 3 pink alstroemeria, 3 pink roses and 2 white spray chrysanthemums. It suits a birthday or a thank-you.&lt;/p&gt;&lt;p&gt;Pink tones say affection. We hand-arrange each one at Aussie Blooms so it looks the way you pictured it, ready for a summer table.&lt;/p&gt;</t>
        </is>
      </c>
      <c r="S189" s="29" t="inlineStr">
        <is>
          <t>ok</t>
        </is>
      </c>
      <c r="T189" s="30" t="inlineStr">
        <is>
          <t>The bunch holds: 3 pink alstroemeria, 3 pink roses and 2 white spray chrysanthemums. Gentle, easy on the eye, and ready for any table you give it.</t>
        </is>
      </c>
      <c r="U189" s="30" t="inlineStr">
        <is>
          <t>&lt;p&gt;The bunch holds: 3 pink alstroemeria, 3 pink roses and 2 white spray chrysanthemums. Gentle, easy on the eye, and ready for any table you give it.&lt;/p&gt;</t>
        </is>
      </c>
      <c r="V189" s="29" t="inlineStr">
        <is>
          <t>ok</t>
        </is>
      </c>
      <c r="W189" s="30" t="n"/>
      <c r="X189" s="30" t="inlineStr">
        <is>
          <t>n/a (Mel's: mason jar products only)</t>
        </is>
      </c>
      <c r="Y189" s="30" t="n"/>
      <c r="Z189" s="48" t="inlineStr">
        <is>
          <t>-</t>
        </is>
      </c>
      <c r="AA189" t="n">
        <v>89</v>
      </c>
      <c r="AB189" s="44" t="n">
        <v>18422.21</v>
      </c>
      <c r="AC189" t="n">
        <v>230</v>
      </c>
      <c r="AD189" s="45" t="n">
        <v>0.00211076087802964</v>
      </c>
      <c r="AE189" s="45" t="n">
        <v>0.005257896729153331</v>
      </c>
      <c r="AF189" t="n">
        <v>38</v>
      </c>
    </row>
    <row r="190" ht="109.5" customHeight="1" s="24">
      <c r="A190" s="30" t="inlineStr">
        <is>
          <t>AU112-90</t>
        </is>
      </c>
      <c r="B190" s="30" t="inlineStr">
        <is>
          <t>Simply Sweet</t>
        </is>
      </c>
      <c r="C190" s="30" t="inlineStr">
        <is>
          <t>Bouquets</t>
        </is>
      </c>
      <c r="D190" s="43" t="inlineStr">
        <is>
          <t>READY TO REVIEW</t>
        </is>
      </c>
      <c r="E190" s="30" t="inlineStr">
        <is>
          <t>A charming gathering of carnations, roses, alstroemeria and chrysanthemums, Simply Sweet lives up to its name with effortless cheer. Bright and uncomplicated, it is a lovely pick-me-up for a birthday, a get-well wish or a happy housewarming.</t>
        </is>
      </c>
      <c r="F190" s="30" t="inlineStr">
        <is>
          <t>Shopify (28 Sep)</t>
        </is>
      </c>
      <c r="G190" s="30" t="inlineStr">
        <is>
          <t>2 × Roses Yellow; 2 × Mini Carnation Yellow; 2 × Chrysanthemum Spray Lavender; 1 × Limonium Pink; 2 × Ruscus Israeli; 3 × Alstroemeria Pink</t>
        </is>
      </c>
      <c r="H190" s="30" t="inlineStr">
        <is>
          <t>1 × Limonium Pink; 2 × Roses Yellow; 3 × Alstroemeria Pink; 2 × Ruscus Israeli; 2 × Chrysanthemum Spray Lavender; 2 × Mini Carnation Yellow</t>
        </is>
      </c>
      <c r="I190" s="31" t="inlineStr">
        <is>
          <t>1 × Limonium Pink; 2 × Roses Yellow; 3 × Alstroemeria Pink; 2 × Ruscus Israeli; 2 × Chrysanthemum Spray Lavender; 2 × Mini Carnation Yellow</t>
        </is>
      </c>
      <c r="J190" s="30" t="inlineStr">
        <is>
          <t>1 × Limonium Pink; 2 × Roses Yellow; 3 × Alstroemeria Pink; 2 × Ruscus Israeli; 2 × Chrysanthemum Spray Lavender; 2 × Mini Carnation Yellow</t>
        </is>
      </c>
      <c r="K190" s="30" t="inlineStr">
        <is>
          <t>Y</t>
        </is>
      </c>
      <c r="L190" s="30" t="n"/>
      <c r="M190" s="30" t="inlineStr">
        <is>
          <t>A florist-designed bouquet of 3 pink alstroemeria, 2 lavender spray chrysanthemums and 2 yellow roses. Chosen for a birthday, a thank-you or a just-because moment, it is a gift that says you care.</t>
        </is>
      </c>
      <c r="N190" s="30">
        <f>LEN(TRIM(SUBSTITUTE(M190,CHAR(10)," ")))-LEN(SUBSTITUTE(TRIM(SUBSTITUTE(M190,CHAR(10)," "))," ",""))+1</f>
        <v/>
      </c>
      <c r="O190" s="30" t="inlineStr">
        <is>
          <t>&lt;p&gt;A florist-designed bouquet of 3 pink alstroemeria, 2 lavender spray chrysanthemums and 2 yellow roses. Chosen for a birthday, a thank-you or a just-because moment, it is a gift that says you care.&lt;/p&gt;</t>
        </is>
      </c>
      <c r="P190" s="29" t="inlineStr">
        <is>
          <t>ok</t>
        </is>
      </c>
      <c r="Q190" s="30" t="inlineStr">
        <is>
          <t>Simply Sweet brings together 3 pink alstroemeria, 2 lavender spray chrysanthemums and 2 yellow roses. It suits a birthday, a thank-you or a just-because moment.
Yellow tones say friendship and cheer. We hand-arrange each one at Aussie Blooms so it looks the way you pictured it, ready for the kitchen bench.</t>
        </is>
      </c>
      <c r="R190" s="30" t="inlineStr">
        <is>
          <t>&lt;p&gt;Simply Sweet brings together 3 pink alstroemeria, 2 lavender spray chrysanthemums and 2 yellow roses. It suits a birthday, a thank-you or a just-because moment.&lt;/p&gt;&lt;p&gt;Yellow tones say friendship and cheer. We hand-arrange each one at Aussie Blooms so it looks the way you pictured it, ready for the kitchen bench.&lt;/p&gt;</t>
        </is>
      </c>
      <c r="S190" s="29" t="inlineStr">
        <is>
          <t>ok</t>
        </is>
      </c>
      <c r="T190" s="30" t="inlineStr">
        <is>
          <t>Inside the bunch: 3 pink alstroemeria, 2 lavender spray chrysanthemums and 2 yellow roses. Bright on purpose, and hard to walk past without smiling.</t>
        </is>
      </c>
      <c r="U190" s="30" t="inlineStr">
        <is>
          <t>&lt;p&gt;Inside the bunch: 3 pink alstroemeria, 2 lavender spray chrysanthemums and 2 yellow roses. Bright on purpose, and hard to walk past without smiling.&lt;/p&gt;</t>
        </is>
      </c>
      <c r="V190" s="29" t="inlineStr">
        <is>
          <t>ok</t>
        </is>
      </c>
      <c r="W190" s="30" t="n"/>
      <c r="X190" s="30" t="inlineStr">
        <is>
          <t>n/a (Mel's: mason jar products only)</t>
        </is>
      </c>
      <c r="Y190" s="30" t="n"/>
      <c r="Z190" s="48" t="inlineStr">
        <is>
          <t>-</t>
        </is>
      </c>
      <c r="AA190" t="n">
        <v>98</v>
      </c>
      <c r="AB190" s="44" t="n">
        <v>15971.35</v>
      </c>
      <c r="AC190" t="n">
        <v>197</v>
      </c>
      <c r="AD190" s="45" t="n">
        <v>0.001829948552741335</v>
      </c>
      <c r="AE190" s="45" t="n">
        <v>0.004558394373387862</v>
      </c>
      <c r="AF190" t="n">
        <v>45</v>
      </c>
    </row>
    <row r="191" ht="109.5" customHeight="1" s="24">
      <c r="A191" s="30" t="inlineStr">
        <is>
          <t>AU112-11</t>
        </is>
      </c>
      <c r="B191" s="30" t="inlineStr">
        <is>
          <t>Sugar and Spice</t>
        </is>
      </c>
      <c r="C191" s="30" t="inlineStr">
        <is>
          <t>Bouquets</t>
        </is>
      </c>
      <c r="D191" s="43" t="inlineStr">
        <is>
          <t>READY TO REVIEW</t>
        </is>
      </c>
      <c r="E191" s="30" t="inlineStr">
        <is>
          <t>Plush carnations, abundant roses and soft chrysanthemums swirl together in Sugar and Spice, a bouquet brimming with character and warmth. Its rich, layered blooms make a memorable gift for an anniversary, a birthday or a heartfelt congratulations.</t>
        </is>
      </c>
      <c r="F191" s="30" t="inlineStr">
        <is>
          <t>Shopify (28 Sep)</t>
        </is>
      </c>
      <c r="G191" s="30" t="inlineStr">
        <is>
          <t>3 × Roses Pink; 2 × Roses Spray Cream; 1 × Limonium Pink; 3 × Carnation Pink; 2 × Chrysanthemum Button White; 3 × Ruscus Israeli; 2 × Mini Carnations Pink</t>
        </is>
      </c>
      <c r="H191" s="30" t="inlineStr">
        <is>
          <t>3 × Roses Pink; 2 × Roses Spray Cream; 1 × Limonium Pink; 3 × Carnation Pink; 2 × Chrysanthemum Button White; 3 × Ruscus Israeli; 2 × Mini Carnations Pink</t>
        </is>
      </c>
      <c r="I191" s="30" t="inlineStr">
        <is>
          <t>3 × Roses Pink; 2 × Roses Spray Cream; 1 × Limonium Pink; 3 × Carnation Pink; 2 × Chrysanthemum Button White; 3 × Ruscus Israeli; 2 × Mini Carnations Pink</t>
        </is>
      </c>
      <c r="J191" s="30" t="inlineStr">
        <is>
          <t>3 × Carnation Pink; 2 × Mini Carnations Pink; 3 × Ruscus Israeli; 2 × Chrysanthemum Button White; 1 × Limonium Pink; 2 × Roses Spray Cream; 3 × Roses Pink</t>
        </is>
      </c>
      <c r="K191" s="30" t="inlineStr">
        <is>
          <t>Y</t>
        </is>
      </c>
      <c r="L191" s="30" t="n"/>
      <c r="M191" s="30" t="inlineStr">
        <is>
          <t>A hand-arranged bouquet of 3 pink carnations, 3 pink roses and 2 cream spray roses. Chosen for a birthday, a thank-you or a just-because moment, it says you were thinking of them.</t>
        </is>
      </c>
      <c r="N191" s="30">
        <f>LEN(TRIM(SUBSTITUTE(M191,CHAR(10)," ")))-LEN(SUBSTITUTE(TRIM(SUBSTITUTE(M191,CHAR(10)," "))," ",""))+1</f>
        <v/>
      </c>
      <c r="O191" s="30" t="inlineStr">
        <is>
          <t>&lt;p&gt;A hand-arranged bouquet of 3 pink carnations, 3 pink roses and 2 cream spray roses. Chosen for a birthday, a thank-you or a just-because moment, it says you were thinking of them.&lt;/p&gt;</t>
        </is>
      </c>
      <c r="P191" s="29" t="inlineStr">
        <is>
          <t>ok</t>
        </is>
      </c>
      <c r="Q191" s="30" t="inlineStr">
        <is>
          <t>Sugar and Spice brings together 3 pink carnations, 3 pink roses and 2 cream spray roses. It suits a birthday, a thank-you or a just-because moment.
Pink tones say affection. We hand-arrange each one at Aussie Blooms so it looks the way you pictured it, ready for a Sunday lunch.</t>
        </is>
      </c>
      <c r="R191" s="30" t="inlineStr">
        <is>
          <t>&lt;p&gt;Sugar and Spice brings together 3 pink carnations, 3 pink roses and 2 cream spray roses. It suits a birthday, a thank-you or a just-because moment.&lt;/p&gt;&lt;p&gt;Pink tones say affection. We hand-arrange each one at Aussie Blooms so it looks the way you pictured it, ready for a Sunday lunch.&lt;/p&gt;</t>
        </is>
      </c>
      <c r="S191" s="29" t="inlineStr">
        <is>
          <t>ok</t>
        </is>
      </c>
      <c r="T191" s="30" t="inlineStr">
        <is>
          <t>In this bunch: 3 pink carnations, 3 pink roses and 2 cream spray roses. Soft colours that make a quiet room feel looked after.</t>
        </is>
      </c>
      <c r="U191" s="30" t="inlineStr">
        <is>
          <t>&lt;p&gt;In this bunch: 3 pink carnations, 3 pink roses and 2 cream spray roses. Soft colours that make a quiet room feel looked after.&lt;/p&gt;</t>
        </is>
      </c>
      <c r="V191" s="29" t="inlineStr">
        <is>
          <t>ok</t>
        </is>
      </c>
      <c r="W191" s="30" t="n"/>
      <c r="X191" s="30" t="inlineStr">
        <is>
          <t>n/a (Mel's: mason jar products only)</t>
        </is>
      </c>
      <c r="Y191" s="30" t="n"/>
      <c r="Z191" s="48" t="inlineStr">
        <is>
          <t>-</t>
        </is>
      </c>
      <c r="AA191" t="n">
        <v>97</v>
      </c>
      <c r="AB191" s="44" t="n">
        <v>16031.74</v>
      </c>
      <c r="AC191" t="n">
        <v>156</v>
      </c>
      <c r="AD191" s="45" t="n">
        <v>0.001836867970128558</v>
      </c>
      <c r="AE191" s="45" t="n">
        <v>0.00457563061384817</v>
      </c>
      <c r="AF191" t="n">
        <v>44</v>
      </c>
    </row>
    <row r="192" ht="109.5" customHeight="1" s="24">
      <c r="A192" s="30" t="inlineStr">
        <is>
          <t>AU111-22</t>
        </is>
      </c>
      <c r="B192" s="30" t="inlineStr">
        <is>
          <t>Enchanted Cottage</t>
        </is>
      </c>
      <c r="C192" s="30" t="inlineStr">
        <is>
          <t>Bouquets</t>
        </is>
      </c>
      <c r="D192" s="43" t="inlineStr">
        <is>
          <t>READY TO REVIEW</t>
        </is>
      </c>
      <c r="E192" s="30" t="inlineStr">
        <is>
          <t>Fifteen roses and twelve delicate alstroemeria blend into a relaxed, garden-fresh bouquet with cottage charm. Soft and inviting, it's a lovely way to welcome someone home, celebrate a birthday or offer a warm congratulations.</t>
        </is>
      </c>
      <c r="F192" s="30" t="inlineStr">
        <is>
          <t>Shopify (28 Sep)</t>
        </is>
      </c>
      <c r="G192" s="30" t="inlineStr">
        <is>
          <t>3 × Roses White; 1 × Limonium Purple; 2 × Ruscus Israeli; 1 × Eryngium; 3 × Alstroemeria Purple</t>
        </is>
      </c>
      <c r="H192" s="30" t="inlineStr">
        <is>
          <t>3 × Roses White; 1 × Limonium Purple; 2 × Ruscus Israeli; 1 × Eryngium; 3 × Alstroemeria Purple</t>
        </is>
      </c>
      <c r="I192" s="30" t="inlineStr">
        <is>
          <t>3 × Roses White; 1 × Limonium Purple; 2 × Ruscus Israeli; 1 × Eryngium; 3 × Alstroemeria Purple</t>
        </is>
      </c>
      <c r="J192" s="30" t="inlineStr">
        <is>
          <t>2 × Ruscus Israeli; 3 × Alstroemeria Purple; 1 × Eryngium; 1 × Limonium Purple; 3 × Roses White</t>
        </is>
      </c>
      <c r="K192" s="30" t="inlineStr">
        <is>
          <t>Y</t>
        </is>
      </c>
      <c r="L192" s="30" t="n"/>
      <c r="M192" s="30" t="inlineStr">
        <is>
          <t>A hand-arranged bouquet of 3 purple alstroemeria and 3 white roses. A lovely way to mark a birthday, a thank-you or a just-because moment, and a bright moment when the door opens.</t>
        </is>
      </c>
      <c r="N192" s="30">
        <f>LEN(TRIM(SUBSTITUTE(M192,CHAR(10)," ")))-LEN(SUBSTITUTE(TRIM(SUBSTITUTE(M192,CHAR(10)," "))," ",""))+1</f>
        <v/>
      </c>
      <c r="O192" s="30" t="inlineStr">
        <is>
          <t>&lt;p&gt;A hand-arranged bouquet of 3 purple alstroemeria and 3 white roses. A lovely way to mark a birthday, a thank-you or a just-because moment, and a bright moment when the door opens.&lt;/p&gt;</t>
        </is>
      </c>
      <c r="P192" s="29" t="inlineStr">
        <is>
          <t>ok</t>
        </is>
      </c>
      <c r="Q192" s="30" t="inlineStr">
        <is>
          <t>Enchanted Cottage brings together 3 purple alstroemeria and 3 white roses. It suits a birthday, a thank-you or a just-because moment.
Purple tones say admiration. We hand-arrange each one at Aussie Blooms so it looks the way you pictured it, ready for the bedside table.</t>
        </is>
      </c>
      <c r="R192" s="30" t="inlineStr">
        <is>
          <t>&lt;p&gt;Enchanted Cottage brings together 3 purple alstroemeria and 3 white roses. It suits a birthday, a thank-you or a just-because moment.&lt;/p&gt;&lt;p&gt;Purple tones say admiration. We hand-arrange each one at Aussie Blooms so it looks the way you pictured it, ready for the bedside table.&lt;/p&gt;</t>
        </is>
      </c>
      <c r="S192" s="29" t="inlineStr">
        <is>
          <t>ok</t>
        </is>
      </c>
      <c r="T192" s="30" t="inlineStr">
        <is>
          <t>In this bunch: 3 purple alstroemeria and 3 white roses. Soft colours that make a quiet room feel looked after.</t>
        </is>
      </c>
      <c r="U192" s="30" t="inlineStr">
        <is>
          <t>&lt;p&gt;In this bunch: 3 purple alstroemeria and 3 white roses. Soft colours that make a quiet room feel looked after.&lt;/p&gt;</t>
        </is>
      </c>
      <c r="V192" s="29" t="inlineStr">
        <is>
          <t>ok</t>
        </is>
      </c>
      <c r="W192" s="30" t="n"/>
      <c r="X192" s="30" t="inlineStr">
        <is>
          <t>n/a (Mel's: mason jar products only)</t>
        </is>
      </c>
      <c r="Y192" s="30" t="n"/>
      <c r="Z192" s="48" t="inlineStr">
        <is>
          <t>-</t>
        </is>
      </c>
      <c r="AA192" t="n">
        <v>56</v>
      </c>
      <c r="AB192" s="44" t="n">
        <v>39886.95</v>
      </c>
      <c r="AC192" t="n">
        <v>586</v>
      </c>
      <c r="AD192" s="45" t="n">
        <v>0.0045701256040358</v>
      </c>
      <c r="AE192" s="45" t="n">
        <v>0.01138416422030269</v>
      </c>
      <c r="AF192" t="n">
        <v>24</v>
      </c>
    </row>
    <row r="193" ht="109.5" customHeight="1" s="24">
      <c r="A193" s="30" t="inlineStr">
        <is>
          <t>AU111-11</t>
        </is>
      </c>
      <c r="B193" s="30" t="inlineStr">
        <is>
          <t>Colourful Caboodle</t>
        </is>
      </c>
      <c r="C193" s="30" t="inlineStr">
        <is>
          <t>Bouquets</t>
        </is>
      </c>
      <c r="D193" s="43" t="inlineStr">
        <is>
          <t>READY TO REVIEW</t>
        </is>
      </c>
      <c r="E193" s="30" t="inlineStr">
        <is>
          <t>Roses, daisies, chrysanthemums, carnations and bold gerberas burst together in this joyful jumble of colour. Colourful Caboodle is pure happiness in bloom, ideal for congratulations, a cheering get-well wish or a bright welcome to a new home.</t>
        </is>
      </c>
      <c r="F193" s="30" t="inlineStr">
        <is>
          <t>Shopify (28 Sep)</t>
        </is>
      </c>
      <c r="G193" s="30" t="inlineStr">
        <is>
          <t>3 × Roses Yellow; 1 × Daisy poms purple; 1 × Chrysanthemum button Yellow; 2 × Gerbera Daisies Red; 2 × Ruscus Israeli; 2 × Mini Carnations Red</t>
        </is>
      </c>
      <c r="H193" s="30" t="inlineStr">
        <is>
          <t>3 × Roses Yellow; 1 × Daisy poms purple; 1 × Chrysanthemum button Yellow; 2 × Gerbera Daisies Red; 2 × Ruscus Israeli; 2 × Mini Carnations Red</t>
        </is>
      </c>
      <c r="I193" s="30" t="inlineStr">
        <is>
          <t>3 × Roses Yellow; 1 × Daisy poms purple; 1 × Chrysanthemum button Yellow; 2 × Gerbera Daisies Red; 2 × Ruscus Israeli; 2 × Mini Carnations Red</t>
        </is>
      </c>
      <c r="J193" s="30" t="inlineStr">
        <is>
          <t>1 × Chrysanthemum button Yellow; 2 × Mini Carnations Red; 2 × Ruscus Israeli; 2 × Gerbera Daisies Red; 1 × Daisy poms purple; 3 × Roses Yellow</t>
        </is>
      </c>
      <c r="K193" s="30" t="inlineStr">
        <is>
          <t>Y</t>
        </is>
      </c>
      <c r="L193" s="30" t="n"/>
      <c r="M193" s="30" t="inlineStr">
        <is>
          <t>A florist-designed bouquet of 3 yellow roses and 2 red gerberas. A lovely way to mark a birthday, a thank-you or a just-because moment, and a bright moment when the door opens.</t>
        </is>
      </c>
      <c r="N193" s="30">
        <f>LEN(TRIM(SUBSTITUTE(M193,CHAR(10)," ")))-LEN(SUBSTITUTE(TRIM(SUBSTITUTE(M193,CHAR(10)," "))," ",""))+1</f>
        <v/>
      </c>
      <c r="O193" s="30" t="inlineStr">
        <is>
          <t>&lt;p&gt;A florist-designed bouquet of 3 yellow roses and 2 red gerberas. A lovely way to mark a birthday, a thank-you or a just-because moment, and a bright moment when the door opens.&lt;/p&gt;</t>
        </is>
      </c>
      <c r="P193" s="29" t="inlineStr">
        <is>
          <t>ok</t>
        </is>
      </c>
      <c r="Q193" s="30" t="inlineStr">
        <is>
          <t>Colourful Caboodle brings together 3 yellow roses and 2 red gerberas. It suits a birthday, a thank-you or a just-because moment.
Yellow tones say friendship and cheer. We hand-arrange each one at Aussie Blooms so it looks the way you pictured it, ready for the kitchen bench.</t>
        </is>
      </c>
      <c r="R193" s="30" t="inlineStr">
        <is>
          <t>&lt;p&gt;Colourful Caboodle brings together 3 yellow roses and 2 red gerberas. It suits a birthday, a thank-you or a just-because moment.&lt;/p&gt;&lt;p&gt;Yellow tones say friendship and cheer. We hand-arrange each one at Aussie Blooms so it looks the way you pictured it, ready for the kitchen bench.&lt;/p&gt;</t>
        </is>
      </c>
      <c r="S193" s="29" t="inlineStr">
        <is>
          <t>ok</t>
        </is>
      </c>
      <c r="T193" s="30" t="inlineStr">
        <is>
          <t>Inside the bunch: 3 yellow roses and 2 red gerberas. Bright on purpose, and hard to walk past without smiling.</t>
        </is>
      </c>
      <c r="U193" s="30" t="inlineStr">
        <is>
          <t>&lt;p&gt;Inside the bunch: 3 yellow roses and 2 red gerberas. Bright on purpose, and hard to walk past without smiling.&lt;/p&gt;</t>
        </is>
      </c>
      <c r="V193" s="29" t="inlineStr">
        <is>
          <t>ok</t>
        </is>
      </c>
      <c r="W193" s="30" t="n"/>
      <c r="X193" s="30" t="inlineStr">
        <is>
          <t>n/a (Mel's: mason jar products only)</t>
        </is>
      </c>
      <c r="Y193" s="30" t="n"/>
      <c r="Z193" s="48" t="inlineStr">
        <is>
          <t>-</t>
        </is>
      </c>
      <c r="AA193" t="n">
        <v>155</v>
      </c>
      <c r="AB193" s="44" t="n">
        <v>5897.51</v>
      </c>
      <c r="AC193" t="n">
        <v>64</v>
      </c>
      <c r="AD193" s="45" t="n">
        <v>0.0006757187864967658</v>
      </c>
      <c r="AE193" s="45" t="n">
        <v>0.001683212738273479</v>
      </c>
      <c r="AF193" t="n">
        <v>75</v>
      </c>
    </row>
    <row r="194" ht="109.5" customHeight="1" s="24">
      <c r="A194" s="30" t="inlineStr">
        <is>
          <t>AU112-42</t>
        </is>
      </c>
      <c r="B194" s="30" t="inlineStr">
        <is>
          <t>Zesty Bouquet</t>
        </is>
      </c>
      <c r="C194" s="30" t="inlineStr">
        <is>
          <t>Bouquets</t>
        </is>
      </c>
      <c r="D194" s="43" t="inlineStr">
        <is>
          <t>READY TO REVIEW</t>
        </is>
      </c>
      <c r="E194" s="30" t="inlineStr">
        <is>
          <t>Carnations and chrysanthemums frame an abundance of roses in this lively, citrus-bright arrangement. Zesty Bouquet brings instant energy and good cheer, making it a wonderful way to celebrate a birthday, offer congratulations or lift someone's spirits.</t>
        </is>
      </c>
      <c r="F194" s="30" t="inlineStr">
        <is>
          <t>Shopify (28 Sep)</t>
        </is>
      </c>
      <c r="G194" s="30" t="inlineStr">
        <is>
          <t>1 × Roses Coral; 6 × Roses Orange; 2 × Chrysanthemum button Yellow; 3 × Carnation Yellow; 3 × Ruscus Israeli</t>
        </is>
      </c>
      <c r="H194" s="30" t="inlineStr">
        <is>
          <t>1 × Roses Coral; 6 × Roses Orange; 2 × Chrysanthemum button Yellow; 3 × Carnation Yellow; 3 × Ruscus Israeli</t>
        </is>
      </c>
      <c r="I194" s="30" t="inlineStr">
        <is>
          <t>1 × Roses Coral; 6 × Roses Orange; 2 × Chrysanthemum button Yellow; 3 × Carnation Yellow; 3 × Ruscus Israeli</t>
        </is>
      </c>
      <c r="J194" s="30" t="inlineStr">
        <is>
          <t>2 × Chrysanthemum button Yellow; 3 × Ruscus Israeli; 3 × Carnation Yellow; 6 × Roses Orange; 1 × Roses Coral</t>
        </is>
      </c>
      <c r="K194" s="30" t="inlineStr">
        <is>
          <t>Y</t>
        </is>
      </c>
      <c r="L194" s="30" t="n"/>
      <c r="M194" s="30" t="inlineStr">
        <is>
          <t>A fresh arrangement of 6 orange roses, 3 yellow carnations and 1 coral rose. A lovely way to mark a birthday, a thank-you or a just-because moment, and a bright moment when the door opens.</t>
        </is>
      </c>
      <c r="N194" s="30">
        <f>LEN(TRIM(SUBSTITUTE(M194,CHAR(10)," ")))-LEN(SUBSTITUTE(TRIM(SUBSTITUTE(M194,CHAR(10)," "))," ",""))+1</f>
        <v/>
      </c>
      <c r="O194" s="30" t="inlineStr">
        <is>
          <t>&lt;p&gt;A fresh arrangement of 6 orange roses, 3 yellow carnations and 1 coral rose. A lovely way to mark a birthday, a thank-you or a just-because moment, and a bright moment when the door opens.&lt;/p&gt;</t>
        </is>
      </c>
      <c r="P194" s="29" t="inlineStr">
        <is>
          <t>ok</t>
        </is>
      </c>
      <c r="Q194" s="30" t="inlineStr">
        <is>
          <t>Zesty Bouquet brings together 6 orange roses, 3 yellow carnations and 1 coral rose. It suits a birthday, a thank-you or a just-because moment.
Orange tones say warmth and energy. We hand-arrange each one at Aussie Blooms so it looks the way you pictured it, ready for the bedside table.</t>
        </is>
      </c>
      <c r="R194" s="30" t="inlineStr">
        <is>
          <t>&lt;p&gt;Zesty Bouquet brings together 6 orange roses, 3 yellow carnations and 1 coral rose. It suits a birthday, a thank-you or a just-because moment.&lt;/p&gt;&lt;p&gt;Orange tones say warmth and energy. We hand-arrange each one at Aussie Blooms so it looks the way you pictured it, ready for the bedside table.&lt;/p&gt;</t>
        </is>
      </c>
      <c r="S194" s="29" t="inlineStr">
        <is>
          <t>ok</t>
        </is>
      </c>
      <c r="T194" s="30" t="inlineStr">
        <is>
          <t>The bunch holds: 6 orange roses, 3 yellow carnations and 1 coral rose. Enough colour to turn an ordinary bench into the best spot in the house.</t>
        </is>
      </c>
      <c r="U194" s="30" t="inlineStr">
        <is>
          <t>&lt;p&gt;The bunch holds: 6 orange roses, 3 yellow carnations and 1 coral rose. Enough colour to turn an ordinary bench into the best spot in the house.&lt;/p&gt;</t>
        </is>
      </c>
      <c r="V194" s="29" t="inlineStr">
        <is>
          <t>ok</t>
        </is>
      </c>
      <c r="W194" s="30" t="n"/>
      <c r="X194" s="30" t="inlineStr">
        <is>
          <t>n/a (Mel's: mason jar products only)</t>
        </is>
      </c>
      <c r="Y194" s="30" t="n"/>
      <c r="Z194" s="48" t="inlineStr">
        <is>
          <t>-</t>
        </is>
      </c>
      <c r="AA194" t="n">
        <v>179</v>
      </c>
      <c r="AB194" s="44" t="n">
        <v>3587.7</v>
      </c>
      <c r="AC194" t="n">
        <v>32</v>
      </c>
      <c r="AD194" s="45" t="n">
        <v>0.0004110678856048117</v>
      </c>
      <c r="AE194" s="45" t="n">
        <v>0.001023968424693896</v>
      </c>
      <c r="AF194" t="n">
        <v>89</v>
      </c>
    </row>
    <row r="195" ht="109.5" customHeight="1" s="24">
      <c r="A195" s="30" t="inlineStr">
        <is>
          <t>AU100-26</t>
        </is>
      </c>
      <c r="B195" s="30" t="inlineStr">
        <is>
          <t>Gerber Brights</t>
        </is>
      </c>
      <c r="C195" s="30" t="inlineStr">
        <is>
          <t>Bouquets</t>
        </is>
      </c>
      <c r="D195" s="43" t="inlineStr">
        <is>
          <t>READY TO REVIEW</t>
        </is>
      </c>
      <c r="E195" s="30" t="inlineStr">
        <is>
          <t>Thirty-three bright gerberas packed together in a dazzling display of pure, sunny colour. Bold and cheerful, it's a guaranteed smile for a birthday, a congratulations, or sending someone get-well warmth.</t>
        </is>
      </c>
      <c r="F195" s="30" t="inlineStr">
        <is>
          <t>Shopify (28 Sep)</t>
        </is>
      </c>
      <c r="G195" s="30" t="inlineStr">
        <is>
          <t>8 × Gerbera Daisies assorted; 2 × Ruscus Israeli</t>
        </is>
      </c>
      <c r="H195" s="30" t="inlineStr">
        <is>
          <t>8 × Gerbera Daisies assorted; 2 × Ruscus Israeli</t>
        </is>
      </c>
      <c r="I195" s="30" t="inlineStr">
        <is>
          <t>8 × Gerbera Daisies assorted; 2 × Ruscus Israeli</t>
        </is>
      </c>
      <c r="J195" s="30" t="inlineStr">
        <is>
          <t>8 × Gerbera Daisies assorted; 2 × Ruscus Israeli</t>
        </is>
      </c>
      <c r="K195" s="30" t="inlineStr">
        <is>
          <t>Y</t>
        </is>
      </c>
      <c r="L195" s="30" t="n"/>
      <c r="M195" s="30" t="inlineStr">
        <is>
          <t>A florist-designed bouquet of 8 assorted-colour gerberas. Chosen for a birthday, a thank-you or a just-because moment, it says you were thinking of them.</t>
        </is>
      </c>
      <c r="N195" s="30">
        <f>LEN(TRIM(SUBSTITUTE(M195,CHAR(10)," ")))-LEN(SUBSTITUTE(TRIM(SUBSTITUTE(M195,CHAR(10)," "))," ",""))+1</f>
        <v/>
      </c>
      <c r="O195" s="30" t="inlineStr">
        <is>
          <t>&lt;p&gt;A florist-designed bouquet of 8 assorted-colour gerberas. Chosen for a birthday, a thank-you or a just-because moment, it says you were thinking of them.&lt;/p&gt;</t>
        </is>
      </c>
      <c r="P195" s="29" t="inlineStr">
        <is>
          <t>ok</t>
        </is>
      </c>
      <c r="Q195" s="30" t="inlineStr">
        <is>
          <t>Gerber Brights brings together 8 assorted-colour gerberas. It suits a birthday, a thank-you or a just-because moment.
Mixed colours say thoughtfulness. We hand-arrange each one at Aussie Blooms so it looks the way you pictured it, ready for a Sunday lunch.</t>
        </is>
      </c>
      <c r="R195" s="30" t="inlineStr">
        <is>
          <t>&lt;p&gt;Gerber Brights brings together 8 assorted-colour gerberas. It suits a birthday, a thank-you or a just-because moment.&lt;/p&gt;&lt;p&gt;Mixed colours say thoughtfulness. We hand-arrange each one at Aussie Blooms so it looks the way you pictured it, ready for a Sunday lunch.&lt;/p&gt;</t>
        </is>
      </c>
      <c r="S195" s="29" t="inlineStr">
        <is>
          <t>ok</t>
        </is>
      </c>
      <c r="T195" s="30" t="inlineStr">
        <is>
          <t>Inside the bunch: 8 assorted-colour gerberas. Made for the moment someone opens the door and smiles.</t>
        </is>
      </c>
      <c r="U195" s="30" t="inlineStr">
        <is>
          <t>&lt;p&gt;Inside the bunch: 8 assorted-colour gerberas. Made for the moment someone opens the door and smiles.&lt;/p&gt;</t>
        </is>
      </c>
      <c r="V195" s="29" t="inlineStr">
        <is>
          <t>ok</t>
        </is>
      </c>
      <c r="W195" s="30" t="n"/>
      <c r="X195" s="30" t="inlineStr">
        <is>
          <t>n/a (Mel's: mason jar products only)</t>
        </is>
      </c>
      <c r="Y195" s="30" t="n"/>
      <c r="Z195" s="48" t="inlineStr">
        <is>
          <t>-</t>
        </is>
      </c>
      <c r="AA195" t="n">
        <v>101</v>
      </c>
      <c r="AB195" s="44" t="n">
        <v>15431.18</v>
      </c>
      <c r="AC195" t="n">
        <v>178</v>
      </c>
      <c r="AD195" s="45" t="n">
        <v>0.001768057514506222</v>
      </c>
      <c r="AE195" s="45" t="n">
        <v>0.004404224049838909</v>
      </c>
      <c r="AF195" t="n">
        <v>48</v>
      </c>
    </row>
    <row r="196" ht="109.5" customHeight="1" s="24">
      <c r="A196" s="30" t="inlineStr">
        <is>
          <t>AU112-24</t>
        </is>
      </c>
      <c r="B196" s="30" t="inlineStr">
        <is>
          <t>Fabulous Bouquet</t>
        </is>
      </c>
      <c r="C196" s="30" t="inlineStr">
        <is>
          <t>Bouquets</t>
        </is>
      </c>
      <c r="D196" s="43" t="inlineStr">
        <is>
          <t>READY TO REVIEW</t>
        </is>
      </c>
      <c r="E196" s="30" t="inlineStr">
        <is>
          <t>Elegant lilies and roses join ruffled carnations and soft chrysanthemums in this truly Fabulous Bouquet. Refined and full of presence, it is a striking choice for an anniversary, a proud graduation or a just-because gesture that feels wonderfully generous.</t>
        </is>
      </c>
      <c r="F196" s="30" t="inlineStr">
        <is>
          <t>Shopify (28 Sep)</t>
        </is>
      </c>
      <c r="G196" s="30" t="inlineStr">
        <is>
          <t>2 × Roses Red; 3 × Carnation Red; 1 × Chrysanthemum Spray White; 1 × Baby's Breath; 3 × Ruscus Israeli; 1 × Mini Carnations Pink</t>
        </is>
      </c>
      <c r="H196" s="30" t="inlineStr">
        <is>
          <t>2 × Roses Red; 3 × Carnation Red; 1 × Chrysanthemum Spray White; 1 × Baby's Breath; 3 × Ruscus Israeli; 1 × Mini Carnations Pink</t>
        </is>
      </c>
      <c r="I196" s="30" t="inlineStr">
        <is>
          <t>2 × Roses Red; 3 × Carnation Red; 1 × Chrysanthemum Spray White; 1 × Baby's Breath; 3 × Ruscus Israeli; 1 × Mini Carnations Pink</t>
        </is>
      </c>
      <c r="J196" s="30" t="inlineStr">
        <is>
          <t>1 × Chrysanthemum Spray White; 1 × Mini Carnations Pink; 3 × Ruscus Israeli; 1 × Baby's Breath; 3 × Carnation Red; 2 × Roses Red</t>
        </is>
      </c>
      <c r="K196" s="30" t="inlineStr">
        <is>
          <t>Y</t>
        </is>
      </c>
      <c r="L196" s="30" t="n"/>
      <c r="M196" s="30" t="inlineStr">
        <is>
          <t>A florist-designed bouquet of 3 red carnations, 2 red roses and 1 white spray chrysanthemum. A lovely way to mark an anniversary or a thank-you, and a bright moment when the door opens.</t>
        </is>
      </c>
      <c r="N196" s="30">
        <f>LEN(TRIM(SUBSTITUTE(M196,CHAR(10)," ")))-LEN(SUBSTITUTE(TRIM(SUBSTITUTE(M196,CHAR(10)," "))," ",""))+1</f>
        <v/>
      </c>
      <c r="O196" s="30" t="inlineStr">
        <is>
          <t>&lt;p&gt;A florist-designed bouquet of 3 red carnations, 2 red roses and 1 white spray chrysanthemum. A lovely way to mark an anniversary or a thank-you, and a bright moment when the door opens.&lt;/p&gt;</t>
        </is>
      </c>
      <c r="P196" s="29" t="inlineStr">
        <is>
          <t>ok</t>
        </is>
      </c>
      <c r="Q196" s="30" t="inlineStr">
        <is>
          <t>Fabulous Bouquet brings together 3 red carnations, 2 red roses and 1 white spray chrysanthemum. It suits an anniversary or a thank-you.
Red tones say love and devotion. We hand-arrange each one at Aussie Blooms so it looks the way you pictured it, ready for a Sunday lunch.</t>
        </is>
      </c>
      <c r="R196" s="30" t="inlineStr">
        <is>
          <t>&lt;p&gt;Fabulous Bouquet brings together 3 red carnations, 2 red roses and 1 white spray chrysanthemum. It suits an anniversary or a thank-you.&lt;/p&gt;&lt;p&gt;Red tones say love and devotion. We hand-arrange each one at Aussie Blooms so it looks the way you pictured it, ready for a Sunday lunch.&lt;/p&gt;</t>
        </is>
      </c>
      <c r="S196" s="29" t="inlineStr">
        <is>
          <t>ok</t>
        </is>
      </c>
      <c r="T196" s="30" t="inlineStr">
        <is>
          <t>Inside the bunch: 3 red carnations, 2 red roses and 1 white spray chrysanthemum. Say it with flowers, and let the flowers do the talking.</t>
        </is>
      </c>
      <c r="U196" s="30" t="inlineStr">
        <is>
          <t>&lt;p&gt;Inside the bunch: 3 red carnations, 2 red roses and 1 white spray chrysanthemum. Say it with flowers, and let the flowers do the talking.&lt;/p&gt;</t>
        </is>
      </c>
      <c r="V196" s="29" t="inlineStr">
        <is>
          <t>ok</t>
        </is>
      </c>
      <c r="W196" s="30" t="n"/>
      <c r="X196" s="30" t="inlineStr">
        <is>
          <t>n/a (Mel's: mason jar products only)</t>
        </is>
      </c>
      <c r="Y196" s="30" t="n"/>
      <c r="Z196" s="48" t="inlineStr">
        <is>
          <t>-</t>
        </is>
      </c>
      <c r="AA196" t="n">
        <v>114</v>
      </c>
      <c r="AB196" s="44" t="n">
        <v>11282.24</v>
      </c>
      <c r="AC196" t="n">
        <v>136</v>
      </c>
      <c r="AD196" s="45" t="n">
        <v>0.001292684797781652</v>
      </c>
      <c r="AE196" s="45" t="n">
        <v>0.003220072553375674</v>
      </c>
      <c r="AF196" t="n">
        <v>54</v>
      </c>
    </row>
    <row r="197" ht="109.5" customHeight="1" s="24">
      <c r="A197" s="30" t="inlineStr">
        <is>
          <t>AU100-47</t>
        </is>
      </c>
      <c r="B197" s="30" t="inlineStr">
        <is>
          <t>Wonderous Wishes</t>
        </is>
      </c>
      <c r="C197" s="30" t="inlineStr">
        <is>
          <t>Bouquets</t>
        </is>
      </c>
      <c r="D197" s="43" t="inlineStr">
        <is>
          <t>READY TO REVIEW</t>
        </is>
      </c>
      <c r="E197" s="30" t="inlineStr">
        <is>
          <t>Bold gerberas, classic roses, delicate alstroemeria and soft chrysanthemums come together in Wonderous Wishes, a bouquet that radiates warmth and goodwill. It is a heartfelt way to say congratulations, send a get-well wish or welcome someone home.</t>
        </is>
      </c>
      <c r="F197" s="30" t="inlineStr">
        <is>
          <t>Shopify (28 Sep)</t>
        </is>
      </c>
      <c r="G197" s="30" t="inlineStr">
        <is>
          <t>2 × Roses Orange; 2 × Gerbera Daisies Hot Pink; 1 × Limonium Purple; 2 × Chrysanthemum Spray purple; 1 × Eryngium; 2 × Ruscus Israeli; 1 × Alstroemeria Pink</t>
        </is>
      </c>
      <c r="H197" s="30" t="inlineStr">
        <is>
          <t>2 × Roses Orange; 2 × Gerbera Daisies Hot Pink; 1 × Limonium Purple; 2 × Chrysanthemum Spray purple; 1 × Eryngium; 2 × Ruscus Israeli; 1 × Alstroemeria Pink</t>
        </is>
      </c>
      <c r="I197" s="30" t="inlineStr">
        <is>
          <t>2 × Roses Orange; 2 × Gerbera Daisies Hot Pink; 1 × Limonium Purple; 2 × Chrysanthemum Spray purple; 1 × Eryngium; 2 × Ruscus Israeli; 1 × Alstroemeria Pink</t>
        </is>
      </c>
      <c r="J197" s="30" t="inlineStr">
        <is>
          <t>2 × Chrysanthemum Spray purple; 1 × Alstroemeria Pink; 2 × Ruscus Israeli; 1 × Eryngium; 1 × Limonium Purple; 2 × Gerbera Daisies Hot Pink; 2 × Roses Orange</t>
        </is>
      </c>
      <c r="K197" s="30" t="inlineStr">
        <is>
          <t>Y</t>
        </is>
      </c>
      <c r="L197" s="30" t="n"/>
      <c r="M197" s="30" t="inlineStr">
        <is>
          <t>A florist-designed bouquet of 2 hot pink gerberas, 2 orange roses, 2 purple spray chrysanthemums and 1 pink alstroemeria. Chosen for a birthday, a thank-you or a just-because moment, it says you were thinking of them.</t>
        </is>
      </c>
      <c r="N197" s="30">
        <f>LEN(TRIM(SUBSTITUTE(M197,CHAR(10)," ")))-LEN(SUBSTITUTE(TRIM(SUBSTITUTE(M197,CHAR(10)," "))," ",""))+1</f>
        <v/>
      </c>
      <c r="O197" s="30" t="inlineStr">
        <is>
          <t>&lt;p&gt;A florist-designed bouquet of 2 hot pink gerberas, 2 orange roses, 2 purple spray chrysanthemums and 1 pink alstroemeria. Chosen for a birthday, a thank-you or a just-because moment, it says you were thinking of them.&lt;/p&gt;</t>
        </is>
      </c>
      <c r="P197" s="29" t="inlineStr">
        <is>
          <t>ok</t>
        </is>
      </c>
      <c r="Q197" s="30" t="inlineStr">
        <is>
          <t>Wonderous Wishes brings together 2 hot pink gerberas, 2 orange roses, 2 purple spray chrysanthemums and 1 pink alstroemeria. It suits a birthday, a thank-you or a just-because moment.
Hot pink tones say a bold, happy affection. We hand-arrange each one at Aussie Blooms so it looks the way you pictured it, ready for a summer table.</t>
        </is>
      </c>
      <c r="R197" s="30" t="inlineStr">
        <is>
          <t>&lt;p&gt;Wonderous Wishes brings together 2 hot pink gerberas, 2 orange roses, 2 purple spray chrysanthemums and 1 pink alstroemeria. It suits a birthday, a thank-you or a just-because moment.&lt;/p&gt;&lt;p&gt;Hot pink tones say a bold, happy affection. We hand-arrange each one at Aussie Blooms so it looks the way you pictured it, ready for a summer table.&lt;/p&gt;</t>
        </is>
      </c>
      <c r="S197" s="29" t="inlineStr">
        <is>
          <t>ok</t>
        </is>
      </c>
      <c r="T197" s="30" t="inlineStr">
        <is>
          <t>Inside the bunch: 2 hot pink gerberas, 2 orange roses, 2 purple spray chrysanthemums and 1 pink alstroemeria. Bright on purpose, and hard to walk past without smiling.</t>
        </is>
      </c>
      <c r="U197" s="30" t="inlineStr">
        <is>
          <t>&lt;p&gt;Inside the bunch: 2 hot pink gerberas, 2 orange roses, 2 purple spray chrysanthemums and 1 pink alstroemeria. Bright on purpose, and hard to walk past without smiling.&lt;/p&gt;</t>
        </is>
      </c>
      <c r="V197" s="29" t="inlineStr">
        <is>
          <t>ok</t>
        </is>
      </c>
      <c r="W197" s="30" t="n"/>
      <c r="X197" s="30" t="inlineStr">
        <is>
          <t>n/a (Mel's: mason jar products only)</t>
        </is>
      </c>
      <c r="Y197" s="30" t="n"/>
      <c r="Z197" s="48" t="inlineStr">
        <is>
          <t>-</t>
        </is>
      </c>
      <c r="AA197" t="n">
        <v>88</v>
      </c>
      <c r="AB197" s="44" t="n">
        <v>18427.67</v>
      </c>
      <c r="AC197" t="n">
        <v>221</v>
      </c>
      <c r="AD197" s="45" t="n">
        <v>0.002111386926556801</v>
      </c>
      <c r="AE197" s="45" t="n">
        <v>0.005259456213478398</v>
      </c>
      <c r="AF197" t="n">
        <v>37</v>
      </c>
    </row>
    <row r="198" ht="109.5" customHeight="1" s="24">
      <c r="A198" s="30" t="inlineStr">
        <is>
          <t>AU111-48</t>
        </is>
      </c>
      <c r="B198" s="30" t="inlineStr">
        <is>
          <t>Rose Orchestra</t>
        </is>
      </c>
      <c r="C198" s="30" t="inlineStr">
        <is>
          <t>Bouquets</t>
        </is>
      </c>
      <c r="D198" s="43" t="inlineStr">
        <is>
          <t>READY TO REVIEW</t>
        </is>
      </c>
      <c r="E198" s="30" t="inlineStr">
        <is>
          <t>Rose Orchestra is a generous rose arrangement for romance, anniversaries, and standout surprises. Choose it when you want the gift to feel full, expressive, and unmistakably floral. 
 Forty-seven roses create a rich, layered rose presentation. 
 Best suited to love messages, milestone dates, and grand gestures. 
 The scale gives the arrangement strong visual impact on arrival. 
 Confirm recipient details and add your card message at checkout.</t>
        </is>
      </c>
      <c r="F198" s="30" t="inlineStr">
        <is>
          <t>Shopify (28 Sep)</t>
        </is>
      </c>
      <c r="G198" s="30" t="inlineStr">
        <is>
          <t>1 × Roses Spray Pink; 6 × Roses Red; 3 × Roses Pink; 1 × Roses Spray White; 2 × Baby's Breath; 2 × Ruscus Israeli</t>
        </is>
      </c>
      <c r="H198" s="30" t="inlineStr">
        <is>
          <t>1 × Roses Spray Pink; 6 × Roses Red; 3 × Roses Pink; 1 × Roses Spray White; 2 × Baby's Breath; 2 × Ruscus Israeli</t>
        </is>
      </c>
      <c r="I198" s="30" t="inlineStr">
        <is>
          <t>1 × Roses Spray Pink; 6 × Roses Red; 3 × Roses Pink; 1 × Roses Spray White; 2 × Baby's Breath; 2 × Ruscus Israeli</t>
        </is>
      </c>
      <c r="J198" s="30" t="inlineStr">
        <is>
          <t>3 × Roses Pink; 2 × Ruscus Israeli; 2 × Baby's Breath; 1 × Roses Spray White; 6 × Roses Red; 1 × Roses Spray Pink</t>
        </is>
      </c>
      <c r="K198" s="30" t="inlineStr">
        <is>
          <t>Y</t>
        </is>
      </c>
      <c r="L198" s="30" t="n"/>
      <c r="M198" s="30" t="inlineStr">
        <is>
          <t>A florist-designed bouquet of 6 red roses, 3 pink roses, 1 pink spray rose and 1 white spray rose. Chosen for an anniversary or a thank-you, it is a gift that says you care.</t>
        </is>
      </c>
      <c r="N198" s="30">
        <f>LEN(TRIM(SUBSTITUTE(M198,CHAR(10)," ")))-LEN(SUBSTITUTE(TRIM(SUBSTITUTE(M198,CHAR(10)," "))," ",""))+1</f>
        <v/>
      </c>
      <c r="O198" s="30" t="inlineStr">
        <is>
          <t>&lt;p&gt;A florist-designed bouquet of 6 red roses, 3 pink roses, 1 pink spray rose and 1 white spray rose. Chosen for an anniversary or a thank-you, it is a gift that says you care.&lt;/p&gt;</t>
        </is>
      </c>
      <c r="P198" s="29" t="inlineStr">
        <is>
          <t>ok</t>
        </is>
      </c>
      <c r="Q198" s="30" t="inlineStr">
        <is>
          <t>Rose Orchestra brings together 6 red roses, 3 pink roses, 1 pink spray rose and 1 white spray rose. It suits an anniversary or a thank-you.
Red tones say love and devotion. We hand-arrange each one at Aussie Blooms so it looks the way you pictured it, ready for a Sunday lunch.</t>
        </is>
      </c>
      <c r="R198" s="30" t="inlineStr">
        <is>
          <t>&lt;p&gt;Rose Orchestra brings together 6 red roses, 3 pink roses, 1 pink spray rose and 1 white spray rose. It suits an anniversary or a thank-you.&lt;/p&gt;&lt;p&gt;Red tones say love and devotion. We hand-arrange each one at Aussie Blooms so it looks the way you pictured it, ready for a Sunday lunch.&lt;/p&gt;</t>
        </is>
      </c>
      <c r="S198" s="29" t="inlineStr">
        <is>
          <t>ok</t>
        </is>
      </c>
      <c r="T198" s="30" t="inlineStr">
        <is>
          <t>Inside the bunch: 6 red roses, 3 pink roses, 1 pink spray rose and 1 white spray rose. Say it with flowers, and let the flowers do the talking.</t>
        </is>
      </c>
      <c r="U198" s="30" t="inlineStr">
        <is>
          <t>&lt;p&gt;Inside the bunch: 6 red roses, 3 pink roses, 1 pink spray rose and 1 white spray rose. Say it with flowers, and let the flowers do the talking.&lt;/p&gt;</t>
        </is>
      </c>
      <c r="V198" s="29" t="inlineStr">
        <is>
          <t>ok</t>
        </is>
      </c>
      <c r="W198" s="30" t="n"/>
      <c r="X198" s="30" t="inlineStr">
        <is>
          <t>n/a (Mel's: mason jar products only)</t>
        </is>
      </c>
      <c r="Y198" s="30" t="n"/>
      <c r="Z198" s="48" t="inlineStr">
        <is>
          <t>-</t>
        </is>
      </c>
      <c r="AA198" t="n">
        <v>204</v>
      </c>
      <c r="AB198" s="44" t="n">
        <v>2424.62</v>
      </c>
      <c r="AC198" t="n">
        <v>24</v>
      </c>
      <c r="AD198" s="45" t="n">
        <v>0.0002778055966188762</v>
      </c>
      <c r="AE198" s="45" t="n">
        <v>0.0006920126069260826</v>
      </c>
      <c r="AF198" t="n">
        <v>110</v>
      </c>
    </row>
    <row r="199" ht="109.5" customHeight="1" s="24">
      <c r="A199" s="30" t="inlineStr">
        <is>
          <t>AU111-93</t>
        </is>
      </c>
      <c r="B199" s="30" t="inlineStr">
        <is>
          <t>Pink and Cream Bouquet</t>
        </is>
      </c>
      <c r="C199" s="30" t="inlineStr">
        <is>
          <t>Bouquets</t>
        </is>
      </c>
      <c r="D199" s="43" t="inlineStr">
        <is>
          <t>READY TO REVIEW</t>
        </is>
      </c>
      <c r="E199" s="30" t="inlineStr">
        <is>
          <t>Thirty-seven roses in tender pinks and creams create a bouquet of pure, romantic elegance. Soft, abundant and beautifully timeless, it makes a luxurious gift for an anniversary, a milestone birthday or simply to show someone how much they mean to you.</t>
        </is>
      </c>
      <c r="F199" s="30" t="inlineStr">
        <is>
          <t>Shopify (28 Sep)</t>
        </is>
      </c>
      <c r="G199" s="30" t="inlineStr">
        <is>
          <t>2 × Roses light pink; 3 × Roses Pink; 3 × Roses Cream; 2 × Baby's Breath; 2 × Ruscus Israeli</t>
        </is>
      </c>
      <c r="H199" s="30" t="inlineStr">
        <is>
          <t>2 × Roses light pink; 3 × Roses Pink; 3 × Roses Cream; 2 × Baby's Breath; 2 × Ruscus Israeli</t>
        </is>
      </c>
      <c r="I199" s="30" t="inlineStr">
        <is>
          <t>2 × Roses light pink; 3 × Roses Pink; 3 × Roses Cream; 2 × Baby's Breath; 2 × Ruscus Israeli</t>
        </is>
      </c>
      <c r="J199" s="30" t="inlineStr">
        <is>
          <t>3 × Roses Cream; 2 × Ruscus Israeli; 2 × Baby's Breath; 3 × Roses Pink; 2 × Roses light pink</t>
        </is>
      </c>
      <c r="K199" s="30" t="inlineStr">
        <is>
          <t>Y</t>
        </is>
      </c>
      <c r="L199" s="30" t="n"/>
      <c r="M199" s="30" t="inlineStr">
        <is>
          <t>A hand-arranged bouquet of 3 cream roses, 3 pink roses and 2 light pink roses. Chosen for a birthday, a thank-you or a just-because moment, it says you were thinking of them.</t>
        </is>
      </c>
      <c r="N199" s="30">
        <f>LEN(TRIM(SUBSTITUTE(M199,CHAR(10)," ")))-LEN(SUBSTITUTE(TRIM(SUBSTITUTE(M199,CHAR(10)," "))," ",""))+1</f>
        <v/>
      </c>
      <c r="O199" s="30" t="inlineStr">
        <is>
          <t>&lt;p&gt;A hand-arranged bouquet of 3 cream roses, 3 pink roses and 2 light pink roses. Chosen for a birthday, a thank-you or a just-because moment, it says you were thinking of them.&lt;/p&gt;</t>
        </is>
      </c>
      <c r="P199" s="29" t="inlineStr">
        <is>
          <t>ok</t>
        </is>
      </c>
      <c r="Q199" s="30" t="inlineStr">
        <is>
          <t>Pink and Cream Bouquet brings together 3 cream roses, 3 pink roses and 2 light pink roses. It suits a birthday, a thank-you or a just-because moment.
Cream tones say quiet warmth. We hand-arrange each one at Aussie Blooms so it looks the way you pictured it, ready for a summer table.</t>
        </is>
      </c>
      <c r="R199" s="30" t="inlineStr">
        <is>
          <t>&lt;p&gt;Pink and Cream Bouquet brings together 3 cream roses, 3 pink roses and 2 light pink roses. It suits a birthday, a thank-you or a just-because moment.&lt;/p&gt;&lt;p&gt;Cream tones say quiet warmth. We hand-arrange each one at Aussie Blooms so it looks the way you pictured it, ready for a summer table.&lt;/p&gt;</t>
        </is>
      </c>
      <c r="S199" s="29" t="inlineStr">
        <is>
          <t>ok</t>
        </is>
      </c>
      <c r="T199" s="30" t="inlineStr">
        <is>
          <t>In this bunch: 3 cream roses, 3 pink roses and 2 light pink roses. Soft colours that make a quiet room feel looked after.</t>
        </is>
      </c>
      <c r="U199" s="30" t="inlineStr">
        <is>
          <t>&lt;p&gt;In this bunch: 3 cream roses, 3 pink roses and 2 light pink roses. Soft colours that make a quiet room feel looked after.&lt;/p&gt;</t>
        </is>
      </c>
      <c r="V199" s="29" t="inlineStr">
        <is>
          <t>ok</t>
        </is>
      </c>
      <c r="W199" s="30" t="n"/>
      <c r="X199" s="30" t="inlineStr">
        <is>
          <t>n/a (Mel's: mason jar products only)</t>
        </is>
      </c>
      <c r="Y199" s="30" t="n"/>
      <c r="Z199" s="48" t="inlineStr">
        <is>
          <t>-</t>
        </is>
      </c>
      <c r="AA199" t="n">
        <v>118</v>
      </c>
      <c r="AB199" s="44" t="n">
        <v>10648.56</v>
      </c>
      <c r="AC199" t="n">
        <v>118</v>
      </c>
      <c r="AD199" s="45" t="n">
        <v>0.001220079667713662</v>
      </c>
      <c r="AE199" s="45" t="n">
        <v>0.003039213470815554</v>
      </c>
      <c r="AF199" t="n">
        <v>55</v>
      </c>
    </row>
    <row r="200" ht="109.5" customHeight="1" s="24">
      <c r="A200" s="30" t="inlineStr">
        <is>
          <t>AU112-18</t>
        </is>
      </c>
      <c r="B200" s="30" t="inlineStr">
        <is>
          <t>Forever Beloved</t>
        </is>
      </c>
      <c r="C200" s="30" t="inlineStr">
        <is>
          <t>Bouquets</t>
        </is>
      </c>
      <c r="D200" s="43" t="inlineStr">
        <is>
          <t>READY TO REVIEW</t>
        </is>
      </c>
      <c r="E200" s="30" t="inlineStr">
        <is>
          <t>Eighty-seven roses gathered in glorious abundance, Forever Beloved is the most profound expression of enduring love. Lavish and deeply moving, it speaks of devotion that never fades, offering heartfelt comfort and a fitting tribute in moments of loss.</t>
        </is>
      </c>
      <c r="F200" s="30" t="inlineStr">
        <is>
          <t>Shopify (28 Sep)</t>
        </is>
      </c>
      <c r="G200" s="30" t="inlineStr">
        <is>
          <t>25 × Roses Red; 3 × Baby's Breath; 4 × Ruscus Israeli</t>
        </is>
      </c>
      <c r="H200" s="30" t="inlineStr">
        <is>
          <t>25 × Roses Red; 3 × Baby's Breath; 4 × Ruscus Israeli</t>
        </is>
      </c>
      <c r="I200" s="30" t="inlineStr">
        <is>
          <t>25 × Roses Red; 3 × Baby's Breath; 4 × Ruscus Israeli</t>
        </is>
      </c>
      <c r="J200" s="30" t="inlineStr">
        <is>
          <t>4 × Ruscus Israeli; 3 × Baby's Breath; 25 × Roses Red</t>
        </is>
      </c>
      <c r="K200" s="30" t="inlineStr">
        <is>
          <t>Y</t>
        </is>
      </c>
      <c r="L200" s="30" t="n"/>
      <c r="M200" s="30" t="inlineStr">
        <is>
          <t>A hand-arranged bouquet of 25 red roses. A lovely way to mark an anniversary or a thank-you, and a bright moment when the door opens.</t>
        </is>
      </c>
      <c r="N200" s="30">
        <f>LEN(TRIM(SUBSTITUTE(M200,CHAR(10)," ")))-LEN(SUBSTITUTE(TRIM(SUBSTITUTE(M200,CHAR(10)," "))," ",""))+1</f>
        <v/>
      </c>
      <c r="O200" s="30" t="inlineStr">
        <is>
          <t>&lt;p&gt;A hand-arranged bouquet of 25 red roses. A lovely way to mark an anniversary or a thank-you, and a bright moment when the door opens.&lt;/p&gt;</t>
        </is>
      </c>
      <c r="P200" s="29" t="inlineStr">
        <is>
          <t>ok</t>
        </is>
      </c>
      <c r="Q200" s="30" t="inlineStr">
        <is>
          <t>Forever Beloved brings together 25 red roses. It suits an anniversary or a thank-you.
Red tones say love and devotion. We hand-arrange each one at Aussie Blooms so it looks the way you pictured it, ready for the bedside table.</t>
        </is>
      </c>
      <c r="R200" s="30" t="inlineStr">
        <is>
          <t>&lt;p&gt;Forever Beloved brings together 25 red roses. It suits an anniversary or a thank-you.&lt;/p&gt;&lt;p&gt;Red tones say love and devotion. We hand-arrange each one at Aussie Blooms so it looks the way you pictured it, ready for the bedside table.&lt;/p&gt;</t>
        </is>
      </c>
      <c r="S200" s="29" t="inlineStr">
        <is>
          <t>ok</t>
        </is>
      </c>
      <c r="T200" s="30" t="inlineStr">
        <is>
          <t>In this bunch: 25 red roses. Some things need no speech. Put these on the table and the message is delivered.</t>
        </is>
      </c>
      <c r="U200" s="30" t="inlineStr">
        <is>
          <t>&lt;p&gt;In this bunch: 25 red roses. Some things need no speech. Put these on the table and the message is delivered.&lt;/p&gt;</t>
        </is>
      </c>
      <c r="V200" s="47" t="inlineStr">
        <is>
          <t>delivery promise</t>
        </is>
      </c>
      <c r="W200" s="30" t="n"/>
      <c r="X200" s="30" t="inlineStr">
        <is>
          <t>n/a (Mel's: mason jar products only)</t>
        </is>
      </c>
      <c r="Y200" s="30" t="n"/>
      <c r="Z200" s="48" t="inlineStr">
        <is>
          <t>-</t>
        </is>
      </c>
      <c r="AA200" t="n">
        <v>215</v>
      </c>
      <c r="AB200" s="44" t="n">
        <v>1947.92</v>
      </c>
      <c r="AC200" t="n">
        <v>12</v>
      </c>
      <c r="AD200" s="45" t="n">
        <v>0.0002231867582408135</v>
      </c>
      <c r="AE200" s="45" t="n">
        <v>0.0005559573035294006</v>
      </c>
      <c r="AF200" t="n">
        <v>117</v>
      </c>
    </row>
    <row r="201" ht="109.5" customHeight="1" s="24">
      <c r="A201" s="30" t="inlineStr">
        <is>
          <t>AU200-10</t>
        </is>
      </c>
      <c r="B201" s="30" t="inlineStr">
        <is>
          <t>Yellow Alstromeria</t>
        </is>
      </c>
      <c r="C201" s="30" t="inlineStr">
        <is>
          <t>Bouquets</t>
        </is>
      </c>
      <c r="D201" s="43" t="inlineStr">
        <is>
          <t>READY TO REVIEW</t>
        </is>
      </c>
      <c r="E201" s="30" t="inlineStr">
        <is>
          <t>Forty stems of sunshine-yellow alstroemeria, also known as Peruvian lilies, bring a burst of cheer that lasts and lasts in the vase. Their bright, freckled blooms make this a heartfelt way to say congratulations, lift the spirits of someone unwell, or welcome friends to a new home.</t>
        </is>
      </c>
      <c r="F201" s="30" t="inlineStr">
        <is>
          <t>Shopify (28 Sep)</t>
        </is>
      </c>
      <c r="G201" s="30" t="inlineStr">
        <is>
          <t>5 × Alstroemeria Pink/White; 6 × Alstroemeria Yellow; 2 × Ruscus Israeli</t>
        </is>
      </c>
      <c r="H201" s="30" t="inlineStr">
        <is>
          <t>5 × Alstroemeria Pink/White; 6 × Alstroemeria Yellow; 2 × Ruscus Israeli</t>
        </is>
      </c>
      <c r="I201" s="30" t="inlineStr">
        <is>
          <t>5 × Alstroemeria Pink/White; 6 × Alstroemeria Yellow; 2 × Ruscus Israeli</t>
        </is>
      </c>
      <c r="J201" s="30" t="inlineStr">
        <is>
          <t>2 × Ruscus Israeli; 6 × Alstroemeria Yellow; 5 × Alstroemeria Pink/White</t>
        </is>
      </c>
      <c r="K201" s="30" t="inlineStr">
        <is>
          <t>Y</t>
        </is>
      </c>
      <c r="L201" s="30" t="n"/>
      <c r="M201" s="30" t="inlineStr">
        <is>
          <t>A fresh arrangement of 6 yellow alstroemeria and 5 pink and white alstroemeria. A lovely way to mark a birthday, a thank-you or a just-because moment, and a bright moment when the door opens.</t>
        </is>
      </c>
      <c r="N201" s="30">
        <f>LEN(TRIM(SUBSTITUTE(M201,CHAR(10)," ")))-LEN(SUBSTITUTE(TRIM(SUBSTITUTE(M201,CHAR(10)," "))," ",""))+1</f>
        <v/>
      </c>
      <c r="O201" s="30" t="inlineStr">
        <is>
          <t>&lt;p&gt;A fresh arrangement of 6 yellow alstroemeria and 5 pink and white alstroemeria. A lovely way to mark a birthday, a thank-you or a just-because moment, and a bright moment when the door opens.&lt;/p&gt;</t>
        </is>
      </c>
      <c r="P201" s="29" t="inlineStr">
        <is>
          <t>ok</t>
        </is>
      </c>
      <c r="Q201" s="30" t="inlineStr">
        <is>
          <t>Yellow Alstromeria brings together 6 yellow alstroemeria and 5 pink and white alstroemeria. It suits a birthday, a thank-you or a just-because moment.
Yellow tones say friendship and cheer. We hand-arrange each one at Aussie Blooms so it looks the way you pictured it, ready for the bedside table.</t>
        </is>
      </c>
      <c r="R201" s="30" t="inlineStr">
        <is>
          <t>&lt;p&gt;Yellow Alstromeria brings together 6 yellow alstroemeria and 5 pink and white alstroemeria. It suits a birthday, a thank-you or a just-because moment.&lt;/p&gt;&lt;p&gt;Yellow tones say friendship and cheer. We hand-arrange each one at Aussie Blooms so it looks the way you pictured it, ready for the bedside table.&lt;/p&gt;</t>
        </is>
      </c>
      <c r="S201" s="29" t="inlineStr">
        <is>
          <t>ok</t>
        </is>
      </c>
      <c r="T201" s="30" t="inlineStr">
        <is>
          <t>The bunch holds: 6 yellow alstroemeria and 5 pink and white alstroemeria. Enough colour to turn an ordinary bench into the best spot in the house.</t>
        </is>
      </c>
      <c r="U201" s="30" t="inlineStr">
        <is>
          <t>&lt;p&gt;The bunch holds: 6 yellow alstroemeria and 5 pink and white alstroemeria. Enough colour to turn an ordinary bench into the best spot in the house.&lt;/p&gt;</t>
        </is>
      </c>
      <c r="V201" s="29" t="inlineStr">
        <is>
          <t>ok</t>
        </is>
      </c>
      <c r="W201" s="30" t="n"/>
      <c r="X201" s="30" t="inlineStr">
        <is>
          <t>n/a (Mel's: mason jar products only)</t>
        </is>
      </c>
      <c r="Y201" s="30" t="n"/>
      <c r="Z201" s="48" t="inlineStr">
        <is>
          <t>-</t>
        </is>
      </c>
      <c r="AA201" t="n">
        <v>201</v>
      </c>
      <c r="AB201" s="44" t="n">
        <v>2514.95</v>
      </c>
      <c r="AC201" t="n">
        <v>26</v>
      </c>
      <c r="AD201" s="45" t="n">
        <v>0.0002881553337086399</v>
      </c>
      <c r="AE201" s="45" t="n">
        <v>0.0007177937597597774</v>
      </c>
      <c r="AF201" t="n">
        <v>107</v>
      </c>
    </row>
    <row r="202" ht="109.5" customHeight="1" s="24">
      <c r="A202" s="30" t="inlineStr">
        <is>
          <t>AU200-20</t>
        </is>
      </c>
      <c r="B202" s="30" t="inlineStr">
        <is>
          <t>Alstroemeria Brights</t>
        </is>
      </c>
      <c r="C202" s="30" t="inlineStr">
        <is>
          <t>Bouquets</t>
        </is>
      </c>
      <c r="D202" s="43" t="inlineStr">
        <is>
          <t>READY TO REVIEW</t>
        </is>
      </c>
      <c r="E202" s="30" t="inlineStr">
        <is>
          <t>A vibrant gathering of 45 alstroemeria in bold, joyful colours, this bouquet practically hums with energy. Long-lasting and effortlessly uplifting, it's a wonderful way to mark a birthday, celebrate a graduation, or wish someone well in their new home.</t>
        </is>
      </c>
      <c r="F202" s="30" t="inlineStr">
        <is>
          <t>Shopify (28 Sep)</t>
        </is>
      </c>
      <c r="G202" s="30" t="inlineStr">
        <is>
          <t>3 × Alstroemeria Yellow; 3 × Alstroemeria Red; 3 × Alstroemeria orange; 2 × Ruscus Israeli</t>
        </is>
      </c>
      <c r="H202" s="30" t="inlineStr">
        <is>
          <t>3 × Alstroemeria Yellow; 3 × Alstroemeria Red; 3 × Alstroemeria orange; 2 × Ruscus Israeli</t>
        </is>
      </c>
      <c r="I202" s="30" t="inlineStr">
        <is>
          <t>3 × Alstroemeria Yellow; 3 × Alstroemeria Red; 3 × Alstroemeria orange; 2 × Ruscus Israeli</t>
        </is>
      </c>
      <c r="J202" s="30" t="inlineStr">
        <is>
          <t>2 × Ruscus Israeli; 3 × Alstroemeria orange; 3 × Alstroemeria Red; 3 × Alstroemeria Yellow</t>
        </is>
      </c>
      <c r="K202" s="30" t="inlineStr">
        <is>
          <t>Y</t>
        </is>
      </c>
      <c r="L202" s="30" t="n"/>
      <c r="M202" s="30" t="inlineStr">
        <is>
          <t>A florist-designed bouquet of 3 orange alstroemeria, 3 red alstroemeria and 3 yellow alstroemeria. Chosen for a birthday, a thank-you or a just-because moment, it is a gift that says you care.</t>
        </is>
      </c>
      <c r="N202" s="30">
        <f>LEN(TRIM(SUBSTITUTE(M202,CHAR(10)," ")))-LEN(SUBSTITUTE(TRIM(SUBSTITUTE(M202,CHAR(10)," "))," ",""))+1</f>
        <v/>
      </c>
      <c r="O202" s="30" t="inlineStr">
        <is>
          <t>&lt;p&gt;A florist-designed bouquet of 3 orange alstroemeria, 3 red alstroemeria and 3 yellow alstroemeria. Chosen for a birthday, a thank-you or a just-because moment, it is a gift that says you care.&lt;/p&gt;</t>
        </is>
      </c>
      <c r="P202" s="29" t="inlineStr">
        <is>
          <t>ok</t>
        </is>
      </c>
      <c r="Q202" s="30" t="inlineStr">
        <is>
          <t>Alstroemeria Brights brings together 3 orange alstroemeria, 3 red alstroemeria and 3 yellow alstroemeria. It suits a birthday, a thank-you or a just-because moment.
Orange tones say warmth and energy. We hand-arrange each one at Aussie Blooms so it looks the way you pictured it, ready for a Sunday lunch.</t>
        </is>
      </c>
      <c r="R202" s="30" t="inlineStr">
        <is>
          <t>&lt;p&gt;Alstroemeria Brights brings together 3 orange alstroemeria, 3 red alstroemeria and 3 yellow alstroemeria. It suits a birthday, a thank-you or a just-because moment.&lt;/p&gt;&lt;p&gt;Orange tones say warmth and energy. We hand-arrange each one at Aussie Blooms so it looks the way you pictured it, ready for a Sunday lunch.&lt;/p&gt;</t>
        </is>
      </c>
      <c r="S202" s="29" t="inlineStr">
        <is>
          <t>ok</t>
        </is>
      </c>
      <c r="T202" s="30" t="inlineStr">
        <is>
          <t>Inside the bunch: 3 orange alstroemeria, 3 red alstroemeria and 3 yellow alstroemeria. Bright on purpose, and hard to walk past without smiling.</t>
        </is>
      </c>
      <c r="U202" s="30" t="inlineStr">
        <is>
          <t>&lt;p&gt;Inside the bunch: 3 orange alstroemeria, 3 red alstroemeria and 3 yellow alstroemeria. Bright on purpose, and hard to walk past without smiling.&lt;/p&gt;</t>
        </is>
      </c>
      <c r="V202" s="29" t="inlineStr">
        <is>
          <t>ok</t>
        </is>
      </c>
      <c r="W202" s="30" t="n"/>
      <c r="X202" s="30" t="inlineStr">
        <is>
          <t>n/a (Mel's: mason jar products only)</t>
        </is>
      </c>
      <c r="Y202" s="30" t="n"/>
      <c r="Z202" s="48" t="inlineStr">
        <is>
          <t>-</t>
        </is>
      </c>
      <c r="AA202" t="n">
        <v>172</v>
      </c>
      <c r="AB202" s="44" t="n">
        <v>4036.48</v>
      </c>
      <c r="AC202" t="n">
        <v>51</v>
      </c>
      <c r="AD202" s="45" t="n">
        <v>0.0004624877351691226</v>
      </c>
      <c r="AE202" s="45" t="n">
        <v>0.001152055060016663</v>
      </c>
      <c r="AF202" t="n">
        <v>83</v>
      </c>
    </row>
    <row r="203" ht="109.5" customHeight="1" s="24">
      <c r="A203" s="30" t="inlineStr">
        <is>
          <t>AU222-05</t>
        </is>
      </c>
      <c r="B203" s="30" t="inlineStr">
        <is>
          <t>Blushing Bouquet</t>
        </is>
      </c>
      <c r="C203" s="30" t="inlineStr">
        <is>
          <t>Bouquets</t>
        </is>
      </c>
      <c r="D203" s="43" t="inlineStr">
        <is>
          <t>READY TO REVIEW</t>
        </is>
      </c>
      <c r="E203" s="30" t="inlineStr">
        <is>
          <t>Blushing Bouquet sends soft colour with a romantic, graceful feel. It works for birthdays, anniversaries, thanks, and get-well messages where you want the flowers to feel tender rather than bold. 
 Blush and pastel tones keep the arrangement gentle and personal. 
 Useful for recipients who prefer soft colours over bright mixed bouquets. 
 Pairs well with a card message, chocolates, or a vase add-on. 
 Confirm delivery details and recipient notes at checkout.</t>
        </is>
      </c>
      <c r="F203" s="30" t="inlineStr">
        <is>
          <t>Shopify (28 Sep)</t>
        </is>
      </c>
      <c r="G203" s="30" t="inlineStr">
        <is>
          <t>3 × Roses Hot Pink; 3 × Roses Spray Red; 2 × Carnation Pink; 2 × Ruscus Israeli; 2 × Mini Carnations Pink; 2 × Alstroemeria Pink</t>
        </is>
      </c>
      <c r="H203" s="30" t="inlineStr">
        <is>
          <t>3 × Roses Hot Pink; 3 × Roses Spray Red; 2 × Carnation Pink; 2 × Ruscus Israeli; 2 × Mini Carnations Pink; 2 × Alstroemeria Pink</t>
        </is>
      </c>
      <c r="I203" s="30" t="inlineStr">
        <is>
          <t>3 × Roses Hot Pink; 3 × Roses Spray Red; 2 × Carnation Pink; 2 × Ruscus Israeli; 2 × Mini Carnations Pink; 2 × Alstroemeria Pink</t>
        </is>
      </c>
      <c r="J203" s="30" t="inlineStr">
        <is>
          <t>2 × Carnation Pink; 2 × Alstroemeria Pink; 2 × Mini Carnations Pink; 2 × Ruscus Israeli; 3 × Roses Spray Red; 3 × Roses Hot Pink</t>
        </is>
      </c>
      <c r="K203" s="30" t="inlineStr">
        <is>
          <t>Y</t>
        </is>
      </c>
      <c r="L203" s="30" t="n"/>
      <c r="M203" s="30" t="inlineStr">
        <is>
          <t>A fresh arrangement of 3 hot pink roses, 3 red spray roses, 2 pink alstroemeria and 2 pink carnations. A lovely way to mark a birthday, a thank-you or a just-because moment, and a bright moment when the door opens.</t>
        </is>
      </c>
      <c r="N203" s="30">
        <f>LEN(TRIM(SUBSTITUTE(M203,CHAR(10)," ")))-LEN(SUBSTITUTE(TRIM(SUBSTITUTE(M203,CHAR(10)," "))," ",""))+1</f>
        <v/>
      </c>
      <c r="O203" s="30" t="inlineStr">
        <is>
          <t>&lt;p&gt;A fresh arrangement of 3 hot pink roses, 3 red spray roses, 2 pink alstroemeria and 2 pink carnations. A lovely way to mark a birthday, a thank-you or a just-because moment, and a bright moment when the door opens.&lt;/p&gt;</t>
        </is>
      </c>
      <c r="P203" s="29" t="inlineStr">
        <is>
          <t>ok</t>
        </is>
      </c>
      <c r="Q203" s="30" t="inlineStr">
        <is>
          <t>Blushing Bouquet brings together 3 hot pink roses, 3 red spray roses, 2 pink alstroemeria and 2 pink carnations. It suits a birthday, a thank-you or a just-because moment.
Pink tones say affection. We hand-arrange each one at Aussie Blooms so it looks the way you pictured it, ready for a Sunday lunch.</t>
        </is>
      </c>
      <c r="R203" s="30" t="inlineStr">
        <is>
          <t>&lt;p&gt;Blushing Bouquet brings together 3 hot pink roses, 3 red spray roses, 2 pink alstroemeria and 2 pink carnations. It suits a birthday, a thank-you or a just-because moment.&lt;/p&gt;&lt;p&gt;Pink tones say affection. We hand-arrange each one at Aussie Blooms so it looks the way you pictured it, ready for a Sunday lunch.&lt;/p&gt;</t>
        </is>
      </c>
      <c r="S203" s="29" t="inlineStr">
        <is>
          <t>ok</t>
        </is>
      </c>
      <c r="T203" s="30" t="inlineStr">
        <is>
          <t>The bunch holds: 3 hot pink roses, 3 red spray roses, 2 pink alstroemeria and 2 pink carnations. Enough colour to turn an ordinary bench into the best spot in the house.</t>
        </is>
      </c>
      <c r="U203" s="30" t="inlineStr">
        <is>
          <t>&lt;p&gt;The bunch holds: 3 hot pink roses, 3 red spray roses, 2 pink alstroemeria and 2 pink carnations. Enough colour to turn an ordinary bench into the best spot in the house.&lt;/p&gt;</t>
        </is>
      </c>
      <c r="V203" s="29" t="inlineStr">
        <is>
          <t>ok</t>
        </is>
      </c>
      <c r="W203" s="30" t="n"/>
      <c r="X203" s="30" t="inlineStr">
        <is>
          <t>n/a (Mel's: mason jar products only)</t>
        </is>
      </c>
      <c r="Y203" s="30" t="n"/>
      <c r="Z203" s="48" t="inlineStr">
        <is>
          <t>-</t>
        </is>
      </c>
      <c r="AA203" t="n">
        <v>122</v>
      </c>
      <c r="AB203" s="44" t="n">
        <v>9098.68</v>
      </c>
      <c r="AC203" t="n">
        <v>87</v>
      </c>
      <c r="AD203" s="45" t="n">
        <v>0.001042499353076123</v>
      </c>
      <c r="AE203" s="45" t="n">
        <v>0.002596861632095514</v>
      </c>
      <c r="AF203" t="n">
        <v>56</v>
      </c>
    </row>
    <row r="204" ht="109.5" customHeight="1" s="24">
      <c r="A204" s="30" t="inlineStr">
        <is>
          <t>AU200-60</t>
        </is>
      </c>
      <c r="B204" s="30" t="inlineStr">
        <is>
          <t>Fresh &amp; Fragrant</t>
        </is>
      </c>
      <c r="C204" s="30" t="inlineStr">
        <is>
          <t>Bouquets</t>
        </is>
      </c>
      <c r="D204" s="43" t="inlineStr">
        <is>
          <t>READY TO REVIEW</t>
        </is>
      </c>
      <c r="E204" s="30" t="inlineStr">
        <is>
          <t>Nine chrysanthemums, 12 alstroemeria and nine roses come together in a fresh, fragrant arrangement that feels like a breath of garden air. Bright and full of life, it's perfect for sending congratulations, welcoming a new baby, or simply brightening someone's day just because.</t>
        </is>
      </c>
      <c r="F204" s="30" t="inlineStr">
        <is>
          <t>Shopify (28 Sep)</t>
        </is>
      </c>
      <c r="G204" s="30" t="inlineStr">
        <is>
          <t>2 × Roses Spray Yellow; 2 × Chrysanthemum Button Green; 1 × Limonium Pink; 2 × Ruscus Israeli; 3 × Alstroemeria Pink</t>
        </is>
      </c>
      <c r="H204" s="30" t="inlineStr">
        <is>
          <t>2 × Roses Spray Yellow; 2 × Chrysanthemum Button Green; 1 × Limonium Pink; 2 × Ruscus Israeli; 3 × Alstroemeria Pink</t>
        </is>
      </c>
      <c r="I204" s="30" t="inlineStr">
        <is>
          <t>2 × Roses Spray Yellow; 2 × Chrysanthemum Button Green; 1 × Limonium Pink; 2 × Ruscus Israeli; 3 × Alstroemeria Pink</t>
        </is>
      </c>
      <c r="J204" s="30" t="inlineStr">
        <is>
          <t>1 × Limonium Pink; 3 × Alstroemeria Pink; 2 × Ruscus Israeli; 2 × Chrysanthemum Button Green; 2 × Roses Spray Yellow</t>
        </is>
      </c>
      <c r="K204" s="30" t="inlineStr">
        <is>
          <t>Y</t>
        </is>
      </c>
      <c r="L204" s="30" t="n"/>
      <c r="M204" s="30" t="inlineStr">
        <is>
          <t>A florist-designed bouquet of 3 pink alstroemeria and 2 yellow spray roses. Chosen for a birthday, a thank-you or a just-because moment, it is a gift that says you care.</t>
        </is>
      </c>
      <c r="N204" s="30">
        <f>LEN(TRIM(SUBSTITUTE(M204,CHAR(10)," ")))-LEN(SUBSTITUTE(TRIM(SUBSTITUTE(M204,CHAR(10)," "))," ",""))+1</f>
        <v/>
      </c>
      <c r="O204" s="30" t="inlineStr">
        <is>
          <t>&lt;p&gt;A florist-designed bouquet of 3 pink alstroemeria and 2 yellow spray roses. Chosen for a birthday, a thank-you or a just-because moment, it is a gift that says you care.&lt;/p&gt;</t>
        </is>
      </c>
      <c r="P204" s="29" t="inlineStr">
        <is>
          <t>ok</t>
        </is>
      </c>
      <c r="Q204" s="30" t="inlineStr">
        <is>
          <t>Fresh &amp; Fragrant brings together 3 pink alstroemeria and 2 yellow spray roses. It suits a birthday, a thank-you or a just-because moment.
Pink tones say affection. We hand-arrange each one at Aussie Blooms so it looks the way you pictured it, ready for the kitchen bench.</t>
        </is>
      </c>
      <c r="R204" s="30" t="inlineStr">
        <is>
          <t>&lt;p&gt;Fresh &amp;amp; Fragrant brings together 3 pink alstroemeria and 2 yellow spray roses. It suits a birthday, a thank-you or a just-because moment.&lt;/p&gt;&lt;p&gt;Pink tones say affection. We hand-arrange each one at Aussie Blooms so it looks the way you pictured it, ready for the kitchen bench.&lt;/p&gt;</t>
        </is>
      </c>
      <c r="S204" s="29" t="inlineStr">
        <is>
          <t>ok</t>
        </is>
      </c>
      <c r="T204" s="30" t="inlineStr">
        <is>
          <t>Inside the bunch: 3 pink alstroemeria and 2 yellow spray roses. Bright on purpose, and hard to walk past without smiling.</t>
        </is>
      </c>
      <c r="U204" s="30" t="inlineStr">
        <is>
          <t>&lt;p&gt;Inside the bunch: 3 pink alstroemeria and 2 yellow spray roses. Bright on purpose, and hard to walk past without smiling.&lt;/p&gt;</t>
        </is>
      </c>
      <c r="V204" s="29" t="inlineStr">
        <is>
          <t>ok</t>
        </is>
      </c>
      <c r="W204" s="30" t="n"/>
      <c r="X204" s="30" t="inlineStr">
        <is>
          <t>n/a (Mel's: mason jar products only)</t>
        </is>
      </c>
      <c r="Y204" s="30" t="n"/>
      <c r="Z204" s="48" t="inlineStr">
        <is>
          <t>-</t>
        </is>
      </c>
      <c r="AA204" t="n">
        <v>206</v>
      </c>
      <c r="AB204" s="44" t="n">
        <v>2401.78</v>
      </c>
      <c r="AC204" t="n">
        <v>26</v>
      </c>
      <c r="AD204" s="45" t="n">
        <v>0.0002751886587784</v>
      </c>
      <c r="AE204" s="45" t="n">
        <v>0.0006854938254501434</v>
      </c>
      <c r="AF204" t="n">
        <v>112</v>
      </c>
    </row>
    <row r="205" ht="109.5" customHeight="1" s="24">
      <c r="A205" s="30" t="inlineStr">
        <is>
          <t>AU222-09</t>
        </is>
      </c>
      <c r="B205" s="30" t="inlineStr">
        <is>
          <t>Autumn Garden</t>
        </is>
      </c>
      <c r="C205" s="30" t="inlineStr">
        <is>
          <t>Bouquets</t>
        </is>
      </c>
      <c r="D205" s="43" t="inlineStr">
        <is>
          <t>READY TO REVIEW</t>
        </is>
      </c>
      <c r="E205" s="30" t="inlineStr">
        <is>
          <t>Eighteen chrysanthemums, 21 roses and nine alstroemeria in warm, earthy tones capture the rich beauty of an autumn garden. Lush and comforting, this arrangement makes a thoughtful gift for a birthday, a get-well wish, or a warm housewarming welcome.</t>
        </is>
      </c>
      <c r="F205" s="30" t="inlineStr">
        <is>
          <t>Shopify (28 Sep)</t>
        </is>
      </c>
      <c r="G205" s="30" t="inlineStr">
        <is>
          <t>5 × Roses Spray Orange; 1 × Chrysanthemum Button Green; 3 × Chrysanthemum Spray yellow; 3 × Ruscus Israeli; 2 × Alstroemeria orange</t>
        </is>
      </c>
      <c r="H205" s="30" t="inlineStr">
        <is>
          <t>5 × Roses Spray Orange; 1 × Chrysanthemum Button Green; 3 × Chrysanthemum Spray yellow; 3 × Ruscus Israeli; 2 × Alstroemeria orange</t>
        </is>
      </c>
      <c r="I205" s="30" t="inlineStr">
        <is>
          <t>5 × Roses Spray Orange; 1 × Chrysanthemum Button Green; 3 × Chrysanthemum Spray yellow; 3 × Ruscus Israeli; 2 × Alstroemeria orange</t>
        </is>
      </c>
      <c r="J205" s="30" t="inlineStr">
        <is>
          <t>3 × Chrysanthemum Spray yellow; 2 × Alstroemeria orange; 3 × Ruscus Israeli; 1 × Chrysanthemum Button Green; 5 × Roses Spray Orange</t>
        </is>
      </c>
      <c r="K205" s="30" t="inlineStr">
        <is>
          <t>Y</t>
        </is>
      </c>
      <c r="L205" s="30" t="n"/>
      <c r="M205" s="30" t="inlineStr">
        <is>
          <t>A fresh arrangement of 5 orange spray roses, 3 yellow spray chrysanthemums and 2 orange alstroemeria. A lovely way to mark a birthday, a thank-you or a just-because moment, and a bright moment when the door opens.</t>
        </is>
      </c>
      <c r="N205" s="30">
        <f>LEN(TRIM(SUBSTITUTE(M205,CHAR(10)," ")))-LEN(SUBSTITUTE(TRIM(SUBSTITUTE(M205,CHAR(10)," "))," ",""))+1</f>
        <v/>
      </c>
      <c r="O205" s="30" t="inlineStr">
        <is>
          <t>&lt;p&gt;A fresh arrangement of 5 orange spray roses, 3 yellow spray chrysanthemums and 2 orange alstroemeria. A lovely way to mark a birthday, a thank-you or a just-because moment, and a bright moment when the door opens.&lt;/p&gt;</t>
        </is>
      </c>
      <c r="P205" s="29" t="inlineStr">
        <is>
          <t>ok</t>
        </is>
      </c>
      <c r="Q205" s="30" t="inlineStr">
        <is>
          <t>Autumn Garden brings together 5 orange spray roses, 3 yellow spray chrysanthemums and 2 orange alstroemeria. It suits a birthday, a thank-you or a just-because moment.
Orange tones say warmth and energy. We hand-arrange each one at Aussie Blooms so it looks the way you pictured it, ready for a Sunday lunch.</t>
        </is>
      </c>
      <c r="R205" s="30" t="inlineStr">
        <is>
          <t>&lt;p&gt;Autumn Garden brings together 5 orange spray roses, 3 yellow spray chrysanthemums and 2 orange alstroemeria. It suits a birthday, a thank-you or a just-because moment.&lt;/p&gt;&lt;p&gt;Orange tones say warmth and energy. We hand-arrange each one at Aussie Blooms so it looks the way you pictured it, ready for a Sunday lunch.&lt;/p&gt;</t>
        </is>
      </c>
      <c r="S205" s="29" t="inlineStr">
        <is>
          <t>ok</t>
        </is>
      </c>
      <c r="T205" s="30" t="inlineStr">
        <is>
          <t>The bunch holds: 5 orange spray roses, 3 yellow spray chrysanthemums and 2 orange alstroemeria. Enough colour to turn an ordinary bench into the best spot in the house.</t>
        </is>
      </c>
      <c r="U205" s="30" t="inlineStr">
        <is>
          <t>&lt;p&gt;The bunch holds: 5 orange spray roses, 3 yellow spray chrysanthemums and 2 orange alstroemeria. Enough colour to turn an ordinary bench into the best spot in the house.&lt;/p&gt;</t>
        </is>
      </c>
      <c r="V205" s="29" t="inlineStr">
        <is>
          <t>ok</t>
        </is>
      </c>
      <c r="W205" s="30" t="n"/>
      <c r="X205" s="30" t="inlineStr">
        <is>
          <t>n/a (Mel's: mason jar products only)</t>
        </is>
      </c>
      <c r="Y205" s="30" t="n"/>
      <c r="Z205" s="48" t="inlineStr">
        <is>
          <t>-</t>
        </is>
      </c>
      <c r="AA205" t="n">
        <v>171</v>
      </c>
      <c r="AB205" s="44" t="n">
        <v>4049.25</v>
      </c>
      <c r="AC205" t="n">
        <v>40</v>
      </c>
      <c r="AD205" s="45" t="n">
        <v>0.0004639507684127757</v>
      </c>
      <c r="AE205" s="45" t="n">
        <v>0.00115569946985319</v>
      </c>
      <c r="AF205" t="n">
        <v>82</v>
      </c>
    </row>
    <row r="206" ht="109.5" customHeight="1" s="24">
      <c r="A206" s="30" t="inlineStr">
        <is>
          <t>AU222-19</t>
        </is>
      </c>
      <c r="B206" s="30" t="inlineStr">
        <is>
          <t>Ravishing Radiance</t>
        </is>
      </c>
      <c r="C206" s="30" t="inlineStr">
        <is>
          <t>Bouquets</t>
        </is>
      </c>
      <c r="D206" s="43" t="inlineStr">
        <is>
          <t>READY TO REVIEW</t>
        </is>
      </c>
      <c r="E206" s="30" t="inlineStr">
        <is>
          <t>Twelve roses, 18 carnations, 12 gerberas and nine alstroemeria glow together in a radiant, ravishing arrangement full of warmth and depth. Romantic and richly coloured, it's a stunning way to mark an anniversary, share your love, or celebrate a special success.</t>
        </is>
      </c>
      <c r="F206" s="30" t="inlineStr">
        <is>
          <t>Shopify (28 Sep)</t>
        </is>
      </c>
      <c r="G206" s="30" t="inlineStr">
        <is>
          <t>3 × Roses Red; 2 × Carnation Red; 3 × Gerbera Daisies Red; 2 × Ruscus Israeli; 2 × Alstroemeria Red; 2 × Mini Carnations Red</t>
        </is>
      </c>
      <c r="H206" s="30" t="inlineStr">
        <is>
          <t>3 × Roses Red; 2 × Carnation Red; 3 × Gerbera Daisies Red; 2 × Ruscus Israeli; 2 × Alstroemeria Red; 2 × Mini Carnations Red</t>
        </is>
      </c>
      <c r="I206" s="30" t="inlineStr">
        <is>
          <t>3 × Roses Red; 2 × Carnation Red; 3 × Gerbera Daisies Red; 2 × Ruscus Israeli; 2 × Alstroemeria Red; 2 × Mini Carnations Red</t>
        </is>
      </c>
      <c r="J206" s="30" t="inlineStr">
        <is>
          <t>3 × Gerbera Daisies Red; 2 × Mini Carnations Red; 2 × Alstroemeria Red; 2 × Ruscus Israeli; 2 × Carnation Red; 3 × Roses Red</t>
        </is>
      </c>
      <c r="K206" s="30" t="inlineStr">
        <is>
          <t>Y</t>
        </is>
      </c>
      <c r="L206" s="30" t="n"/>
      <c r="M206" s="30" t="inlineStr">
        <is>
          <t>A fresh arrangement of 3 red gerberas, 3 red roses, 2 red alstroemeria and 2 red carnations. A lovely way to mark an anniversary or a thank-you, and a bright moment when the door opens.</t>
        </is>
      </c>
      <c r="N206" s="30">
        <f>LEN(TRIM(SUBSTITUTE(M206,CHAR(10)," ")))-LEN(SUBSTITUTE(TRIM(SUBSTITUTE(M206,CHAR(10)," "))," ",""))+1</f>
        <v/>
      </c>
      <c r="O206" s="30" t="inlineStr">
        <is>
          <t>&lt;p&gt;A fresh arrangement of 3 red gerberas, 3 red roses, 2 red alstroemeria and 2 red carnations. A lovely way to mark an anniversary or a thank-you, and a bright moment when the door opens.&lt;/p&gt;</t>
        </is>
      </c>
      <c r="P206" s="29" t="inlineStr">
        <is>
          <t>ok</t>
        </is>
      </c>
      <c r="Q206" s="30" t="inlineStr">
        <is>
          <t>Ravishing Radiance brings together 3 red gerberas, 3 red roses, 2 red alstroemeria and 2 red carnations. It suits an anniversary or a thank-you.
Red tones say love and devotion. We hand-arrange each one at Aussie Blooms so it looks the way you pictured it, ready for a Sunday lunch.</t>
        </is>
      </c>
      <c r="R206" s="30" t="inlineStr">
        <is>
          <t>&lt;p&gt;Ravishing Radiance brings together 3 red gerberas, 3 red roses, 2 red alstroemeria and 2 red carnations. It suits an anniversary or a thank-you.&lt;/p&gt;&lt;p&gt;Red tones say love and devotion. We hand-arrange each one at Aussie Blooms so it looks the way you pictured it, ready for a Sunday lunch.&lt;/p&gt;</t>
        </is>
      </c>
      <c r="S206" s="29" t="inlineStr">
        <is>
          <t>ok</t>
        </is>
      </c>
      <c r="T206" s="30" t="inlineStr">
        <is>
          <t>The bunch holds: 3 red gerberas, 3 red roses, 2 red alstroemeria and 2 red carnations. The classic, handed over without a single word of explanation.</t>
        </is>
      </c>
      <c r="U206" s="30" t="inlineStr">
        <is>
          <t>&lt;p&gt;The bunch holds: 3 red gerberas, 3 red roses, 2 red alstroemeria and 2 red carnations. The classic, handed over without a single word of explanation.&lt;/p&gt;</t>
        </is>
      </c>
      <c r="V206" s="29" t="inlineStr">
        <is>
          <t>ok</t>
        </is>
      </c>
      <c r="W206" s="30" t="n"/>
      <c r="X206" s="30" t="inlineStr">
        <is>
          <t>n/a (Mel's: mason jar products only)</t>
        </is>
      </c>
      <c r="Y206" s="30" t="n"/>
      <c r="Z206" s="48" t="inlineStr">
        <is>
          <t>-</t>
        </is>
      </c>
      <c r="AA206" t="n">
        <v>127</v>
      </c>
      <c r="AB206" s="44" t="n">
        <v>8511.73</v>
      </c>
      <c r="AC206" t="n">
        <v>65</v>
      </c>
      <c r="AD206" s="45" t="n">
        <v>0.0009752481753465643</v>
      </c>
      <c r="AE206" s="45" t="n">
        <v>0.002429339222950791</v>
      </c>
      <c r="AF206" t="n">
        <v>59</v>
      </c>
    </row>
    <row r="207" ht="109.5" customHeight="1" s="24">
      <c r="A207" s="30" t="inlineStr">
        <is>
          <t>AU100-92</t>
        </is>
      </c>
      <c r="B207" s="30" t="inlineStr">
        <is>
          <t>Blooms of Joy</t>
        </is>
      </c>
      <c r="C207" s="30" t="inlineStr">
        <is>
          <t>Bouquets</t>
        </is>
      </c>
      <c r="D207" s="43" t="inlineStr">
        <is>
          <t>READY TO REVIEW</t>
        </is>
      </c>
      <c r="E207" s="30" t="inlineStr">
        <is>
          <t>Nine cheerful gerberas, 18 chrysanthemums, nine alstroemeria and five roses unite in a joyful display of colour and life. Bright and celebratory, Blooms of Joy is a lovely way to applaud a graduate's hard-won achievement.</t>
        </is>
      </c>
      <c r="F207" s="30" t="inlineStr">
        <is>
          <t>Shopify (28 Sep)</t>
        </is>
      </c>
      <c r="G207" s="30" t="inlineStr">
        <is>
          <t>1 × Roses Spray Pink; 2 × Gerbera Daisies Yellow; 1 × Chrysanthemum button Yellow; 3 × Chrysanthemum Spray White; 1 × Baby's Breath; 2 × Ruscus Israeli; 2 × Alstroemeria Pink</t>
        </is>
      </c>
      <c r="H207" s="30" t="inlineStr">
        <is>
          <t>1 × Roses Spray Pink; 2 × Gerbera Daisies Yellow; 1 × Chrysanthemum button Yellow; 3 × Chrysanthemum Spray White; 1 × Baby's Breath; 2 × Ruscus Israeli; 2 × Alstroemeria Pink</t>
        </is>
      </c>
      <c r="I207" s="30" t="inlineStr">
        <is>
          <t>1 × Roses Spray Pink; 2 × Gerbera Daisies Yellow; 1 × Chrysanthemum button Yellow; 3 × Chrysanthemum Spray White; 1 × Baby's Breath; 2 × Ruscus Israeli; 2 × Alstroemeria Pink</t>
        </is>
      </c>
      <c r="J207" s="30" t="inlineStr">
        <is>
          <t>3 × Chrysanthemum Spray White; 2 × Alstroemeria Pink; 2 × Ruscus Israeli; 1 × Baby's Breath; 1 × Chrysanthemum button Yellow; 2 × Gerbera Daisies Yellow; 1 × Roses Spray Pink</t>
        </is>
      </c>
      <c r="K207" s="30" t="inlineStr">
        <is>
          <t>Y</t>
        </is>
      </c>
      <c r="L207" s="30" t="n"/>
      <c r="M207" s="30" t="inlineStr">
        <is>
          <t>A florist-designed bouquet of 3 white spray chrysanthemums, 2 pink alstroemeria, 2 yellow gerberas and 1 pink spray rose. Chosen for a birthday, a thank-you or a just-because moment, it is a gift that says you care.</t>
        </is>
      </c>
      <c r="N207" s="30">
        <f>LEN(TRIM(SUBSTITUTE(M207,CHAR(10)," ")))-LEN(SUBSTITUTE(TRIM(SUBSTITUTE(M207,CHAR(10)," "))," ",""))+1</f>
        <v/>
      </c>
      <c r="O207" s="30" t="inlineStr">
        <is>
          <t>&lt;p&gt;A florist-designed bouquet of 3 white spray chrysanthemums, 2 pink alstroemeria, 2 yellow gerberas and 1 pink spray rose. Chosen for a birthday, a thank-you or a just-because moment, it is a gift that says you care.&lt;/p&gt;</t>
        </is>
      </c>
      <c r="P207" s="29" t="inlineStr">
        <is>
          <t>ok</t>
        </is>
      </c>
      <c r="Q207" s="30" t="inlineStr">
        <is>
          <t>Blooms of Joy brings together 3 white spray chrysanthemums, 2 pink alstroemeria, 2 yellow gerberas and 1 pink spray rose. It suits a birthday, a thank-you or a just-because moment.
White tones say calm and a fresh start. We hand-arrange each one at Aussie Blooms so it looks the way you pictured it, ready for the kitchen bench.</t>
        </is>
      </c>
      <c r="R207" s="30" t="inlineStr">
        <is>
          <t>&lt;p&gt;Blooms of Joy brings together 3 white spray chrysanthemums, 2 pink alstroemeria, 2 yellow gerberas and 1 pink spray rose. It suits a birthday, a thank-you or a just-because moment.&lt;/p&gt;&lt;p&gt;White tones say calm and a fresh start. We hand-arrange each one at Aussie Blooms so it looks the way you pictured it, ready for the kitchen bench.&lt;/p&gt;</t>
        </is>
      </c>
      <c r="S207" s="29" t="inlineStr">
        <is>
          <t>ok</t>
        </is>
      </c>
      <c r="T207" s="30" t="inlineStr">
        <is>
          <t>Inside the bunch: 3 white spray chrysanthemums, 2 pink alstroemeria, 2 yellow gerberas and 1 pink spray rose. Bright on purpose, and hard to walk past without smiling.</t>
        </is>
      </c>
      <c r="U207" s="30" t="inlineStr">
        <is>
          <t>&lt;p&gt;Inside the bunch: 3 white spray chrysanthemums, 2 pink alstroemeria, 2 yellow gerberas and 1 pink spray rose. Bright on purpose, and hard to walk past without smiling.&lt;/p&gt;</t>
        </is>
      </c>
      <c r="V207" s="29" t="inlineStr">
        <is>
          <t>ok</t>
        </is>
      </c>
      <c r="W207" s="30" t="n"/>
      <c r="X207" s="30" t="inlineStr">
        <is>
          <t>n/a (Mel's: mason jar products only)</t>
        </is>
      </c>
      <c r="Y207" s="30" t="n"/>
      <c r="Z207" s="48" t="inlineStr">
        <is>
          <t>-</t>
        </is>
      </c>
      <c r="AA207" t="n">
        <v>195</v>
      </c>
      <c r="AB207" s="44" t="n">
        <v>2722.13</v>
      </c>
      <c r="AC207" t="n">
        <v>27</v>
      </c>
      <c r="AD207" s="45" t="n">
        <v>0.0003118932743764156</v>
      </c>
      <c r="AE207" s="45" t="n">
        <v>0.0007769248730436482</v>
      </c>
      <c r="AF207" t="n">
        <v>102</v>
      </c>
    </row>
    <row r="208" ht="109.5" customHeight="1" s="24">
      <c r="A208" s="30" t="inlineStr">
        <is>
          <t>AU15-50</t>
        </is>
      </c>
      <c r="B208" s="30" t="inlineStr">
        <is>
          <t>50 Blooms of Peruvian Lilies</t>
        </is>
      </c>
      <c r="C208" s="30" t="inlineStr">
        <is>
          <t>Bouquets</t>
        </is>
      </c>
      <c r="D208" s="43" t="inlineStr">
        <is>
          <t>READY TO REVIEW</t>
        </is>
      </c>
      <c r="E208" s="30" t="inlineStr">
        <is>
          <t>Fifty blooms of alstroemeria, the lovely Peruvian lily, gathered into one generous, colourful display that lasts wonderfully in the vase. Abundant and full of cheer, it's a heartfelt way to celebrate a birthday, send congratulations, or wish someone a speedy recovery.</t>
        </is>
      </c>
      <c r="F208" s="30" t="inlineStr">
        <is>
          <t>Shopify (28 Sep)</t>
        </is>
      </c>
      <c r="G208" s="30" t="inlineStr">
        <is>
          <t>1 × Greeting Card; 12 × Alstroemeria assorted; 2 × Ruscus Israeli</t>
        </is>
      </c>
      <c r="H208" s="30" t="inlineStr">
        <is>
          <t>1 × Greeting Card; 12 × Alstroemeria assorted; 2 × Ruscus Israeli</t>
        </is>
      </c>
      <c r="I208" s="30" t="inlineStr">
        <is>
          <t>1 × Greeting Card; 12 × Alstroemeria assorted; 2 × Ruscus Israeli</t>
        </is>
      </c>
      <c r="J208" s="30" t="inlineStr">
        <is>
          <t>2 × Ruscus Israeli; 12 × Alstroemeria assorted; 1 × Greeting Card</t>
        </is>
      </c>
      <c r="K208" s="30" t="inlineStr">
        <is>
          <t>Y</t>
        </is>
      </c>
      <c r="L208" s="30" t="inlineStr">
        <is>
          <t>Title blooms vs stems: Title counts blooms, recipe counts stems; bridge wording needs blooms per stem from Alejandro/Benny</t>
        </is>
      </c>
      <c r="M208" s="30" t="inlineStr">
        <is>
          <t>A fresh arrangement of 12 assorted-colour alstroemeria, plus a greeting card. A lovely way to mark a birthday, a thank-you or a just-because moment, and a bright moment when the door opens.</t>
        </is>
      </c>
      <c r="N208" s="30">
        <f>LEN(TRIM(SUBSTITUTE(M208,CHAR(10)," ")))-LEN(SUBSTITUTE(TRIM(SUBSTITUTE(M208,CHAR(10)," "))," ",""))+1</f>
        <v/>
      </c>
      <c r="O208" s="30" t="inlineStr">
        <is>
          <t>&lt;p&gt;A fresh arrangement of 12 assorted-colour alstroemeria, plus a greeting card. A lovely way to mark a birthday, a thank-you or a just-because moment, and a bright moment when the door opens.&lt;/p&gt;</t>
        </is>
      </c>
      <c r="P208" s="29" t="inlineStr">
        <is>
          <t>ok</t>
        </is>
      </c>
      <c r="Q208" s="30" t="inlineStr">
        <is>
          <t>50 Blooms of Peruvian Lilies brings together 12 assorted-colour alstroemeria, plus a greeting card. It suits a birthday, a thank-you or a just-because moment.
Mixed colours say thoughtfulness. We hand-arrange each one at Aussie Blooms so it looks the way you pictured it, ready for the bedside table.</t>
        </is>
      </c>
      <c r="R208" s="30" t="inlineStr">
        <is>
          <t>&lt;p&gt;50 Blooms of Peruvian Lilies brings together 12 assorted-colour alstroemeria, plus a greeting card. It suits a birthday, a thank-you or a just-because moment.&lt;/p&gt;&lt;p&gt;Mixed colours say thoughtfulness. We hand-arrange each one at Aussie Blooms so it looks the way you pictured it, ready for the bedside table.&lt;/p&gt;</t>
        </is>
      </c>
      <c r="S208" s="29" t="inlineStr">
        <is>
          <t>ok</t>
        </is>
      </c>
      <c r="T208" s="30" t="inlineStr">
        <is>
          <t>The bunch holds: 12 assorted-colour alstroemeria, plus a greeting card. A simple good turn for a birthday, a thank-you or no reason at all.</t>
        </is>
      </c>
      <c r="U208" s="30" t="inlineStr">
        <is>
          <t>&lt;p&gt;The bunch holds: 12 assorted-colour alstroemeria, plus a greeting card. A simple good turn for a birthday, a thank-you or no reason at all.&lt;/p&gt;</t>
        </is>
      </c>
      <c r="V208" s="29" t="inlineStr">
        <is>
          <t>ok</t>
        </is>
      </c>
      <c r="W208" s="30" t="n"/>
      <c r="X208" s="30" t="inlineStr">
        <is>
          <t>n/a (Mel's: mason jar products only)</t>
        </is>
      </c>
      <c r="Y208" s="30" t="n"/>
      <c r="Z208" s="48" t="inlineStr">
        <is>
          <t>-</t>
        </is>
      </c>
      <c r="AA208" t="n">
        <v>35</v>
      </c>
      <c r="AB208" s="44" t="n">
        <v>60517.3</v>
      </c>
      <c r="AC208" t="n">
        <v>889</v>
      </c>
      <c r="AD208" s="45" t="n">
        <v>0.006933888457681416</v>
      </c>
      <c r="AE208" s="45" t="n">
        <v>0.0172722878377345</v>
      </c>
      <c r="AF208" t="n">
        <v>11</v>
      </c>
    </row>
    <row r="209" ht="109.5" customHeight="1" s="24">
      <c r="A209" s="30" t="inlineStr">
        <is>
          <t>AU40-12</t>
        </is>
      </c>
      <c r="B209" s="30" t="inlineStr">
        <is>
          <t>Carnival Bouquet</t>
        </is>
      </c>
      <c r="C209" s="30" t="inlineStr">
        <is>
          <t>Bouquets</t>
        </is>
      </c>
      <c r="D209" s="43" t="inlineStr">
        <is>
          <t>READY TO REVIEW</t>
        </is>
      </c>
      <c r="E209" s="30" t="inlineStr">
        <is>
          <t>A lively bouquet brimming with ruffled carnations in a carnival of colour, full of texture and gentle charm. A cheerful pick-me-up for a get-well wish, a proud graduation or a warm welcome to a new home.</t>
        </is>
      </c>
      <c r="F209" s="30" t="inlineStr">
        <is>
          <t>Shopify (28 Sep)</t>
        </is>
      </c>
      <c r="G209" s="30" t="inlineStr">
        <is>
          <t>4 × Carnation Red; 4 × Carnation Pink; 2 × Carnation White; 3 × Ruscus Israeli</t>
        </is>
      </c>
      <c r="H209" s="30" t="inlineStr">
        <is>
          <t>4 × Carnation Red; 4 × Carnation Pink; 2 × Carnation White; 3 × Ruscus Israeli</t>
        </is>
      </c>
      <c r="I209" s="30" t="inlineStr">
        <is>
          <t>4 × Carnation Red; 4 × Carnation Pink; 2 × Carnation White; 3 × Ruscus Israeli</t>
        </is>
      </c>
      <c r="J209" s="30" t="inlineStr">
        <is>
          <t>2 × Carnation White; 3 × Ruscus Israeli; 4 × Carnation Pink; 4 × Carnation Red</t>
        </is>
      </c>
      <c r="K209" s="30" t="inlineStr">
        <is>
          <t>Y</t>
        </is>
      </c>
      <c r="L209" s="30" t="n"/>
      <c r="M209" s="30" t="inlineStr">
        <is>
          <t>A florist-designed bouquet of 4 pink carnations, 4 red carnations and 2 white carnations. A lovely way to mark a birthday or a thank-you, and a bright moment when the door opens.</t>
        </is>
      </c>
      <c r="N209" s="30">
        <f>LEN(TRIM(SUBSTITUTE(M209,CHAR(10)," ")))-LEN(SUBSTITUTE(TRIM(SUBSTITUTE(M209,CHAR(10)," "))," ",""))+1</f>
        <v/>
      </c>
      <c r="O209" s="30" t="inlineStr">
        <is>
          <t>&lt;p&gt;A florist-designed bouquet of 4 pink carnations, 4 red carnations and 2 white carnations. A lovely way to mark a birthday or a thank-you, and a bright moment when the door opens.&lt;/p&gt;</t>
        </is>
      </c>
      <c r="P209" s="29" t="inlineStr">
        <is>
          <t>ok</t>
        </is>
      </c>
      <c r="Q209" s="30" t="inlineStr">
        <is>
          <t>Carnival Bouquet brings together 4 pink carnations, 4 red carnations and 2 white carnations. It suits a birthday or a thank-you.
Pink tones say affection. We hand-arrange each one at Aussie Blooms so it looks the way you pictured it, ready for the kitchen bench.</t>
        </is>
      </c>
      <c r="R209" s="30" t="inlineStr">
        <is>
          <t>&lt;p&gt;Carnival Bouquet brings together 4 pink carnations, 4 red carnations and 2 white carnations. It suits a birthday or a thank-you.&lt;/p&gt;&lt;p&gt;Pink tones say affection. We hand-arrange each one at Aussie Blooms so it looks the way you pictured it, ready for the kitchen bench.&lt;/p&gt;</t>
        </is>
      </c>
      <c r="S209" s="29" t="inlineStr">
        <is>
          <t>ok</t>
        </is>
      </c>
      <c r="T209" s="30" t="inlineStr">
        <is>
          <t>Inside the bunch: 4 pink carnations, 4 red carnations and 2 white carnations. Calm colour for the kind of day that deserves a pause.</t>
        </is>
      </c>
      <c r="U209" s="30" t="inlineStr">
        <is>
          <t>&lt;p&gt;Inside the bunch: 4 pink carnations, 4 red carnations and 2 white carnations. Calm colour for the kind of day that deserves a pause.&lt;/p&gt;</t>
        </is>
      </c>
      <c r="V209" s="29" t="inlineStr">
        <is>
          <t>ok</t>
        </is>
      </c>
      <c r="W209" s="30" t="n"/>
      <c r="X209" s="30" t="inlineStr">
        <is>
          <t>n/a (Mel's: mason jar products only)</t>
        </is>
      </c>
      <c r="Y209" s="30" t="n"/>
      <c r="Z209" s="48" t="inlineStr">
        <is>
          <t>-</t>
        </is>
      </c>
      <c r="AA209" t="n">
        <v>180</v>
      </c>
      <c r="AB209" s="44" t="n">
        <v>3584.99</v>
      </c>
      <c r="AC209" t="n">
        <v>42</v>
      </c>
      <c r="AD209" s="45" t="n">
        <v>0.0004107572674574592</v>
      </c>
      <c r="AE209" s="45" t="n">
        <v>0.001023194676157062</v>
      </c>
      <c r="AF209" t="n">
        <v>90</v>
      </c>
    </row>
    <row r="210" ht="109.5" customHeight="1" s="24">
      <c r="A210" s="30" t="inlineStr">
        <is>
          <t>AU40-30</t>
        </is>
      </c>
      <c r="B210" s="30" t="inlineStr">
        <is>
          <t>Dozen Gerberas</t>
        </is>
      </c>
      <c r="C210" s="30" t="inlineStr">
        <is>
          <t>Bouquets</t>
        </is>
      </c>
      <c r="D210" s="43" t="inlineStr">
        <is>
          <t>READY TO REVIEW</t>
        </is>
      </c>
      <c r="E210" s="30" t="inlineStr">
        <is>
          <t>Vibrant gerberas packed into one joyful, colour-rich bouquet that radiates happiness. Cheerful and full of life, it's an instant mood-lifter for a birthday, a congratulations or a heartfelt get-well wish.</t>
        </is>
      </c>
      <c r="F210" s="30" t="inlineStr">
        <is>
          <t>Shopify (28 Sep)</t>
        </is>
      </c>
      <c r="G210" s="30" t="inlineStr">
        <is>
          <t>12 × Gerbera Daisies assorted; 3 × Ruscus Israeli</t>
        </is>
      </c>
      <c r="H210" s="30" t="inlineStr">
        <is>
          <t>12 × Gerbera Daisies assorted; 3 × Ruscus Israeli</t>
        </is>
      </c>
      <c r="I210" s="30" t="inlineStr">
        <is>
          <t>12 × Gerbera Daisies assorted; 3 × Ruscus Israeli</t>
        </is>
      </c>
      <c r="J210" s="30" t="inlineStr">
        <is>
          <t>12 × Gerbera Daisies assorted; 3 × Ruscus Israeli</t>
        </is>
      </c>
      <c r="K210" s="30" t="inlineStr">
        <is>
          <t>Y</t>
        </is>
      </c>
      <c r="L210" s="30" t="n"/>
      <c r="M210" s="30" t="inlineStr">
        <is>
          <t>A fresh arrangement of 12 assorted-colour gerberas. Chosen for a birthday, a thank-you or a just-because moment, it is a gift that says you care.</t>
        </is>
      </c>
      <c r="N210" s="30">
        <f>LEN(TRIM(SUBSTITUTE(M210,CHAR(10)," ")))-LEN(SUBSTITUTE(TRIM(SUBSTITUTE(M210,CHAR(10)," "))," ",""))+1</f>
        <v/>
      </c>
      <c r="O210" s="30" t="inlineStr">
        <is>
          <t>&lt;p&gt;A fresh arrangement of 12 assorted-colour gerberas. Chosen for a birthday, a thank-you or a just-because moment, it is a gift that says you care.&lt;/p&gt;</t>
        </is>
      </c>
      <c r="P210" s="29" t="inlineStr">
        <is>
          <t>ok</t>
        </is>
      </c>
      <c r="Q210" s="30" t="inlineStr">
        <is>
          <t>Dozen Gerberas brings together 12 assorted-colour gerberas. It suits a birthday, a thank-you or a just-because moment.
Mixed colours say thoughtfulness. We hand-arrange each one at Aussie Blooms so it looks the way you pictured it, ready for a summer table.</t>
        </is>
      </c>
      <c r="R210" s="30" t="inlineStr">
        <is>
          <t>&lt;p&gt;Dozen Gerberas brings together 12 assorted-colour gerberas. It suits a birthday, a thank-you or a just-because moment.&lt;/p&gt;&lt;p&gt;Mixed colours say thoughtfulness. We hand-arrange each one at Aussie Blooms so it looks the way you pictured it, ready for a summer table.&lt;/p&gt;</t>
        </is>
      </c>
      <c r="S210" s="29" t="inlineStr">
        <is>
          <t>ok</t>
        </is>
      </c>
      <c r="T210" s="30" t="inlineStr">
        <is>
          <t>The bunch holds: 12 assorted-colour gerberas. A simple good turn for a birthday, a thank-you or no reason at all.</t>
        </is>
      </c>
      <c r="U210" s="30" t="inlineStr">
        <is>
          <t>&lt;p&gt;The bunch holds: 12 assorted-colour gerberas. A simple good turn for a birthday, a thank-you or no reason at all.&lt;/p&gt;</t>
        </is>
      </c>
      <c r="V210" s="29" t="inlineStr">
        <is>
          <t>ok</t>
        </is>
      </c>
      <c r="W210" s="30" t="n"/>
      <c r="X210" s="30" t="inlineStr">
        <is>
          <t>n/a (Mel's: mason jar products only)</t>
        </is>
      </c>
      <c r="Y210" s="30" t="n"/>
      <c r="Z210" s="48" t="inlineStr">
        <is>
          <t>-</t>
        </is>
      </c>
      <c r="AA210" t="n">
        <v>231</v>
      </c>
      <c r="AB210" s="44" t="n">
        <v>695.4400000000001</v>
      </c>
      <c r="AC210" t="n">
        <v>6</v>
      </c>
      <c r="AD210" s="45" t="n">
        <v>7.968140331789362e-05</v>
      </c>
      <c r="AE210" s="45" t="n">
        <v>0.0001984860503339389</v>
      </c>
      <c r="AF210" t="n">
        <v>125</v>
      </c>
    </row>
    <row r="211" ht="109.5" customHeight="1" s="24">
      <c r="A211" s="30" t="inlineStr">
        <is>
          <t>AU80-05</t>
        </is>
      </c>
      <c r="B211" s="30" t="inlineStr">
        <is>
          <t>Picturesque</t>
        </is>
      </c>
      <c r="C211" s="30" t="inlineStr">
        <is>
          <t>Bouquets</t>
        </is>
      </c>
      <c r="D211" s="43" t="inlineStr">
        <is>
          <t>READY TO REVIEW</t>
        </is>
      </c>
      <c r="E211" s="30" t="inlineStr">
        <is>
          <t>Cheerful gerberas and full, feathery chrysanthemums come together in a picturesque display of colour and life. A wonderfully bright way to brighten a birthday and let someone know they're thought of.</t>
        </is>
      </c>
      <c r="F211" s="30" t="inlineStr">
        <is>
          <t>Shopify (28 Sep)</t>
        </is>
      </c>
      <c r="G211" s="30" t="inlineStr">
        <is>
          <t>5 × Chrysanthemum Daisies White; 7 × Gerbera Daisies Pink; 3 × Ruscus Israeli</t>
        </is>
      </c>
      <c r="H211" s="30" t="inlineStr">
        <is>
          <t>5 × Chrysanthemum Daisies White; 7 × Gerbera Daisies Pink; 3 × Ruscus Israeli</t>
        </is>
      </c>
      <c r="I211" s="30" t="inlineStr">
        <is>
          <t>5 × Chrysanthemum Daisies White; 7 × Gerbera Daisies Pink; 3 × Ruscus Israeli</t>
        </is>
      </c>
      <c r="J211" s="30" t="inlineStr">
        <is>
          <t>3 × Ruscus Israeli; 7 × Gerbera Daisies Pink; 5 × Chrysanthemum Daisies White</t>
        </is>
      </c>
      <c r="K211" s="30" t="inlineStr">
        <is>
          <t>Y</t>
        </is>
      </c>
      <c r="L211" s="30" t="n"/>
      <c r="M211" s="30" t="inlineStr">
        <is>
          <t>A fresh arrangement of 7 pink gerberas and 5 white chrysanthemum daisies. Chosen for a birthday, a thank-you or a just-because moment, it is a gift that says you care.</t>
        </is>
      </c>
      <c r="N211" s="30">
        <f>LEN(TRIM(SUBSTITUTE(M211,CHAR(10)," ")))-LEN(SUBSTITUTE(TRIM(SUBSTITUTE(M211,CHAR(10)," "))," ",""))+1</f>
        <v/>
      </c>
      <c r="O211" s="30" t="inlineStr">
        <is>
          <t>&lt;p&gt;A fresh arrangement of 7 pink gerberas and 5 white chrysanthemum daisies. Chosen for a birthday, a thank-you or a just-because moment, it is a gift that says you care.&lt;/p&gt;</t>
        </is>
      </c>
      <c r="P211" s="29" t="inlineStr">
        <is>
          <t>ok</t>
        </is>
      </c>
      <c r="Q211" s="30" t="inlineStr">
        <is>
          <t>Picturesque brings together 7 pink gerberas and 5 white chrysanthemum daisies. It suits a birthday, a thank-you or a just-because moment.
Pink tones say affection. We hand-arrange each one at Aussie Blooms so it looks the way you pictured it, ready for the kitchen bench.</t>
        </is>
      </c>
      <c r="R211" s="30" t="inlineStr">
        <is>
          <t>&lt;p&gt;Picturesque brings together 7 pink gerberas and 5 white chrysanthemum daisies. It suits a birthday, a thank-you or a just-because moment.&lt;/p&gt;&lt;p&gt;Pink tones say affection. We hand-arrange each one at Aussie Blooms so it looks the way you pictured it, ready for the kitchen bench.&lt;/p&gt;</t>
        </is>
      </c>
      <c r="S211" s="29" t="inlineStr">
        <is>
          <t>ok</t>
        </is>
      </c>
      <c r="T211" s="30" t="inlineStr">
        <is>
          <t>The bunch holds: 7 pink gerberas and 5 white chrysanthemum daisies. Gentle, easy on the eye, and ready for any table you give it.</t>
        </is>
      </c>
      <c r="U211" s="30" t="inlineStr">
        <is>
          <t>&lt;p&gt;The bunch holds: 7 pink gerberas and 5 white chrysanthemum daisies. Gentle, easy on the eye, and ready for any table you give it.&lt;/p&gt;</t>
        </is>
      </c>
      <c r="V211" s="29" t="inlineStr">
        <is>
          <t>ok</t>
        </is>
      </c>
      <c r="W211" s="30" t="n"/>
      <c r="X211" s="30" t="inlineStr">
        <is>
          <t>n/a (Mel's: mason jar products only)</t>
        </is>
      </c>
      <c r="Y211" s="30" t="n"/>
      <c r="Z211" s="48" t="inlineStr">
        <is>
          <t>-</t>
        </is>
      </c>
      <c r="AA211" t="n">
        <v>193</v>
      </c>
      <c r="AB211" s="44" t="n">
        <v>2932.8</v>
      </c>
      <c r="AC211" t="n">
        <v>38</v>
      </c>
      <c r="AD211" s="45" t="n">
        <v>0.0003360309740689469</v>
      </c>
      <c r="AE211" s="45" t="n">
        <v>0.0008370517844260109</v>
      </c>
      <c r="AF211" t="n">
        <v>101</v>
      </c>
    </row>
    <row r="212" ht="109.5" customHeight="1" s="24">
      <c r="A212" s="30" t="inlineStr">
        <is>
          <t>AU80-06</t>
        </is>
      </c>
      <c r="B212" s="30" t="inlineStr">
        <is>
          <t>Classic Elegance</t>
        </is>
      </c>
      <c r="C212" s="30" t="inlineStr">
        <is>
          <t>Bouquets</t>
        </is>
      </c>
      <c r="D212" s="43" t="inlineStr">
        <is>
          <t>READY TO REVIEW</t>
        </is>
      </c>
      <c r="E212" s="30" t="inlineStr">
        <is>
          <t>Eighteen roses and eighteen chrysanthemums combine in a beautifully balanced bouquet of timeless style. Refined yet welcoming, this classic arrangement suits almost any moment when you want to send something genuinely elegant.</t>
        </is>
      </c>
      <c r="F212" s="30" t="inlineStr">
        <is>
          <t>Shopify (28 Sep)</t>
        </is>
      </c>
      <c r="G212" s="30" t="inlineStr">
        <is>
          <t>4 × Roses Spray Pink; 4 × Chrysanthemum Spray yellow; 2 × Ruscus Israeli</t>
        </is>
      </c>
      <c r="H212" s="30" t="inlineStr">
        <is>
          <t>4 × Roses Spray Pink; 4 × Chrysanthemum Spray yellow; 2 × Ruscus Israeli</t>
        </is>
      </c>
      <c r="I212" s="30" t="inlineStr">
        <is>
          <t>4 × Roses Spray Pink; 4 × Chrysanthemum Spray yellow; 2 × Ruscus Israeli</t>
        </is>
      </c>
      <c r="J212" s="30" t="inlineStr">
        <is>
          <t>2 × Ruscus Israeli; 4 × Chrysanthemum Spray yellow; 4 × Roses Spray Pink</t>
        </is>
      </c>
      <c r="K212" s="30" t="inlineStr">
        <is>
          <t>Y</t>
        </is>
      </c>
      <c r="L212" s="30" t="n"/>
      <c r="M212" s="30" t="inlineStr">
        <is>
          <t>A fresh arrangement of 4 pink spray roses and 4 yellow spray chrysanthemums. A lovely way to mark a birthday, a thank-you or a just-because moment, and a bright moment when the door opens.</t>
        </is>
      </c>
      <c r="N212" s="30">
        <f>LEN(TRIM(SUBSTITUTE(M212,CHAR(10)," ")))-LEN(SUBSTITUTE(TRIM(SUBSTITUTE(M212,CHAR(10)," "))," ",""))+1</f>
        <v/>
      </c>
      <c r="O212" s="30" t="inlineStr">
        <is>
          <t>&lt;p&gt;A fresh arrangement of 4 pink spray roses and 4 yellow spray chrysanthemums. A lovely way to mark a birthday, a thank-you or a just-because moment, and a bright moment when the door opens.&lt;/p&gt;</t>
        </is>
      </c>
      <c r="P212" s="29" t="inlineStr">
        <is>
          <t>ok</t>
        </is>
      </c>
      <c r="Q212" s="30" t="inlineStr">
        <is>
          <t>Classic Elegance brings together 4 pink spray roses and 4 yellow spray chrysanthemums. It suits a birthday, a thank-you or a just-because moment.
Pink tones say affection. We hand-arrange each one at Aussie Blooms so it looks the way you pictured it, ready for the bedside table.</t>
        </is>
      </c>
      <c r="R212" s="30" t="inlineStr">
        <is>
          <t>&lt;p&gt;Classic Elegance brings together 4 pink spray roses and 4 yellow spray chrysanthemums. It suits a birthday, a thank-you or a just-because moment.&lt;/p&gt;&lt;p&gt;Pink tones say affection. We hand-arrange each one at Aussie Blooms so it looks the way you pictured it, ready for the bedside table.&lt;/p&gt;</t>
        </is>
      </c>
      <c r="S212" s="29" t="inlineStr">
        <is>
          <t>ok</t>
        </is>
      </c>
      <c r="T212" s="30" t="inlineStr">
        <is>
          <t>The bunch holds: 4 pink spray roses and 4 yellow spray chrysanthemums. Enough colour to turn an ordinary bench into the best spot in the house.</t>
        </is>
      </c>
      <c r="U212" s="30" t="inlineStr">
        <is>
          <t>&lt;p&gt;The bunch holds: 4 pink spray roses and 4 yellow spray chrysanthemums. Enough colour to turn an ordinary bench into the best spot in the house.&lt;/p&gt;</t>
        </is>
      </c>
      <c r="V212" s="29" t="inlineStr">
        <is>
          <t>ok</t>
        </is>
      </c>
      <c r="W212" s="30" t="n"/>
      <c r="X212" s="30" t="inlineStr">
        <is>
          <t>n/a (Mel's: mason jar products only)</t>
        </is>
      </c>
      <c r="Y212" s="30" t="n"/>
      <c r="Z212" s="48" t="inlineStr">
        <is>
          <t>-</t>
        </is>
      </c>
      <c r="AA212" t="n">
        <v>240</v>
      </c>
      <c r="AB212" s="44" t="n">
        <v>313.17</v>
      </c>
      <c r="AC212" t="n">
        <v>4</v>
      </c>
      <c r="AD212" s="45" t="n">
        <v>3.588206757889213e-05</v>
      </c>
      <c r="AE212" s="45" t="n">
        <v>8.938208383624705e-05</v>
      </c>
      <c r="AF212" t="n">
        <v>133</v>
      </c>
    </row>
    <row r="213" ht="109.5" customHeight="1" s="24">
      <c r="A213" s="30" t="inlineStr">
        <is>
          <t>AU115-18</t>
        </is>
      </c>
      <c r="B213" s="30" t="inlineStr">
        <is>
          <t>Revitalising Aromas</t>
        </is>
      </c>
      <c r="C213" s="30" t="inlineStr">
        <is>
          <t>Bouquets</t>
        </is>
      </c>
      <c r="D213" s="43" t="inlineStr">
        <is>
          <t>READY TO REVIEW</t>
        </is>
      </c>
      <c r="E213" s="30" t="inlineStr">
        <is>
          <t>Soft carnations, delicate alstroemeria and lush chrysanthemums blend into a fresh, fragrant arrangement that feels like a deep breath of garden air. A revitalising gift for a birthday, a heartfelt congratulations or a get-well wish.</t>
        </is>
      </c>
      <c r="F213" s="30" t="inlineStr">
        <is>
          <t>Shopify (28 Sep)</t>
        </is>
      </c>
      <c r="G213" s="30" t="inlineStr">
        <is>
          <t>3 × Carnation Pink; 1 × Limonium Pink; 2 × Chrysanthemum Spray White; 2 × Ruscus Israeli; 2 × Mini Carnations Hot Pink; 2 × Alstroemeria Pink</t>
        </is>
      </c>
      <c r="H213" s="30" t="inlineStr">
        <is>
          <t>3 × Carnation Pink; 1 × Limonium Pink; 2 × Chrysanthemum Spray White; 2 × Ruscus Israeli; 2 × Mini Carnations Hot Pink; 2 × Alstroemeria Pink</t>
        </is>
      </c>
      <c r="I213" s="30" t="inlineStr">
        <is>
          <t>3 × Carnation Pink; 1 × Limonium Pink; 2 × Chrysanthemum Spray White; 2 × Ruscus Israeli; 2 × Mini Carnations Hot Pink; 2 × Alstroemeria Pink</t>
        </is>
      </c>
      <c r="J213" s="30" t="inlineStr">
        <is>
          <t>2 × Chrysanthemum Spray White; 2 × Alstroemeria Pink; 2 × Mini Carnations Hot Pink; 2 × Ruscus Israeli; 1 × Limonium Pink; 3 × Carnation Pink</t>
        </is>
      </c>
      <c r="K213" s="30" t="inlineStr">
        <is>
          <t>Y</t>
        </is>
      </c>
      <c r="L213" s="30" t="n"/>
      <c r="M213" s="30" t="inlineStr">
        <is>
          <t>A fresh arrangement of 3 pink carnations, 2 pink alstroemeria and 2 white spray chrysanthemums. A lovely way to mark a birthday, a thank-you or a just-because moment, and a bright moment when the door opens.</t>
        </is>
      </c>
      <c r="N213" s="30">
        <f>LEN(TRIM(SUBSTITUTE(M213,CHAR(10)," ")))-LEN(SUBSTITUTE(TRIM(SUBSTITUTE(M213,CHAR(10)," "))," ",""))+1</f>
        <v/>
      </c>
      <c r="O213" s="30" t="inlineStr">
        <is>
          <t>&lt;p&gt;A fresh arrangement of 3 pink carnations, 2 pink alstroemeria and 2 white spray chrysanthemums. A lovely way to mark a birthday, a thank-you or a just-because moment, and a bright moment when the door opens.&lt;/p&gt;</t>
        </is>
      </c>
      <c r="P213" s="29" t="inlineStr">
        <is>
          <t>ok</t>
        </is>
      </c>
      <c r="Q213" s="30" t="inlineStr">
        <is>
          <t>Revitalising Aromas brings together 3 pink carnations, 2 pink alstroemeria and 2 white spray chrysanthemums. It suits a birthday, a thank-you or a just-because moment.
Pink tones say affection. We hand-arrange each one at Aussie Blooms so it looks the way you pictured it, ready for the kitchen bench.</t>
        </is>
      </c>
      <c r="R213" s="30" t="inlineStr">
        <is>
          <t>&lt;p&gt;Revitalising Aromas brings together 3 pink carnations, 2 pink alstroemeria and 2 white spray chrysanthemums. It suits a birthday, a thank-you or a just-because moment.&lt;/p&gt;&lt;p&gt;Pink tones say affection. We hand-arrange each one at Aussie Blooms so it looks the way you pictured it, ready for the kitchen bench.&lt;/p&gt;</t>
        </is>
      </c>
      <c r="S213" s="29" t="inlineStr">
        <is>
          <t>ok</t>
        </is>
      </c>
      <c r="T213" s="30" t="inlineStr">
        <is>
          <t>The bunch holds: 3 pink carnations, 2 pink alstroemeria and 2 white spray chrysanthemums. Enough colour to turn an ordinary bench into the best spot in the house.</t>
        </is>
      </c>
      <c r="U213" s="30" t="inlineStr">
        <is>
          <t>&lt;p&gt;The bunch holds: 3 pink carnations, 2 pink alstroemeria and 2 white spray chrysanthemums. Enough colour to turn an ordinary bench into the best spot in the house.&lt;/p&gt;</t>
        </is>
      </c>
      <c r="V213" s="29" t="inlineStr">
        <is>
          <t>ok</t>
        </is>
      </c>
      <c r="W213" s="30" t="n"/>
      <c r="X213" s="30" t="inlineStr">
        <is>
          <t>n/a (Mel's: mason jar products only)</t>
        </is>
      </c>
      <c r="Y213" s="30" t="n"/>
      <c r="Z213" s="48" t="inlineStr">
        <is>
          <t>-</t>
        </is>
      </c>
      <c r="AA213" t="n">
        <v>78</v>
      </c>
      <c r="AB213" s="44" t="n">
        <v>23973.65</v>
      </c>
      <c r="AC213" t="n">
        <v>266</v>
      </c>
      <c r="AD213" s="45" t="n">
        <v>0.002746827441971994</v>
      </c>
      <c r="AE213" s="45" t="n">
        <v>0.006842335942939697</v>
      </c>
      <c r="AF213" t="n">
        <v>32</v>
      </c>
    </row>
    <row r="214" ht="109.5" customHeight="1" s="24">
      <c r="A214" s="30" t="inlineStr">
        <is>
          <t>AU120-71</t>
        </is>
      </c>
      <c r="B214" s="30" t="inlineStr">
        <is>
          <t>Sizzling Bouquet</t>
        </is>
      </c>
      <c r="C214" s="30" t="inlineStr">
        <is>
          <t>Bouquets</t>
        </is>
      </c>
      <c r="D214" s="43" t="inlineStr">
        <is>
          <t>READY TO REVIEW</t>
        </is>
      </c>
      <c r="E214" s="30" t="inlineStr">
        <is>
          <t>Vivid roses and bold gerberas come together in a sizzling burst of warm, fiery colour. A confident, joyful bouquet for a birthday, a proud congratulations or a romantic moment that deserves to shine.</t>
        </is>
      </c>
      <c r="F214" s="30" t="inlineStr">
        <is>
          <t>Shopify (28 Sep)</t>
        </is>
      </c>
      <c r="G214" s="30" t="inlineStr">
        <is>
          <t>2 × Roses Orange; 2 × Roses Yellow; 2 × Roses Hot Pink; 2 × Carnations Hot Pink; 2 × Gerbera Daisies Orange; 2 × Gerbera Daisies Pink; 3 × Ruscus Israeli</t>
        </is>
      </c>
      <c r="H214" s="30" t="inlineStr">
        <is>
          <t>2 × Roses Orange; 2 × Roses Yellow; 2 × Roses Hot Pink; 2 × Carnations Hot Pink; 2 × Gerbera Daisies Orange; 2 × Gerbera Daisies Pink; 3 × Ruscus Israeli</t>
        </is>
      </c>
      <c r="I214" s="30" t="inlineStr">
        <is>
          <t>2 × Roses Orange; 2 × Roses Yellow; 2 × Roses Hot Pink; 2 × Carnations Hot Pink; 2 × Gerbera Daisies Orange; 2 × Gerbera Daisies Pink; 3 × Ruscus Israeli</t>
        </is>
      </c>
      <c r="J214" s="30" t="inlineStr">
        <is>
          <t>2 × Carnations Hot Pink; 3 × Ruscus Israeli; 2 × Gerbera Daisies Pink; 2 × Gerbera Daisies Orange; 2 × Roses Hot Pink; 2 × Roses Yellow; 2 × Roses Orange</t>
        </is>
      </c>
      <c r="K214" s="30" t="inlineStr">
        <is>
          <t>Y</t>
        </is>
      </c>
      <c r="L214" s="30" t="n"/>
      <c r="M214" s="30" t="inlineStr">
        <is>
          <t>A fresh arrangement of 2 hot pink carnations, 2 hot pink roses, 2 orange gerberas, 2 orange roses, 2 pink gerberas and 2 yellow roses. Chosen for a birthday, a thank-you or a just-because moment, it is a gift that says you care.</t>
        </is>
      </c>
      <c r="N214" s="30">
        <f>LEN(TRIM(SUBSTITUTE(M214,CHAR(10)," ")))-LEN(SUBSTITUTE(TRIM(SUBSTITUTE(M214,CHAR(10)," "))," ",""))+1</f>
        <v/>
      </c>
      <c r="O214" s="30" t="inlineStr">
        <is>
          <t>&lt;p&gt;A fresh arrangement of 2 hot pink carnations, 2 hot pink roses, 2 orange gerberas, 2 orange roses, 2 pink gerberas and 2 yellow roses. Chosen for a birthday, a thank-you or a just-because moment, it is a gift that says you care.&lt;/p&gt;</t>
        </is>
      </c>
      <c r="P214" s="29" t="inlineStr">
        <is>
          <t>ok</t>
        </is>
      </c>
      <c r="Q214" s="30" t="inlineStr">
        <is>
          <t>Sizzling Bouquet brings together 2 hot pink carnations, 2 hot pink roses, 2 orange gerberas, 2 orange roses, 2 pink gerberas and 2 yellow roses. It suits a birthday, a thank-you or a just-because moment.
Hot pink tones say a bold, happy affection. We hand-arrange each one at Aussie Blooms so it looks the way you pictured it, ready for the bedside table.</t>
        </is>
      </c>
      <c r="R214" s="30" t="inlineStr">
        <is>
          <t>&lt;p&gt;Sizzling Bouquet brings together 2 hot pink carnations, 2 hot pink roses, 2 orange gerberas, 2 orange roses, 2 pink gerberas and 2 yellow roses. It suits a birthday, a thank-you or a just-because moment.&lt;/p&gt;&lt;p&gt;Hot pink tones say a bold, happy affection. We hand-arrange each one at Aussie Blooms so it looks the way you pictured it, ready for the bedside table.&lt;/p&gt;</t>
        </is>
      </c>
      <c r="S214" s="29" t="inlineStr">
        <is>
          <t>ok</t>
        </is>
      </c>
      <c r="T214" s="30" t="inlineStr">
        <is>
          <t>The bunch holds: 2 hot pink carnations, 2 hot pink roses, 2 orange gerberas, 2 orange roses, 2 pink gerberas and 2 yellow roses. Enough colour to turn an ordinary bench into the best spot in the house.</t>
        </is>
      </c>
      <c r="U214" s="30" t="inlineStr">
        <is>
          <t>&lt;p&gt;The bunch holds: 2 hot pink carnations, 2 hot pink roses, 2 orange gerberas, 2 orange roses, 2 pink gerberas and 2 yellow roses. Enough colour to turn an ordinary bench into the best spot in the house.&lt;/p&gt;</t>
        </is>
      </c>
      <c r="V214" s="29" t="inlineStr">
        <is>
          <t>ok</t>
        </is>
      </c>
      <c r="W214" s="30" t="n"/>
      <c r="X214" s="30" t="inlineStr">
        <is>
          <t>n/a (Mel's: mason jar products only)</t>
        </is>
      </c>
      <c r="Y214" s="30" t="n"/>
      <c r="Z214" s="48" t="inlineStr">
        <is>
          <t>-</t>
        </is>
      </c>
      <c r="AA214" t="n">
        <v>65</v>
      </c>
      <c r="AB214" s="44" t="n">
        <v>31946.76</v>
      </c>
      <c r="AC214" t="n">
        <v>318</v>
      </c>
      <c r="AD214" s="45" t="n">
        <v>0.0036603624025304</v>
      </c>
      <c r="AE214" s="45" t="n">
        <v>0.009117947799821861</v>
      </c>
      <c r="AF214" t="n">
        <v>26</v>
      </c>
    </row>
    <row r="215" ht="109.5" customHeight="1" s="24">
      <c r="A215" s="30" t="inlineStr">
        <is>
          <t>AU11-97</t>
        </is>
      </c>
      <c r="B215" s="30" t="inlineStr">
        <is>
          <t>Premium White and Red Roses</t>
        </is>
      </c>
      <c r="C215" s="30" t="inlineStr">
        <is>
          <t>Bouquets</t>
        </is>
      </c>
      <c r="D215" s="43" t="inlineStr">
        <is>
          <t>READY TO REVIEW</t>
        </is>
      </c>
      <c r="E215" s="30" t="inlineStr">
        <is>
          <t>An opulent gathering of pure white and deep red roses, woven together for striking contrast and timeless romance. A breathtaking choice to celebrate an anniversary, a milestone birthday or a heartfelt congratulations.</t>
        </is>
      </c>
      <c r="F215" s="30" t="inlineStr">
        <is>
          <t>Shopify (28 Sep)</t>
        </is>
      </c>
      <c r="G215" s="30" t="inlineStr">
        <is>
          <t>12 × Roses White; 12 × Roses Red; 3 × Baby's Breath; 4 × Ruscus Israeli</t>
        </is>
      </c>
      <c r="H215" s="30" t="inlineStr">
        <is>
          <t>12 × Roses White; 12 × Roses Red; 3 × Baby's Breath; 4 × Ruscus Israeli</t>
        </is>
      </c>
      <c r="I215" s="30" t="inlineStr">
        <is>
          <t>12 × Roses White; 12 × Roses Red; 3 × Baby's Breath; 4 × Ruscus Israeli</t>
        </is>
      </c>
      <c r="J215" s="30" t="inlineStr">
        <is>
          <t>3 × Baby's Breath; 4 × Ruscus Israeli; 12 × Roses Red; 12 × Roses White</t>
        </is>
      </c>
      <c r="K215" s="30" t="inlineStr">
        <is>
          <t>Y</t>
        </is>
      </c>
      <c r="L215" s="30" t="n"/>
      <c r="M215" s="30" t="inlineStr">
        <is>
          <t>A hand-arranged bouquet of 12 red roses and 12 white roses. A lovely way to mark an anniversary or a thank-you, and a bright moment when the door opens.</t>
        </is>
      </c>
      <c r="N215" s="30">
        <f>LEN(TRIM(SUBSTITUTE(M215,CHAR(10)," ")))-LEN(SUBSTITUTE(TRIM(SUBSTITUTE(M215,CHAR(10)," "))," ",""))+1</f>
        <v/>
      </c>
      <c r="O215" s="30" t="inlineStr">
        <is>
          <t>&lt;p&gt;A hand-arranged bouquet of 12 red roses and 12 white roses. A lovely way to mark an anniversary or a thank-you, and a bright moment when the door opens.&lt;/p&gt;</t>
        </is>
      </c>
      <c r="P215" s="29" t="inlineStr">
        <is>
          <t>ok</t>
        </is>
      </c>
      <c r="Q215" s="30" t="inlineStr">
        <is>
          <t>Premium White and Red Roses brings together 12 red roses and 12 white roses. It suits an anniversary or a thank-you.
Red tones say love and devotion. We hand-arrange each one at Aussie Blooms so it looks the way you pictured it, ready for the kitchen bench.</t>
        </is>
      </c>
      <c r="R215" s="30" t="inlineStr">
        <is>
          <t>&lt;p&gt;Premium White and Red Roses brings together 12 red roses and 12 white roses. It suits an anniversary or a thank-you.&lt;/p&gt;&lt;p&gt;Red tones say love and devotion. We hand-arrange each one at Aussie Blooms so it looks the way you pictured it, ready for the kitchen bench.&lt;/p&gt;</t>
        </is>
      </c>
      <c r="S215" s="29" t="inlineStr">
        <is>
          <t>ok</t>
        </is>
      </c>
      <c r="T215" s="30" t="inlineStr">
        <is>
          <t>In this bunch: 12 red roses and 12 white roses. Some things need no speech. Put these on the table and the message is delivered.</t>
        </is>
      </c>
      <c r="U215" s="30" t="inlineStr">
        <is>
          <t>&lt;p&gt;In this bunch: 12 red roses and 12 white roses. Some things need no speech. Put these on the table and the message is delivered.&lt;/p&gt;</t>
        </is>
      </c>
      <c r="V215" s="47" t="inlineStr">
        <is>
          <t>delivery promise</t>
        </is>
      </c>
      <c r="W215" s="30" t="n"/>
      <c r="X215" s="30" t="inlineStr">
        <is>
          <t>n/a (Mel's: mason jar products only)</t>
        </is>
      </c>
      <c r="Y215" s="30" t="n"/>
      <c r="Z215" s="48" t="inlineStr">
        <is>
          <t>-</t>
        </is>
      </c>
      <c r="AA215" t="n">
        <v>94</v>
      </c>
      <c r="AB215" s="44" t="n">
        <v>16433.39</v>
      </c>
      <c r="AC215" t="n">
        <v>87</v>
      </c>
      <c r="AD215" s="45" t="n">
        <v>0.001882887463684324</v>
      </c>
      <c r="AE215" s="45" t="n">
        <v>0.004690264984402747</v>
      </c>
      <c r="AF215" t="n">
        <v>42</v>
      </c>
    </row>
    <row r="216" ht="109.5" customHeight="1" s="24">
      <c r="A216" s="30" t="inlineStr">
        <is>
          <t>AU120-21</t>
        </is>
      </c>
      <c r="B216" s="30" t="inlineStr">
        <is>
          <t>Simply Stunning</t>
        </is>
      </c>
      <c r="C216" s="30" t="inlineStr">
        <is>
          <t>Bouquets</t>
        </is>
      </c>
      <c r="D216" s="43" t="inlineStr">
        <is>
          <t>READY TO REVIEW</t>
        </is>
      </c>
      <c r="E216" s="30" t="inlineStr">
        <is>
          <t>Plush carnations, classic roses and full chrysanthemums combine in a simply stunning arrangement of colour and texture. An elegant gift to mark an anniversary, brighten a birthday or send a warm congratulations.</t>
        </is>
      </c>
      <c r="F216" s="30" t="inlineStr">
        <is>
          <t>Shopify (28 Sep)</t>
        </is>
      </c>
      <c r="G216" s="30" t="inlineStr">
        <is>
          <t>2 × Roses Red; 2 × Carnation Red; 3 × Carnation Pink; 2 × Chrysanthemum Spray White; 3 × Ruscus Israeli</t>
        </is>
      </c>
      <c r="H216" s="30" t="inlineStr">
        <is>
          <t>2 × Roses Red; 2 × Carnation Red; 3 × Carnation Pink; 2 × Chrysanthemum Spray White; 3 × Ruscus Israeli</t>
        </is>
      </c>
      <c r="I216" s="30" t="inlineStr">
        <is>
          <t>2 × Roses Red; 2 × Carnation Red; 3 × Carnation Pink; 2 × Chrysanthemum Spray White; 3 × Ruscus Israeli</t>
        </is>
      </c>
      <c r="J216" s="30" t="inlineStr">
        <is>
          <t>3 × Carnation Pink; 3 × Ruscus Israeli; 2 × Chrysanthemum Spray White; 2 × Carnation Red; 2 × Roses Red</t>
        </is>
      </c>
      <c r="K216" s="30" t="inlineStr">
        <is>
          <t>Y</t>
        </is>
      </c>
      <c r="L216" s="30" t="n"/>
      <c r="M216" s="30" t="inlineStr">
        <is>
          <t>A hand-arranged bouquet of 3 pink carnations, 2 red carnations, 2 red roses and 2 white spray chrysanthemums. Chosen for an anniversary or a thank-you, it says you were thinking of them.</t>
        </is>
      </c>
      <c r="N216" s="30">
        <f>LEN(TRIM(SUBSTITUTE(M216,CHAR(10)," ")))-LEN(SUBSTITUTE(TRIM(SUBSTITUTE(M216,CHAR(10)," "))," ",""))+1</f>
        <v/>
      </c>
      <c r="O216" s="30" t="inlineStr">
        <is>
          <t>&lt;p&gt;A hand-arranged bouquet of 3 pink carnations, 2 red carnations, 2 red roses and 2 white spray chrysanthemums. Chosen for an anniversary or a thank-you, it says you were thinking of them.&lt;/p&gt;</t>
        </is>
      </c>
      <c r="P216" s="29" t="inlineStr">
        <is>
          <t>ok</t>
        </is>
      </c>
      <c r="Q216" s="30" t="inlineStr">
        <is>
          <t>Simply Stunning brings together 3 pink carnations, 2 red carnations, 2 red roses and 2 white spray chrysanthemums. It suits an anniversary or a thank-you.
Red tones say love and devotion. We hand-arrange each one at Aussie Blooms so it looks the way you pictured it, ready for the bedside table.</t>
        </is>
      </c>
      <c r="R216" s="30" t="inlineStr">
        <is>
          <t>&lt;p&gt;Simply Stunning brings together 3 pink carnations, 2 red carnations, 2 red roses and 2 white spray chrysanthemums. It suits an anniversary or a thank-you.&lt;/p&gt;&lt;p&gt;Red tones say love and devotion. We hand-arrange each one at Aussie Blooms so it looks the way you pictured it, ready for the bedside table.&lt;/p&gt;</t>
        </is>
      </c>
      <c r="S216" s="29" t="inlineStr">
        <is>
          <t>ok</t>
        </is>
      </c>
      <c r="T216" s="30" t="inlineStr">
        <is>
          <t>In this bunch: 3 pink carnations, 2 red carnations, 2 red roses and 2 white spray chrysanthemums. Some things need no speech. Put these on the table and the message is delivered.</t>
        </is>
      </c>
      <c r="U216" s="30" t="inlineStr">
        <is>
          <t>&lt;p&gt;In this bunch: 3 pink carnations, 2 red carnations, 2 red roses and 2 white spray chrysanthemums. Some things need no speech. Put these on the table and the message is delivered.&lt;/p&gt;</t>
        </is>
      </c>
      <c r="V216" s="47" t="inlineStr">
        <is>
          <t>delivery promise</t>
        </is>
      </c>
      <c r="W216" s="30" t="n"/>
      <c r="X216" s="30" t="inlineStr">
        <is>
          <t>n/a (Mel's: mason jar products only)</t>
        </is>
      </c>
      <c r="Y216" s="30" t="n"/>
      <c r="Z216" s="48" t="inlineStr">
        <is>
          <t>-</t>
        </is>
      </c>
      <c r="AA216" t="n">
        <v>146</v>
      </c>
      <c r="AB216" s="44" t="n">
        <v>6493.67</v>
      </c>
      <c r="AC216" t="n">
        <v>69</v>
      </c>
      <c r="AD216" s="45" t="n">
        <v>0.0007440249889038684</v>
      </c>
      <c r="AE216" s="45" t="n">
        <v>0.001853363209582407</v>
      </c>
      <c r="AF216" t="n">
        <v>69</v>
      </c>
    </row>
    <row r="217" ht="109.5" customHeight="1" s="24">
      <c r="A217" s="30" t="inlineStr">
        <is>
          <t>AU20-03</t>
        </is>
      </c>
      <c r="B217" s="30" t="inlineStr">
        <is>
          <t>Roses and Smiles</t>
        </is>
      </c>
      <c r="C217" s="30" t="inlineStr">
        <is>
          <t>Bouquets</t>
        </is>
      </c>
      <c r="D217" s="43" t="inlineStr">
        <is>
          <t>READY TO REVIEW</t>
        </is>
      </c>
      <c r="E217" s="30" t="inlineStr">
        <is>
          <t>Graceful alstroemeria, soft carnations, lush chrysanthemums and romantic roses come together in a bouquet made to spark smiles. A heartfelt way to celebrate an anniversary, a birthday or a well-deserved congratulations.</t>
        </is>
      </c>
      <c r="F217" s="30" t="inlineStr">
        <is>
          <t>Shopify (28 Sep)</t>
        </is>
      </c>
      <c r="G217" s="30" t="inlineStr">
        <is>
          <t>4 × Roses Pink; 1 × Roses Spray Cream; 3 × Carnation Pink; 2 × Chrysanthemum Button White; 3 × Ruscus Israeli; 2 × Alstroemeria Pink; 1 × Mini Carnations Pink</t>
        </is>
      </c>
      <c r="H217" s="30" t="inlineStr">
        <is>
          <t>4 × Roses Pink; 1 × Roses Spray Cream; 3 × Carnation Pink; 2 × Chrysanthemum Button White; 3 × Ruscus Israeli; 2 × Alstroemeria Pink; 1 × Mini Carnations Pink</t>
        </is>
      </c>
      <c r="I217" s="30" t="inlineStr">
        <is>
          <t>4 × Roses Pink; 1 × Roses Spray Cream; 3 × Carnation Pink; 2 × Chrysanthemum Button White; 3 × Ruscus Israeli; 2 × Alstroemeria Pink; 1 × Mini Carnations Pink</t>
        </is>
      </c>
      <c r="J217" s="30" t="inlineStr">
        <is>
          <t>2 × Chrysanthemum Button White; 1 × Mini Carnations Pink; 2 × Alstroemeria Pink; 3 × Ruscus Israeli; 3 × Carnation Pink; 1 × Roses Spray Cream; 4 × Roses Pink</t>
        </is>
      </c>
      <c r="K217" s="30" t="inlineStr">
        <is>
          <t>Y</t>
        </is>
      </c>
      <c r="L217" s="30" t="n"/>
      <c r="M217" s="30" t="inlineStr">
        <is>
          <t>A hand-arranged bouquet of 4 pink roses, 3 pink carnations, 2 pink alstroemeria and 1 cream spray rose. Chosen for a get-well wish or a thank-you, it says you were thinking of them.</t>
        </is>
      </c>
      <c r="N217" s="30">
        <f>LEN(TRIM(SUBSTITUTE(M217,CHAR(10)," ")))-LEN(SUBSTITUTE(TRIM(SUBSTITUTE(M217,CHAR(10)," "))," ",""))+1</f>
        <v/>
      </c>
      <c r="O217" s="30" t="inlineStr">
        <is>
          <t>&lt;p&gt;A hand-arranged bouquet of 4 pink roses, 3 pink carnations, 2 pink alstroemeria and 1 cream spray rose. Chosen for a get-well wish or a thank-you, it says you were thinking of them.&lt;/p&gt;</t>
        </is>
      </c>
      <c r="P217" s="29" t="inlineStr">
        <is>
          <t>ok</t>
        </is>
      </c>
      <c r="Q217" s="30" t="inlineStr">
        <is>
          <t>Roses and Smiles brings together 4 pink roses, 3 pink carnations, 2 pink alstroemeria and 1 cream spray rose. It suits a get-well wish or a thank-you.
Pink tones say affection. We hand-arrange each one at Aussie Blooms so it looks the way you pictured it, ready for the bedside table.</t>
        </is>
      </c>
      <c r="R217" s="30" t="inlineStr">
        <is>
          <t>&lt;p&gt;Roses and Smiles brings together 4 pink roses, 3 pink carnations, 2 pink alstroemeria and 1 cream spray rose. It suits a get-well wish or a thank-you.&lt;/p&gt;&lt;p&gt;Pink tones say affection. We hand-arrange each one at Aussie Blooms so it looks the way you pictured it, ready for the bedside table.&lt;/p&gt;</t>
        </is>
      </c>
      <c r="S217" s="29" t="inlineStr">
        <is>
          <t>ok</t>
        </is>
      </c>
      <c r="T217" s="30" t="inlineStr">
        <is>
          <t>In this bunch: 4 pink roses, 3 pink carnations, 2 pink alstroemeria and 1 cream spray rose. Soft colours that make a quiet room feel looked after.</t>
        </is>
      </c>
      <c r="U217" s="30" t="inlineStr">
        <is>
          <t>&lt;p&gt;In this bunch: 4 pink roses, 3 pink carnations, 2 pink alstroemeria and 1 cream spray rose. Soft colours that make a quiet room feel looked after.&lt;/p&gt;</t>
        </is>
      </c>
      <c r="V217" s="29" t="inlineStr">
        <is>
          <t>ok</t>
        </is>
      </c>
      <c r="W217" s="30" t="n"/>
      <c r="X217" s="30" t="inlineStr">
        <is>
          <t>n/a (Mel's: mason jar products only)</t>
        </is>
      </c>
      <c r="Y217" s="30" t="n"/>
      <c r="Z217" s="48" t="inlineStr">
        <is>
          <t>-</t>
        </is>
      </c>
      <c r="AA217" t="n">
        <v>53</v>
      </c>
      <c r="AB217" s="44" t="n">
        <v>42501.49</v>
      </c>
      <c r="AC217" t="n">
        <v>415</v>
      </c>
      <c r="AD217" s="45" t="n">
        <v>0.004869691657513837</v>
      </c>
      <c r="AE217" s="45" t="n">
        <v>0.01213038203641925</v>
      </c>
      <c r="AF217" t="n">
        <v>22</v>
      </c>
    </row>
    <row r="218" ht="109.5" customHeight="1" s="24">
      <c r="A218" s="30" t="inlineStr">
        <is>
          <t>AU120-02</t>
        </is>
      </c>
      <c r="B218" s="30" t="inlineStr">
        <is>
          <t>Smattering of Summer</t>
        </is>
      </c>
      <c r="C218" s="30" t="inlineStr">
        <is>
          <t>Bouquets</t>
        </is>
      </c>
      <c r="D218" s="43" t="inlineStr">
        <is>
          <t>READY TO REVIEW</t>
        </is>
      </c>
      <c r="E218" s="30" t="inlineStr">
        <is>
          <t>Bright gerberas, a touch of roses, delicate alstroemeria and full chrysanthemums capture a sunny smattering of summer in full bloom. A cheerful gift for a birthday, a get-well wish or a warm housewarming welcome.</t>
        </is>
      </c>
      <c r="F218" s="30" t="inlineStr">
        <is>
          <t>Shopify (28 Sep)</t>
        </is>
      </c>
      <c r="G218" s="30" t="inlineStr">
        <is>
          <t>1 × Roses Spray Pink; 1 × Limonium White; 3 × Mini Gerbera yellow; 1 × Chrysanthemum button Yellow; 2 × Chrysanthemum Spray White; 2 × Ruscus Israeli; 2 × Alstroemeria Pink</t>
        </is>
      </c>
      <c r="H218" s="30" t="inlineStr">
        <is>
          <t>1 × Roses Spray Pink; 1 × Limonium White; 3 × Mini Gerbera yellow; 1 × Chrysanthemum button Yellow; 2 × Chrysanthemum Spray White; 2 × Ruscus Israeli; 2 × Alstroemeria Pink</t>
        </is>
      </c>
      <c r="I218" s="30" t="inlineStr">
        <is>
          <t>1 × Roses Spray Pink; 1 × Limonium White; 3 × Mini Gerbera yellow; 1 × Chrysanthemum button Yellow; 2 × Chrysanthemum Spray White; 2 × Ruscus Israeli; 2 × Alstroemeria Pink</t>
        </is>
      </c>
      <c r="J218" s="30" t="inlineStr">
        <is>
          <t>1 × Chrysanthemum button Yellow; 2 × Alstroemeria Pink; 2 × Ruscus Israeli; 2 × Chrysanthemum Spray White; 3 × Mini Gerbera yellow; 1 × Limonium White; 1 × Roses Spray Pink</t>
        </is>
      </c>
      <c r="K218" s="30" t="inlineStr">
        <is>
          <t>Y</t>
        </is>
      </c>
      <c r="L218" s="30" t="n"/>
      <c r="M218" s="30" t="inlineStr">
        <is>
          <t>A fresh arrangement of 2 pink alstroemeria, 2 white spray chrysanthemums and 1 pink spray rose. A lovely way to mark a birthday, a thank-you or a just-because moment, and a bright moment when the door opens.</t>
        </is>
      </c>
      <c r="N218" s="30">
        <f>LEN(TRIM(SUBSTITUTE(M218,CHAR(10)," ")))-LEN(SUBSTITUTE(TRIM(SUBSTITUTE(M218,CHAR(10)," "))," ",""))+1</f>
        <v/>
      </c>
      <c r="O218" s="30" t="inlineStr">
        <is>
          <t>&lt;p&gt;A fresh arrangement of 2 pink alstroemeria, 2 white spray chrysanthemums and 1 pink spray rose. A lovely way to mark a birthday, a thank-you or a just-because moment, and a bright moment when the door opens.&lt;/p&gt;</t>
        </is>
      </c>
      <c r="P218" s="29" t="inlineStr">
        <is>
          <t>ok</t>
        </is>
      </c>
      <c r="Q218" s="30" t="inlineStr">
        <is>
          <t>Smattering of Summer brings together 2 pink alstroemeria, 2 white spray chrysanthemums and 1 pink spray rose. It suits a birthday, a thank-you or a just-because moment.
Yellow tones say friendship and cheer. We hand-arrange each one at Aussie Blooms so it looks the way you pictured it, ready for a summer table.</t>
        </is>
      </c>
      <c r="R218" s="30" t="inlineStr">
        <is>
          <t>&lt;p&gt;Smattering of Summer brings together 2 pink alstroemeria, 2 white spray chrysanthemums and 1 pink spray rose. It suits a birthday, a thank-you or a just-because moment.&lt;/p&gt;&lt;p&gt;Yellow tones say friendship and cheer. We hand-arrange each one at Aussie Blooms so it looks the way you pictured it, ready for a summer table.&lt;/p&gt;</t>
        </is>
      </c>
      <c r="S218" s="29" t="inlineStr">
        <is>
          <t>ok</t>
        </is>
      </c>
      <c r="T218" s="30" t="inlineStr">
        <is>
          <t>The bunch holds: 2 pink alstroemeria, 2 white spray chrysanthemums and 1 pink spray rose. Enough colour to turn an ordinary bench into the best spot in the house.</t>
        </is>
      </c>
      <c r="U218" s="30" t="inlineStr">
        <is>
          <t>&lt;p&gt;The bunch holds: 2 pink alstroemeria, 2 white spray chrysanthemums and 1 pink spray rose. Enough colour to turn an ordinary bench into the best spot in the house.&lt;/p&gt;</t>
        </is>
      </c>
      <c r="V218" s="29" t="inlineStr">
        <is>
          <t>ok</t>
        </is>
      </c>
      <c r="W218" s="30" t="n"/>
      <c r="X218" s="30" t="inlineStr">
        <is>
          <t>n/a (Mel's: mason jar products only)</t>
        </is>
      </c>
      <c r="Y218" s="30" t="n"/>
      <c r="Z218" s="48" t="inlineStr">
        <is>
          <t>-</t>
        </is>
      </c>
      <c r="AA218" t="n">
        <v>85</v>
      </c>
      <c r="AB218" s="44" t="n">
        <v>18867.58</v>
      </c>
      <c r="AC218" t="n">
        <v>192</v>
      </c>
      <c r="AD218" s="45" t="n">
        <v>0.002161790593034108</v>
      </c>
      <c r="AE218" s="45" t="n">
        <v>0.005385011540880408</v>
      </c>
      <c r="AF218" t="n">
        <v>35</v>
      </c>
    </row>
    <row r="219" ht="109.5" customHeight="1" s="24">
      <c r="A219" s="30" t="inlineStr">
        <is>
          <t>MDA-01</t>
        </is>
      </c>
      <c r="B219" s="30" t="inlineStr">
        <is>
          <t>50 Blooms of Peruvian Lilies Set</t>
        </is>
      </c>
      <c r="C219" s="30" t="inlineStr">
        <is>
          <t>Bouquets</t>
        </is>
      </c>
      <c r="D219" s="43" t="inlineStr">
        <is>
          <t>READY TO REVIEW</t>
        </is>
      </c>
      <c r="E219" s="30" t="inlineStr">
        <is>
          <t>A generous set of around fifty Peruvian lily blooms, their alstroemeria petals freckled and full of cheerful, long-lasting colour. A bright, abundant gift that brings lasting joy to any room.</t>
        </is>
      </c>
      <c r="F219" s="30" t="inlineStr">
        <is>
          <t>Shopify (28 Sep)</t>
        </is>
      </c>
      <c r="G219" s="30" t="inlineStr">
        <is>
          <t>1 × Teddy Bear; 1 × Greeting Card; 12 × Alstroemeria assorted; 2 × Ruscus Israeli</t>
        </is>
      </c>
      <c r="H219" s="30" t="inlineStr">
        <is>
          <t>1 × Teddy Bear; 1 × Greeting Card; 12 × Alstroemeria assorted; 2 × Ruscus Israeli</t>
        </is>
      </c>
      <c r="I219" s="30" t="inlineStr">
        <is>
          <t>1 × Teddy Bear; 1 × Greeting Card; 12 × Alstroemeria assorted; 2 × Ruscus Israeli</t>
        </is>
      </c>
      <c r="J219" s="30" t="inlineStr">
        <is>
          <t>2 × Ruscus Israeli; 12 × Alstroemeria assorted; 1 × Greeting Card; 1 × Teddy Bear</t>
        </is>
      </c>
      <c r="K219" s="30" t="inlineStr">
        <is>
          <t>Y</t>
        </is>
      </c>
      <c r="L219" s="30" t="inlineStr">
        <is>
          <t>Title blooms vs stems: Title counts blooms, recipe counts stems; bridge wording needs blooms per stem from Alejandro/Benny</t>
        </is>
      </c>
      <c r="M219" s="30" t="inlineStr">
        <is>
          <t>A hand-arranged bouquet of 12 assorted-colour alstroemeria, plus a teddy bear and a greeting card. Chosen for a birthday, a thank-you or a just-because moment, it says you were thinking of them.</t>
        </is>
      </c>
      <c r="N219" s="30">
        <f>LEN(TRIM(SUBSTITUTE(M219,CHAR(10)," ")))-LEN(SUBSTITUTE(TRIM(SUBSTITUTE(M219,CHAR(10)," "))," ",""))+1</f>
        <v/>
      </c>
      <c r="O219" s="30" t="inlineStr">
        <is>
          <t>&lt;p&gt;A hand-arranged bouquet of 12 assorted-colour alstroemeria, plus a teddy bear and a greeting card. Chosen for a birthday, a thank-you or a just-because moment, it says you were thinking of them.&lt;/p&gt;</t>
        </is>
      </c>
      <c r="P219" s="29" t="inlineStr">
        <is>
          <t>ok</t>
        </is>
      </c>
      <c r="Q219" s="30" t="inlineStr">
        <is>
          <t>50 Blooms of Peruvian Lilies Set brings together 12 assorted-colour alstroemeria, plus a teddy bear and a greeting card. It suits a birthday, a thank-you or a just-because moment.
Mixed colours say thoughtfulness. We hand-arrange each one at Aussie Blooms so it looks the way you pictured it, ready for the bedside table.</t>
        </is>
      </c>
      <c r="R219" s="30" t="inlineStr">
        <is>
          <t>&lt;p&gt;50 Blooms of Peruvian Lilies Set brings together 12 assorted-colour alstroemeria, plus a teddy bear and a greeting card. It suits a birthday, a thank-you or a just-because moment.&lt;/p&gt;&lt;p&gt;Mixed colours say thoughtfulness. We hand-arrange each one at Aussie Blooms so it looks the way you pictured it, ready for the bedside table.&lt;/p&gt;</t>
        </is>
      </c>
      <c r="S219" s="29" t="inlineStr">
        <is>
          <t>ok</t>
        </is>
      </c>
      <c r="T219" s="30" t="inlineStr">
        <is>
          <t>In this bunch: 12 assorted-colour alstroemeria, plus a teddy bear and a greeting card. Hand it over and watch the day get a little better.</t>
        </is>
      </c>
      <c r="U219" s="30" t="inlineStr">
        <is>
          <t>&lt;p&gt;In this bunch: 12 assorted-colour alstroemeria, plus a teddy bear and a greeting card. Hand it over and watch the day get a little better.&lt;/p&gt;</t>
        </is>
      </c>
      <c r="V219" s="29" t="inlineStr">
        <is>
          <t>ok</t>
        </is>
      </c>
      <c r="W219" s="30" t="n"/>
      <c r="X219" s="30" t="inlineStr">
        <is>
          <t>n/a (Mel's: mason jar products only)</t>
        </is>
      </c>
      <c r="Y219" s="30" t="n"/>
      <c r="Z219" s="48" t="inlineStr">
        <is>
          <t>-</t>
        </is>
      </c>
      <c r="AA219" t="n">
        <v>178</v>
      </c>
      <c r="AB219" s="44" t="n">
        <v>3606.88</v>
      </c>
      <c r="AC219" t="n">
        <v>45</v>
      </c>
      <c r="AD219" s="45" t="n">
        <v>0.0004132650134519645</v>
      </c>
      <c r="AE219" s="45" t="n">
        <v>0.001029441461190508</v>
      </c>
      <c r="AF219" t="n">
        <v>88</v>
      </c>
    </row>
    <row r="220" ht="109.5" customHeight="1" s="24">
      <c r="A220" s="30" t="inlineStr">
        <is>
          <t>MDA-03</t>
        </is>
      </c>
      <c r="B220" s="30" t="inlineStr">
        <is>
          <t>100 Peruvian Lilies Set</t>
        </is>
      </c>
      <c r="C220" s="30" t="inlineStr">
        <is>
          <t>Bouquets</t>
        </is>
      </c>
      <c r="D220" s="43" t="inlineStr">
        <is>
          <t>READY TO REVIEW</t>
        </is>
      </c>
      <c r="E220" s="30" t="inlineStr">
        <is>
          <t>A breathtaking set of one hundred Peruvian lily blooms, overflowing with vibrant, freckled alstroemeria in joyful colour. A truly abundant gesture made to impress and delight on any occasion.</t>
        </is>
      </c>
      <c r="F220" s="30" t="inlineStr">
        <is>
          <t>Shopify (28 Sep)</t>
        </is>
      </c>
      <c r="G220" s="30" t="inlineStr">
        <is>
          <t>1 × Greeting Card; 1 × Teddy Bear; 25 × Alstroemeria assorted</t>
        </is>
      </c>
      <c r="H220" s="30" t="inlineStr">
        <is>
          <t>1 × Greeting Card; 1 × Teddy Bear; 25 × Alstroemeria assorted</t>
        </is>
      </c>
      <c r="I220" s="30" t="inlineStr">
        <is>
          <t>1 × Greeting Card; 1 × Teddy Bear; 25 × Alstroemeria assorted</t>
        </is>
      </c>
      <c r="J220" s="30" t="inlineStr">
        <is>
          <t>25 × Alstroemeria assorted; 1 × Teddy Bear; 1 × Greeting Card</t>
        </is>
      </c>
      <c r="K220" s="30" t="inlineStr">
        <is>
          <t>Y</t>
        </is>
      </c>
      <c r="L220" s="30" t="inlineStr">
        <is>
          <t>Title blooms vs stems: Title counts blooms, recipe counts stems; bridge wording needs blooms per stem from Alejandro/Benny</t>
        </is>
      </c>
      <c r="M220" s="30" t="inlineStr">
        <is>
          <t>A fresh arrangement of 25 assorted-colour alstroemeria, plus a greeting card and a teddy bear. A lovely way to mark a birthday, a thank-you or a just-because moment, and a bright moment when the door opens.</t>
        </is>
      </c>
      <c r="N220" s="30">
        <f>LEN(TRIM(SUBSTITUTE(M220,CHAR(10)," ")))-LEN(SUBSTITUTE(TRIM(SUBSTITUTE(M220,CHAR(10)," "))," ",""))+1</f>
        <v/>
      </c>
      <c r="O220" s="30" t="inlineStr">
        <is>
          <t>&lt;p&gt;A fresh arrangement of 25 assorted-colour alstroemeria, plus a greeting card and a teddy bear. A lovely way to mark a birthday, a thank-you or a just-because moment, and a bright moment when the door opens.&lt;/p&gt;</t>
        </is>
      </c>
      <c r="P220" s="29" t="inlineStr">
        <is>
          <t>ok</t>
        </is>
      </c>
      <c r="Q220" s="30" t="inlineStr">
        <is>
          <t>100 Peruvian Lilies Set brings together 25 assorted-colour alstroemeria, plus a greeting card and a teddy bear. It suits a birthday, a thank-you or a just-because moment.
Mixed colours say thoughtfulness. We hand-arrange each one at Aussie Blooms so it looks the way you pictured it, ready for the bedside table.</t>
        </is>
      </c>
      <c r="R220" s="30" t="inlineStr">
        <is>
          <t>&lt;p&gt;100 Peruvian Lilies Set brings together 25 assorted-colour alstroemeria, plus a greeting card and a teddy bear. It suits a birthday, a thank-you or a just-because moment.&lt;/p&gt;&lt;p&gt;Mixed colours say thoughtfulness. We hand-arrange each one at Aussie Blooms so it looks the way you pictured it, ready for the bedside table.&lt;/p&gt;</t>
        </is>
      </c>
      <c r="S220" s="29" t="inlineStr">
        <is>
          <t>ok</t>
        </is>
      </c>
      <c r="T220" s="30" t="inlineStr">
        <is>
          <t>The bunch holds: 25 assorted-colour alstroemeria, plus a greeting card and a teddy bear. A simple good turn for a birthday, a thank-you or no reason at all.</t>
        </is>
      </c>
      <c r="U220" s="30" t="inlineStr">
        <is>
          <t>&lt;p&gt;The bunch holds: 25 assorted-colour alstroemeria, plus a greeting card and a teddy bear. A simple good turn for a birthday, a thank-you or no reason at all.&lt;/p&gt;</t>
        </is>
      </c>
      <c r="V220" s="29" t="inlineStr">
        <is>
          <t>ok</t>
        </is>
      </c>
      <c r="W220" s="30" t="n"/>
      <c r="X220" s="30" t="inlineStr">
        <is>
          <t>n/a (Mel's: mason jar products only)</t>
        </is>
      </c>
      <c r="Y220" s="30" t="n"/>
      <c r="Z220" s="48" t="inlineStr">
        <is>
          <t>-</t>
        </is>
      </c>
      <c r="AA220" t="n">
        <v>205</v>
      </c>
      <c r="AB220" s="44" t="n">
        <v>2413.44</v>
      </c>
      <c r="AC220" t="n">
        <v>21</v>
      </c>
      <c r="AD220" s="45" t="n">
        <v>0.000276524855323743</v>
      </c>
      <c r="AE220" s="45" t="n">
        <v>0.0006888222855890403</v>
      </c>
      <c r="AF220" t="n">
        <v>111</v>
      </c>
    </row>
    <row r="221" ht="109.5" customHeight="1" s="24">
      <c r="A221" s="30" t="inlineStr">
        <is>
          <t>AU51-01</t>
        </is>
      </c>
      <c r="B221" s="30" t="inlineStr">
        <is>
          <t>Bestseller Combo I</t>
        </is>
      </c>
      <c r="C221" s="30" t="inlineStr">
        <is>
          <t>Bouquets</t>
        </is>
      </c>
      <c r="D221" s="43" t="inlineStr">
        <is>
          <t>READY TO REVIEW</t>
        </is>
      </c>
      <c r="E221" s="30" t="n"/>
      <c r="F221" s="30" t="inlineStr">
        <is>
          <t>none</t>
        </is>
      </c>
      <c r="G221" s="30" t="inlineStr">
        <is>
          <t>4 × Roses Red; 3 × Chrysanthemum Daisies White; 2 × Carnation Red; 3 × Ruscus Israeli; 1 × Red Vase; 1 × Greeting Card; 2 × Mini Carnations Red; 5 × Alstroemeria White</t>
        </is>
      </c>
      <c r="H221" s="30" t="inlineStr">
        <is>
          <t>4 × Roses Red; 3 × Chrysanthemum Daisies White; 2 × Carnation Red; 3 × Ruscus Israeli; 1 × Red Vase; 1 × Greeting Card; 2 × Mini Carnations Red; 5 × Alstroemeria White</t>
        </is>
      </c>
      <c r="I221" s="30" t="inlineStr">
        <is>
          <t>4 × Roses Red; 3 × Chrysanthemum Daisies White; 2 × Carnation Red; 3 × Ruscus Israeli; 1 × Red Vase; 1 × Greeting Card; 2 × Mini Carnations Red; 5 × Alstroemeria White</t>
        </is>
      </c>
      <c r="J221" s="30" t="inlineStr">
        <is>
          <t>2 × Mini Carnations Red; 2 × Carnation Red; 3 × Ruscus Israeli; 1 × Red Vase; 1 × Greeting Card; 5 × Alstroemeria White; 4 × Roses Red; 3 × Chrysanthemum Daisies White</t>
        </is>
      </c>
      <c r="K221" s="30" t="inlineStr">
        <is>
          <t>N</t>
        </is>
      </c>
      <c r="L221" s="30" t="n"/>
      <c r="M221" s="30" t="inlineStr">
        <is>
          <t>A fresh arrangement of 5 white alstroemeria, 4 red roses, 3 white chrysanthemum daisies and 2 red carnations in a red vase, plus a greeting card. A thoughtful choice for an anniversary or a thank-you, with a vase to keep once the flowers are gone.</t>
        </is>
      </c>
      <c r="N221" s="30">
        <f>LEN(TRIM(SUBSTITUTE(M221,CHAR(10)," ")))-LEN(SUBSTITUTE(TRIM(SUBSTITUTE(M221,CHAR(10)," "))," ",""))+1</f>
        <v/>
      </c>
      <c r="O221" s="30" t="inlineStr">
        <is>
          <t>&lt;p&gt;A fresh arrangement of 5 white alstroemeria, 4 red roses, 3 white chrysanthemum daisies and 2 red carnations in a red vase, plus a greeting card. A thoughtful choice for an anniversary or a thank-you, with a vase to keep once the flowers are gone.&lt;/p&gt;</t>
        </is>
      </c>
      <c r="P221" s="29" t="inlineStr">
        <is>
          <t>ok</t>
        </is>
      </c>
      <c r="Q221" s="30" t="inlineStr">
        <is>
          <t>Bestseller Combo I brings together 5 white alstroemeria, 4 red roses, 3 white chrysanthemum daisies and 2 red carnations, arranged in a red vase, plus a greeting card. It suits an anniversary or a thank-you.
White tones say calm and a fresh start. We hand-arrange each one at Aussie Blooms so it looks the way you pictured it, ready for a summer table.</t>
        </is>
      </c>
      <c r="R221" s="30" t="inlineStr">
        <is>
          <t>&lt;p&gt;Bestseller Combo I brings together 5 white alstroemeria, 4 red roses, 3 white chrysanthemum daisies and 2 red carnations, arranged in a red vase, plus a greeting card. It suits an anniversary or a thank-you.&lt;/p&gt;&lt;p&gt;White tones say calm and a fresh start. We hand-arrange each one at Aussie Blooms so it looks the way you pictured it, ready for a summer table.&lt;/p&gt;</t>
        </is>
      </c>
      <c r="S221" s="29" t="inlineStr">
        <is>
          <t>ok</t>
        </is>
      </c>
      <c r="T221" s="30" t="inlineStr">
        <is>
          <t>The bunch holds: 5 white alstroemeria, 4 red roses, 3 white chrysanthemum daisies and 2 red carnations in a red vase, plus a greeting card. The classic, handed over without a single word of explanation.</t>
        </is>
      </c>
      <c r="U221" s="30" t="inlineStr">
        <is>
          <t>&lt;p&gt;The bunch holds: 5 white alstroemeria, 4 red roses, 3 white chrysanthemum daisies and 2 red carnations in a red vase, plus a greeting card. The classic, handed over without a single word of explanation.&lt;/p&gt;</t>
        </is>
      </c>
      <c r="V221" s="29" t="inlineStr">
        <is>
          <t>ok</t>
        </is>
      </c>
      <c r="W221" s="30" t="n"/>
      <c r="X221" s="30" t="inlineStr">
        <is>
          <t>n/a (Mel's: mason jar products only)</t>
        </is>
      </c>
      <c r="Y221" s="30" t="n"/>
      <c r="Z221" s="48" t="inlineStr">
        <is>
          <t>-</t>
        </is>
      </c>
      <c r="AA221" t="n">
        <v>192</v>
      </c>
      <c r="AB221" s="44" t="n">
        <v>2939.15</v>
      </c>
      <c r="AC221" t="n">
        <v>17</v>
      </c>
      <c r="AD221" s="45" t="n">
        <v>0.0003367588815164314</v>
      </c>
      <c r="AE221" s="45" t="n">
        <v>0.0008388649989057238</v>
      </c>
      <c r="AF221" t="n">
        <v>100</v>
      </c>
    </row>
    <row r="222" ht="109.5" customHeight="1" s="24">
      <c r="A222" s="30" t="inlineStr">
        <is>
          <t>AU51-04</t>
        </is>
      </c>
      <c r="B222" s="30" t="inlineStr">
        <is>
          <t>Bestseller Combo IV</t>
        </is>
      </c>
      <c r="C222" s="30" t="inlineStr">
        <is>
          <t>Bouquets</t>
        </is>
      </c>
      <c r="D222" s="43" t="inlineStr">
        <is>
          <t>READY TO REVIEW</t>
        </is>
      </c>
      <c r="E222" s="30" t="n"/>
      <c r="F222" s="30" t="inlineStr">
        <is>
          <t>none</t>
        </is>
      </c>
      <c r="G222" s="30" t="inlineStr">
        <is>
          <t>4 × Roses Red; 3 × Chrysanthemum Daisies White; 2 × Carnation Red; 3 × Ruscus Israeli; 1 × Red Vase; 1 × Greeting Card; 1 × Small Chocolates; 2 × Mini Carnations Red; 5 × Alstroemeria White</t>
        </is>
      </c>
      <c r="H222" s="30" t="inlineStr">
        <is>
          <t>4 × Roses Red; 3 × Chrysanthemum Daisies White; 2 × Carnation Red; 3 × Ruscus Israeli; 1 × Red Vase; 1 × Greeting Card; 1 × Small Chocolates; 2 × Mini Carnations Red; 5 × Alstroemeria White</t>
        </is>
      </c>
      <c r="I222" s="30" t="inlineStr">
        <is>
          <t>4 × Roses Red; 3 × Chrysanthemum Daisies White; 2 × Carnation Red; 3 × Ruscus Israeli; 1 × Red Vase; 1 × Greeting Card; 1 × Small Chocolates; 2 × Mini Carnations Red; 5 × Alstroemeria White</t>
        </is>
      </c>
      <c r="J222" s="30" t="inlineStr">
        <is>
          <t>2 × Mini Carnations Red; 2 × Carnation Red; 3 × Ruscus Israeli; 1 × Red Vase; 1 × Greeting Card; 5 × Alstroemeria White; 1 × Small Chocolates; 4 × Roses Red; 3 × Chrysanthemum Daisies White</t>
        </is>
      </c>
      <c r="K222" s="30" t="inlineStr">
        <is>
          <t>N</t>
        </is>
      </c>
      <c r="L222" s="30" t="n"/>
      <c r="M222" s="30" t="inlineStr">
        <is>
          <t>A hand-arranged bouquet of 5 white alstroemeria, 4 red roses, 3 white chrysanthemum daisies and 2 red carnations in a red vase, plus a greeting card and a box of small chocolates. A lovely way to mark an anniversary or a thank-you.</t>
        </is>
      </c>
      <c r="N222" s="30">
        <f>LEN(TRIM(SUBSTITUTE(M222,CHAR(10)," ")))-LEN(SUBSTITUTE(TRIM(SUBSTITUTE(M222,CHAR(10)," "))," ",""))+1</f>
        <v/>
      </c>
      <c r="O222" s="30" t="inlineStr">
        <is>
          <t>&lt;p&gt;A hand-arranged bouquet of 5 white alstroemeria, 4 red roses, 3 white chrysanthemum daisies and 2 red carnations in a red vase, plus a greeting card and a box of small chocolates. A lovely way to mark an anniversary or a thank-you.&lt;/p&gt;</t>
        </is>
      </c>
      <c r="P222" s="29" t="inlineStr">
        <is>
          <t>ok</t>
        </is>
      </c>
      <c r="Q222" s="30" t="inlineStr">
        <is>
          <t>Bestseller Combo IV brings together 5 white alstroemeria, 4 red roses, 3 white chrysanthemum daisies and 2 red carnations, arranged in a red vase, plus a greeting card and a box of small chocolates. It suits an anniversary or a thank-you.
White tones say calm and a fresh start. We hand-arrange each one at Aussie Blooms so it looks the way you pictured it, ready for the kitchen bench.</t>
        </is>
      </c>
      <c r="R222" s="30" t="inlineStr">
        <is>
          <t>&lt;p&gt;Bestseller Combo IV brings together 5 white alstroemeria, 4 red roses, 3 white chrysanthemum daisies and 2 red carnations, arranged in a red vase, plus a greeting card and a box of small chocolates. It suits an anniversary or a thank-you.&lt;/p&gt;&lt;p&gt;White tones say calm and a fresh start. We hand-arrange each one at Aussie Blooms so it looks the way you pictured it, ready for the kitchen bench.&lt;/p&gt;</t>
        </is>
      </c>
      <c r="S222" s="29" t="inlineStr">
        <is>
          <t>ok</t>
        </is>
      </c>
      <c r="T222" s="30" t="inlineStr">
        <is>
          <t>In this bunch: 5 white alstroemeria, 4 red roses, 3 white chrysanthemum daisies and 2 red carnations in a red vase, plus a greeting card and a box of small chocolates. Some things need no speech. Put these on the table and the message is delivered.</t>
        </is>
      </c>
      <c r="U222" s="30" t="inlineStr">
        <is>
          <t>&lt;p&gt;In this bunch: 5 white alstroemeria, 4 red roses, 3 white chrysanthemum daisies and 2 red carnations in a red vase, plus a greeting card and a box of small chocolates. Some things need no speech. Put these on the table and the message is delivered.&lt;/p&gt;</t>
        </is>
      </c>
      <c r="V222" s="47" t="inlineStr">
        <is>
          <t>delivery promise</t>
        </is>
      </c>
      <c r="W222" s="30" t="n"/>
      <c r="X222" s="30" t="inlineStr">
        <is>
          <t>n/a (Mel's: mason jar products only)</t>
        </is>
      </c>
      <c r="Y222" s="30" t="n"/>
      <c r="Z222" s="48" t="inlineStr">
        <is>
          <t>-</t>
        </is>
      </c>
      <c r="AA222" t="n">
        <v>229</v>
      </c>
      <c r="AB222" s="44" t="n">
        <v>824.75</v>
      </c>
      <c r="AC222" t="n">
        <v>5</v>
      </c>
      <c r="AD222" s="45" t="n">
        <v>9.449735043487974e-05</v>
      </c>
      <c r="AE222" s="45" t="n">
        <v>0.0002353925141103706</v>
      </c>
      <c r="AF222" t="n">
        <v>124</v>
      </c>
    </row>
    <row r="223" ht="109.5" customHeight="1" s="24">
      <c r="A223" s="30" t="inlineStr">
        <is>
          <t>AU31-31</t>
        </is>
      </c>
      <c r="B223" s="30" t="inlineStr">
        <is>
          <t>Crimson Kiss</t>
        </is>
      </c>
      <c r="C223" s="30" t="inlineStr">
        <is>
          <t>Bouquets</t>
        </is>
      </c>
      <c r="D223" s="43" t="inlineStr">
        <is>
          <t>READY TO REVIEW</t>
        </is>
      </c>
      <c r="E223" s="30" t="inlineStr">
        <is>
          <t>Seven deep crimson roses make up Crimson Kiss, a passionate little bouquet that says so much with effortless elegance. A romantic gesture for an anniversary, a birthday or a simple just-because moment that lingers long after the day.</t>
        </is>
      </c>
      <c r="F223" s="30" t="inlineStr">
        <is>
          <t>Shopify (28 Sep)</t>
        </is>
      </c>
      <c r="G223" s="30" t="inlineStr">
        <is>
          <t>1 × Roses Red; 1 × Baby's Breath; 1 × Ruscus Israeli; 1 × Christmas Card</t>
        </is>
      </c>
      <c r="H223" s="30" t="inlineStr">
        <is>
          <t>1 × Roses Red; 1 × Baby's Breath; 1 × Ruscus Israeli; 1 × Christmas Card</t>
        </is>
      </c>
      <c r="I223" s="30" t="inlineStr">
        <is>
          <t>1 × Roses Red; 1 × Baby's Breath; 1 × Ruscus Israeli; 1 × Christmas Card</t>
        </is>
      </c>
      <c r="J223" s="30" t="inlineStr">
        <is>
          <t>1 × Roses Red; 1 × Christmas Card; 1 × Ruscus Israeli; 1 × Baby's Breath</t>
        </is>
      </c>
      <c r="K223" s="30" t="inlineStr">
        <is>
          <t>Y</t>
        </is>
      </c>
      <c r="L223" s="30" t="n"/>
      <c r="M223" s="30" t="inlineStr">
        <is>
          <t>A hand-arranged bouquet of 1 red rose, plus a Christmas card. A lovely way to mark an anniversary or a thank-you, and a bright moment when the door opens.</t>
        </is>
      </c>
      <c r="N223" s="30">
        <f>LEN(TRIM(SUBSTITUTE(M223,CHAR(10)," ")))-LEN(SUBSTITUTE(TRIM(SUBSTITUTE(M223,CHAR(10)," "))," ",""))+1</f>
        <v/>
      </c>
      <c r="O223" s="30" t="inlineStr">
        <is>
          <t>&lt;p&gt;A hand-arranged bouquet of 1 red rose, plus a Christmas card. A lovely way to mark an anniversary or a thank-you, and a bright moment when the door opens.&lt;/p&gt;</t>
        </is>
      </c>
      <c r="P223" s="29" t="inlineStr">
        <is>
          <t>ok</t>
        </is>
      </c>
      <c r="Q223" s="30" t="inlineStr">
        <is>
          <t>Crimson Kiss brings together 1 red rose, plus a Christmas card. It suits an anniversary or a thank-you.
Red tones say love and devotion. We hand-arrange each one at Aussie Blooms so it looks the way you pictured it, ready for a Sunday lunch.</t>
        </is>
      </c>
      <c r="R223" s="30" t="inlineStr">
        <is>
          <t>&lt;p&gt;Crimson Kiss brings together 1 red rose, plus a Christmas card. It suits an anniversary or a thank-you.&lt;/p&gt;&lt;p&gt;Red tones say love and devotion. We hand-arrange each one at Aussie Blooms so it looks the way you pictured it, ready for a Sunday lunch.&lt;/p&gt;</t>
        </is>
      </c>
      <c r="S223" s="29" t="inlineStr">
        <is>
          <t>ok</t>
        </is>
      </c>
      <c r="T223" s="30" t="inlineStr">
        <is>
          <t>In this bunch: 1 red rose, plus a Christmas card. Some things need no speech. Put these on the table and the message is delivered.</t>
        </is>
      </c>
      <c r="U223" s="30" t="inlineStr">
        <is>
          <t>&lt;p&gt;In this bunch: 1 red rose, plus a Christmas card. Some things need no speech. Put these on the table and the message is delivered.&lt;/p&gt;</t>
        </is>
      </c>
      <c r="V223" s="47" t="inlineStr">
        <is>
          <t>delivery promise</t>
        </is>
      </c>
      <c r="W223" s="30" t="n"/>
      <c r="X223" s="30" t="inlineStr">
        <is>
          <t>n/a (Mel's: mason jar products only)</t>
        </is>
      </c>
      <c r="Y223" s="30" t="n"/>
      <c r="Z223" s="48" t="inlineStr">
        <is>
          <t>-</t>
        </is>
      </c>
      <c r="AA223" t="n">
        <v>129</v>
      </c>
      <c r="AB223" s="44" t="n">
        <v>8379.450000000001</v>
      </c>
      <c r="AC223" t="n">
        <v>273</v>
      </c>
      <c r="AD223" s="45" t="n">
        <v>0.0009600919346487458</v>
      </c>
      <c r="AE223" s="45" t="n">
        <v>0.002391585089253889</v>
      </c>
      <c r="AF223" t="n">
        <v>61</v>
      </c>
    </row>
    <row r="224" ht="109.5" customHeight="1" s="24">
      <c r="A224" s="30" t="inlineStr">
        <is>
          <t>AU200-41</t>
        </is>
      </c>
      <c r="B224" s="30" t="inlineStr">
        <is>
          <t>Wild Berry</t>
        </is>
      </c>
      <c r="C224" s="30" t="inlineStr">
        <is>
          <t>Bouquets</t>
        </is>
      </c>
      <c r="D224" s="43" t="inlineStr">
        <is>
          <t>READY TO REVIEW</t>
        </is>
      </c>
      <c r="E224" s="30" t="inlineStr">
        <is>
          <t>Wild Berry bursts with cheerful gerberas, roses, alstroemeria and carnations in rich berry tones, a lush celebration of colour and texture. A joyful pick for a birthday, a housewarming or simply brightening someone's day just because.</t>
        </is>
      </c>
      <c r="F224" s="30" t="inlineStr">
        <is>
          <t>Shopify (28 Sep)</t>
        </is>
      </c>
      <c r="G224" s="30" t="inlineStr">
        <is>
          <t>2 × Roses Red; 6 × Gerbera Daisies Red; 2 × Carnation Red; 3 × Ruscus Israeli; 3 × Alstroemeria Pink</t>
        </is>
      </c>
      <c r="H224" s="30" t="inlineStr">
        <is>
          <t>2 × Roses Red; 6 × Gerbera Daisies Red; 2 × Carnation Red; 3 × Ruscus Israeli; 3 × Alstroemeria Pink</t>
        </is>
      </c>
      <c r="I224" s="30" t="inlineStr">
        <is>
          <t>2 × Roses Red; 6 × Gerbera Daisies Red; 2 × Carnation Red; 3 × Ruscus Israeli; 3 × Alstroemeria Pink</t>
        </is>
      </c>
      <c r="J224" s="30" t="inlineStr">
        <is>
          <t>2 × Carnation Red; 3 × Alstroemeria Pink; 3 × Ruscus Israeli; 6 × Gerbera Daisies Red; 2 × Roses Red</t>
        </is>
      </c>
      <c r="K224" s="30" t="inlineStr">
        <is>
          <t>Y</t>
        </is>
      </c>
      <c r="L224" s="30" t="n"/>
      <c r="M224" s="30" t="inlineStr">
        <is>
          <t>A hand-arranged bouquet of 6 red gerberas, 3 pink alstroemeria, 2 red carnations and 2 red roses. Chosen for an anniversary or a thank-you, it says you were thinking of them.</t>
        </is>
      </c>
      <c r="N224" s="30">
        <f>LEN(TRIM(SUBSTITUTE(M224,CHAR(10)," ")))-LEN(SUBSTITUTE(TRIM(SUBSTITUTE(M224,CHAR(10)," "))," ",""))+1</f>
        <v/>
      </c>
      <c r="O224" s="30" t="inlineStr">
        <is>
          <t>&lt;p&gt;A hand-arranged bouquet of 6 red gerberas, 3 pink alstroemeria, 2 red carnations and 2 red roses. Chosen for an anniversary or a thank-you, it says you were thinking of them.&lt;/p&gt;</t>
        </is>
      </c>
      <c r="P224" s="29" t="inlineStr">
        <is>
          <t>ok</t>
        </is>
      </c>
      <c r="Q224" s="30" t="inlineStr">
        <is>
          <t>Wild Berry brings together 6 red gerberas, 3 pink alstroemeria, 2 red carnations and 2 red roses. It suits an anniversary or a thank-you.
Red tones say love and devotion. We hand-arrange each one at Aussie Blooms so it looks the way you pictured it, ready for a summer table.</t>
        </is>
      </c>
      <c r="R224" s="30" t="inlineStr">
        <is>
          <t>&lt;p&gt;Wild Berry brings together 6 red gerberas, 3 pink alstroemeria, 2 red carnations and 2 red roses. It suits an anniversary or a thank-you.&lt;/p&gt;&lt;p&gt;Red tones say love and devotion. We hand-arrange each one at Aussie Blooms so it looks the way you pictured it, ready for a summer table.&lt;/p&gt;</t>
        </is>
      </c>
      <c r="S224" s="29" t="inlineStr">
        <is>
          <t>ok</t>
        </is>
      </c>
      <c r="T224" s="30" t="inlineStr">
        <is>
          <t>In this bunch: 6 red gerberas, 3 pink alstroemeria, 2 red carnations and 2 red roses. Some things need no speech. Put these on the table and the message is delivered.</t>
        </is>
      </c>
      <c r="U224" s="30" t="inlineStr">
        <is>
          <t>&lt;p&gt;In this bunch: 6 red gerberas, 3 pink alstroemeria, 2 red carnations and 2 red roses. Some things need no speech. Put these on the table and the message is delivered.&lt;/p&gt;</t>
        </is>
      </c>
      <c r="V224" s="47" t="inlineStr">
        <is>
          <t>delivery promise</t>
        </is>
      </c>
      <c r="W224" s="30" t="n"/>
      <c r="X224" s="30" t="inlineStr">
        <is>
          <t>n/a (Mel's: mason jar products only)</t>
        </is>
      </c>
      <c r="Y224" s="30" t="n"/>
      <c r="Z224" s="48" t="inlineStr">
        <is>
          <t>-</t>
        </is>
      </c>
      <c r="AA224" t="n">
        <v>49</v>
      </c>
      <c r="AB224" s="44" t="n">
        <v>45149.6</v>
      </c>
      <c r="AC224" t="n">
        <v>392</v>
      </c>
      <c r="AD224" s="45" t="n">
        <v>0.00517310405964795</v>
      </c>
      <c r="AE224" s="45" t="n">
        <v>0.01288618109133385</v>
      </c>
      <c r="AF224" t="n">
        <v>18</v>
      </c>
    </row>
    <row r="225" ht="109.5" customHeight="1" s="24">
      <c r="A225" s="30" t="inlineStr">
        <is>
          <t>AU200-51</t>
        </is>
      </c>
      <c r="B225" s="30" t="inlineStr">
        <is>
          <t>Ruby Sunset</t>
        </is>
      </c>
      <c r="C225" s="30" t="inlineStr">
        <is>
          <t>Bouquets</t>
        </is>
      </c>
      <c r="D225" s="43" t="inlineStr">
        <is>
          <t>READY TO REVIEW</t>
        </is>
      </c>
      <c r="E225" s="30" t="n"/>
      <c r="F225" s="30" t="inlineStr">
        <is>
          <t>none</t>
        </is>
      </c>
      <c r="G225" s="30" t="inlineStr">
        <is>
          <t>1 × Limonium Purple; 4 × Carnation Red; 2 × Ruscus Israeli; 3 × Alstroemeria orange; 3 × Alstroemeria Red</t>
        </is>
      </c>
      <c r="H225" s="30" t="inlineStr">
        <is>
          <t>1 × Limonium Purple; 4 × Carnation Red; 2 × Ruscus Israeli; 3 × Alstroemeria orange; 3 × Alstroemeria Red</t>
        </is>
      </c>
      <c r="I225" s="30" t="inlineStr">
        <is>
          <t>1 × Limonium Purple; 4 × Carnation Red; 2 × Ruscus Israeli; 3 × Alstroemeria orange; 3 × Alstroemeria Red</t>
        </is>
      </c>
      <c r="J225" s="30" t="inlineStr">
        <is>
          <t>2 × Ruscus Israeli; 3 × Alstroemeria orange; 3 × Alstroemeria Red; 1 × Limonium Purple; 4 × Carnation Red</t>
        </is>
      </c>
      <c r="K225" s="30" t="inlineStr">
        <is>
          <t>Y</t>
        </is>
      </c>
      <c r="L225" s="30" t="n"/>
      <c r="M225" s="30" t="inlineStr">
        <is>
          <t>A florist-designed bouquet of 4 red carnations, 3 orange alstroemeria and 3 red alstroemeria. Chosen for a birthday, a thank-you or a just-because moment, it is a gift that says you care.</t>
        </is>
      </c>
      <c r="N225" s="30">
        <f>LEN(TRIM(SUBSTITUTE(M225,CHAR(10)," ")))-LEN(SUBSTITUTE(TRIM(SUBSTITUTE(M225,CHAR(10)," "))," ",""))+1</f>
        <v/>
      </c>
      <c r="O225" s="30" t="inlineStr">
        <is>
          <t>&lt;p&gt;A florist-designed bouquet of 4 red carnations, 3 orange alstroemeria and 3 red alstroemeria. Chosen for a birthday, a thank-you or a just-because moment, it is a gift that says you care.&lt;/p&gt;</t>
        </is>
      </c>
      <c r="P225" s="29" t="inlineStr">
        <is>
          <t>ok</t>
        </is>
      </c>
      <c r="Q225" s="30" t="inlineStr">
        <is>
          <t>Ruby Sunset brings together 4 red carnations, 3 orange alstroemeria and 3 red alstroemeria. It suits a birthday, a thank-you or a just-because moment.
Red tones say love and devotion. We hand-arrange each one at Aussie Blooms so it looks the way you pictured it, ready for the bedside table.</t>
        </is>
      </c>
      <c r="R225" s="30" t="inlineStr">
        <is>
          <t>&lt;p&gt;Ruby Sunset brings together 4 red carnations, 3 orange alstroemeria and 3 red alstroemeria. It suits a birthday, a thank-you or a just-because moment.&lt;/p&gt;&lt;p&gt;Red tones say love and devotion. We hand-arrange each one at Aussie Blooms so it looks the way you pictured it, ready for the bedside table.&lt;/p&gt;</t>
        </is>
      </c>
      <c r="S225" s="29" t="inlineStr">
        <is>
          <t>ok</t>
        </is>
      </c>
      <c r="T225" s="30" t="inlineStr">
        <is>
          <t>Inside the bunch: 4 red carnations, 3 orange alstroemeria and 3 red alstroemeria. Bright on purpose, and hard to walk past without smiling.</t>
        </is>
      </c>
      <c r="U225" s="30" t="inlineStr">
        <is>
          <t>&lt;p&gt;Inside the bunch: 4 red carnations, 3 orange alstroemeria and 3 red alstroemeria. Bright on purpose, and hard to walk past without smiling.&lt;/p&gt;</t>
        </is>
      </c>
      <c r="V225" s="29" t="inlineStr">
        <is>
          <t>ok</t>
        </is>
      </c>
      <c r="W225" s="30" t="n"/>
      <c r="X225" s="30" t="inlineStr">
        <is>
          <t>n/a (Mel's: mason jar products only)</t>
        </is>
      </c>
      <c r="Y225" s="30" t="n"/>
      <c r="Z225" s="48" t="inlineStr">
        <is>
          <t>-</t>
        </is>
      </c>
      <c r="AA225" t="n">
        <v>239</v>
      </c>
      <c r="AB225" s="44" t="n">
        <v>314.7</v>
      </c>
      <c r="AC225" t="n">
        <v>6</v>
      </c>
      <c r="AD225" s="45" t="n">
        <v>3.605737033265432e-05</v>
      </c>
      <c r="AE225" s="45" t="n">
        <v>8.981876228012563e-05</v>
      </c>
      <c r="AF225" t="n">
        <v>132</v>
      </c>
    </row>
    <row r="226" ht="109.5" customHeight="1" s="24">
      <c r="A226" s="30" t="inlineStr">
        <is>
          <t>AU200-61</t>
        </is>
      </c>
      <c r="B226" s="30" t="inlineStr">
        <is>
          <t>Country Roads</t>
        </is>
      </c>
      <c r="C226" s="30" t="inlineStr">
        <is>
          <t>Bouquets</t>
        </is>
      </c>
      <c r="D226" s="43" t="inlineStr">
        <is>
          <t>READY TO REVIEW</t>
        </is>
      </c>
      <c r="E226" s="30" t="inlineStr">
        <is>
          <t>Fourteen lush roses mingle with fifty cheerful chrysanthemums in a generous, garden-fresh medley that feels as joyful as the moment it marks. Whether you're toasting a birthday, celebrating a hard-earned graduation or welcoming a new baby, this abundant bouquet says it all with colour and warmth.</t>
        </is>
      </c>
      <c r="F226" s="30" t="inlineStr">
        <is>
          <t>Shopify (28 Sep)</t>
        </is>
      </c>
      <c r="G226" s="30" t="inlineStr">
        <is>
          <t>3 × Roses Spray Yellow; 6 × Chrysanthemum Button Green; 6 × Chrysanthemum spray red; 4 × Ruscus Israeli</t>
        </is>
      </c>
      <c r="H226" s="30" t="inlineStr">
        <is>
          <t>3 × Roses Spray Yellow; 6 × Chrysanthemum Button Green; 6 × Chrysanthemum spray red; 4 × Ruscus Israeli</t>
        </is>
      </c>
      <c r="I226" s="30" t="inlineStr">
        <is>
          <t>3 × Roses Spray Yellow; 6 × Chrysanthemum Button Green; 6 × Chrysanthemum spray red; 4 × Ruscus Israeli</t>
        </is>
      </c>
      <c r="J226" s="30" t="inlineStr">
        <is>
          <t>6 × Chrysanthemum spray red; 4 × Ruscus Israeli; 6 × Chrysanthemum Button Green; 3 × Roses Spray Yellow</t>
        </is>
      </c>
      <c r="K226" s="30" t="inlineStr">
        <is>
          <t>Y</t>
        </is>
      </c>
      <c r="L226" s="30" t="n"/>
      <c r="M226" s="30" t="inlineStr">
        <is>
          <t>A florist-designed bouquet of 6 red spray chrysanthemums and 3 yellow spray roses. Chosen for a birthday, a thank-you or a just-because moment, it is a gift that says you care.</t>
        </is>
      </c>
      <c r="N226" s="30">
        <f>LEN(TRIM(SUBSTITUTE(M226,CHAR(10)," ")))-LEN(SUBSTITUTE(TRIM(SUBSTITUTE(M226,CHAR(10)," "))," ",""))+1</f>
        <v/>
      </c>
      <c r="O226" s="30" t="inlineStr">
        <is>
          <t>&lt;p&gt;A florist-designed bouquet of 6 red spray chrysanthemums and 3 yellow spray roses. Chosen for a birthday, a thank-you or a just-because moment, it is a gift that says you care.&lt;/p&gt;</t>
        </is>
      </c>
      <c r="P226" s="29" t="inlineStr">
        <is>
          <t>ok</t>
        </is>
      </c>
      <c r="Q226" s="30" t="inlineStr">
        <is>
          <t>Country Roads brings together 6 red spray chrysanthemums and 3 yellow spray roses. It suits a birthday, a thank-you or a just-because moment.
Green tones say a fresh start. We hand-arrange each one at Aussie Blooms so it looks the way you pictured it, ready for a Sunday lunch.</t>
        </is>
      </c>
      <c r="R226" s="30" t="inlineStr">
        <is>
          <t>&lt;p&gt;Country Roads brings together 6 red spray chrysanthemums and 3 yellow spray roses. It suits a birthday, a thank-you or a just-because moment.&lt;/p&gt;&lt;p&gt;Green tones say a fresh start. We hand-arrange each one at Aussie Blooms so it looks the way you pictured it, ready for a Sunday lunch.&lt;/p&gt;</t>
        </is>
      </c>
      <c r="S226" s="29" t="inlineStr">
        <is>
          <t>ok</t>
        </is>
      </c>
      <c r="T226" s="30" t="inlineStr">
        <is>
          <t>Inside the bunch: 6 red spray chrysanthemums and 3 yellow spray roses. Bright on purpose, and hard to walk past without smiling.</t>
        </is>
      </c>
      <c r="U226" s="30" t="inlineStr">
        <is>
          <t>&lt;p&gt;Inside the bunch: 6 red spray chrysanthemums and 3 yellow spray roses. Bright on purpose, and hard to walk past without smiling.&lt;/p&gt;</t>
        </is>
      </c>
      <c r="V226" s="29" t="inlineStr">
        <is>
          <t>ok</t>
        </is>
      </c>
      <c r="W226" s="30" t="n"/>
      <c r="X226" s="30" t="inlineStr">
        <is>
          <t>n/a (Mel's: mason jar products only)</t>
        </is>
      </c>
      <c r="Y226" s="30" t="n"/>
      <c r="Z226" s="48" t="inlineStr">
        <is>
          <t>-</t>
        </is>
      </c>
      <c r="AA226" t="n">
        <v>50</v>
      </c>
      <c r="AB226" s="44" t="n">
        <v>43417.31</v>
      </c>
      <c r="AC226" t="n">
        <v>335</v>
      </c>
      <c r="AD226" s="45" t="n">
        <v>0.004974623073683427</v>
      </c>
      <c r="AE226" s="45" t="n">
        <v>0.01239176576567357</v>
      </c>
      <c r="AF226" t="n">
        <v>19</v>
      </c>
    </row>
    <row r="227" ht="109.5" customHeight="1" s="24">
      <c r="A227" s="30" t="inlineStr">
        <is>
          <t>AURP-B29</t>
        </is>
      </c>
      <c r="B227" s="30" t="inlineStr">
        <is>
          <t>The Birthday Bundle</t>
        </is>
      </c>
      <c r="C227" s="30" t="inlineStr">
        <is>
          <t>Bouquets</t>
        </is>
      </c>
      <c r="D227" s="43" t="inlineStr">
        <is>
          <t>READY TO REVIEW</t>
        </is>
      </c>
      <c r="E227" s="30" t="inlineStr">
        <is>
          <t>A thoughtfully assembled birthday treat designed to delight from the very first glance. It's the easy, heartfelt way to make someone's special day feel celebrated, even from afar.</t>
        </is>
      </c>
      <c r="F227" s="30" t="inlineStr">
        <is>
          <t>Shopify (28 Sep)</t>
        </is>
      </c>
      <c r="G227" s="30" t="inlineStr">
        <is>
          <t>1 × Greeting Card; 1 × Small Chocolates; 12 × Assorted Inventory Flowers</t>
        </is>
      </c>
      <c r="H227" s="30" t="inlineStr">
        <is>
          <t>1 × Greeting Card; 1 × Small Chocolates; 12 × Assorted Inventory Flowers</t>
        </is>
      </c>
      <c r="I227" s="30" t="inlineStr">
        <is>
          <t>1 × Greeting Card; 1 × Small Chocolates; 12 × Assorted Inventory Flowers</t>
        </is>
      </c>
      <c r="J227" s="30" t="inlineStr">
        <is>
          <t>12 × Assorted Inventory Flowers; 1 × Small Chocolates; 1 × Greeting Card</t>
        </is>
      </c>
      <c r="K227" s="30" t="inlineStr">
        <is>
          <t>Y</t>
        </is>
      </c>
      <c r="L227" s="30" t="n"/>
      <c r="M227" s="30" t="inlineStr">
        <is>
          <t>Designed by our florists, a bouquet of 12 assorted seasonal blooms (florist's choice). The florist chooses the flowers to suit the season, so the picture is illustrative and shows the style and colour, not the exact stems.</t>
        </is>
      </c>
      <c r="N227" s="30">
        <f>LEN(TRIM(SUBSTITUTE(M227,CHAR(10)," ")))-LEN(SUBSTITUTE(TRIM(SUBSTITUTE(M227,CHAR(10)," "))," ",""))+1</f>
        <v/>
      </c>
      <c r="O227" s="30" t="inlineStr">
        <is>
          <t>&lt;p&gt;Designed by our florists, a bouquet of 12 assorted seasonal blooms (florist's choice). The florist chooses the flowers to suit the season, so the picture is illustrative and shows the style and colour, not the exact stems.&lt;/p&gt;</t>
        </is>
      </c>
      <c r="P227" s="29" t="inlineStr">
        <is>
          <t>ok</t>
        </is>
      </c>
      <c r="Q227" s="30" t="inlineStr">
        <is>
          <t>The Birthday Bundle is an arrangement of 12 assorted seasonal blooms (florist's choice). The florist chooses the flowers to suit the season, so the picture is illustrative and shows the style and colour, not the exact stems.
It suits a birthday or a thank-you, or any day you want to bring a little colour to the bedside table.</t>
        </is>
      </c>
      <c r="R227" s="30" t="inlineStr">
        <is>
          <t>&lt;p&gt;The Birthday Bundle is an arrangement of 12 assorted seasonal blooms (florist's choice). The florist chooses the flowers to suit the season, so the picture is illustrative and shows the style and colour, not the exact stems.&lt;/p&gt;&lt;p&gt;It suits a birthday or a thank-you, or any day you want to bring a little colour to the bedside table.&lt;/p&gt;</t>
        </is>
      </c>
      <c r="S227" s="29" t="inlineStr">
        <is>
          <t>ok</t>
        </is>
      </c>
      <c r="T227" s="30" t="inlineStr">
        <is>
          <t>The bunch holds: 12 assorted seasonal blooms (florist's choice). The florist chooses the flowers to suit the season, so the picture is illustrative and shows the style and colour, not the exact stems.</t>
        </is>
      </c>
      <c r="U227" s="30" t="inlineStr">
        <is>
          <t>&lt;p&gt;The bunch holds: 12 assorted seasonal blooms (florist's choice). The florist chooses the flowers to suit the season, so the picture is illustrative and shows the style and colour, not the exact stems.&lt;/p&gt;</t>
        </is>
      </c>
      <c r="V227" s="29" t="inlineStr">
        <is>
          <t>ok</t>
        </is>
      </c>
      <c r="W227" s="30" t="n"/>
      <c r="X227" s="30" t="inlineStr">
        <is>
          <t>n/a (Mel's: mason jar products only)</t>
        </is>
      </c>
      <c r="Y227" s="30" t="n"/>
      <c r="Z227" s="48" t="inlineStr">
        <is>
          <t>-</t>
        </is>
      </c>
      <c r="AA227" t="n">
        <v>22</v>
      </c>
      <c r="AB227" s="44" t="n">
        <v>102834.09</v>
      </c>
      <c r="AC227" t="n">
        <v>1268</v>
      </c>
      <c r="AD227" s="45" t="n">
        <v>0.01178241752093029</v>
      </c>
      <c r="AE227" s="45" t="n">
        <v>0.02934995393824442</v>
      </c>
      <c r="AF227" t="n">
        <v>7</v>
      </c>
    </row>
    <row r="228" ht="109.5" customHeight="1" s="24">
      <c r="A228" s="30" t="inlineStr">
        <is>
          <t>AUFS-05</t>
        </is>
      </c>
      <c r="B228" s="30" t="inlineStr">
        <is>
          <t>Dozen Mixed Roses Combo</t>
        </is>
      </c>
      <c r="C228" s="30" t="inlineStr">
        <is>
          <t>Bouquets</t>
        </is>
      </c>
      <c r="D228" s="43" t="inlineStr">
        <is>
          <t>READY TO REVIEW</t>
        </is>
      </c>
      <c r="E228" s="30" t="inlineStr">
        <is>
          <t>A dozen mixed roses bring a joyful sweep of colour to any celebration, lush, varied and effortlessly cheerful. Ideal for marking an anniversary, a birthday or a heartfelt congratulations to someone worth applauding.</t>
        </is>
      </c>
      <c r="F228" s="30" t="inlineStr">
        <is>
          <t>Shopify (28 Sep)</t>
        </is>
      </c>
      <c r="G228" s="30" t="inlineStr">
        <is>
          <t>12 × Roses Assorted; 2 × Baby's Breath; 3 × Ruscus Israeli; 1 × Greeting Card; 1 × Small Chocolates</t>
        </is>
      </c>
      <c r="H228" s="30" t="inlineStr">
        <is>
          <t>12 × Roses Assorted; 2 × Baby's Breath; 3 × Ruscus Israeli; 1 × Greeting Card; 1 × Small Chocolates</t>
        </is>
      </c>
      <c r="I228" s="30" t="inlineStr">
        <is>
          <t>12 × Roses Assorted; 2 × Baby's Breath; 3 × Ruscus Israeli; 1 × Greeting Card; 1 × Small Chocolates</t>
        </is>
      </c>
      <c r="J228" s="30" t="inlineStr">
        <is>
          <t>3 × Ruscus Israeli; 1 × Small Chocolates; 1 × Greeting Card; 2 × Baby's Breath; 12 × Roses Assorted</t>
        </is>
      </c>
      <c r="K228" s="30" t="inlineStr">
        <is>
          <t>Y</t>
        </is>
      </c>
      <c r="L228" s="30" t="n"/>
      <c r="M228" s="30" t="inlineStr">
        <is>
          <t>A hand-arranged bouquet of 12 assorted-colour roses, plus a greeting card and a box of small chocolates. Chosen for a birthday, a thank-you or a just-because moment, it is a gift that says you care.</t>
        </is>
      </c>
      <c r="N228" s="30">
        <f>LEN(TRIM(SUBSTITUTE(M228,CHAR(10)," ")))-LEN(SUBSTITUTE(TRIM(SUBSTITUTE(M228,CHAR(10)," "))," ",""))+1</f>
        <v/>
      </c>
      <c r="O228" s="30" t="inlineStr">
        <is>
          <t>&lt;p&gt;A hand-arranged bouquet of 12 assorted-colour roses, plus a greeting card and a box of small chocolates. Chosen for a birthday, a thank-you or a just-because moment, it is a gift that says you care.&lt;/p&gt;</t>
        </is>
      </c>
      <c r="P228" s="29" t="inlineStr">
        <is>
          <t>ok</t>
        </is>
      </c>
      <c r="Q228" s="30" t="inlineStr">
        <is>
          <t>Dozen Mixed Roses Combo brings together 12 assorted-colour roses, plus a greeting card and a box of small chocolates. It suits a birthday, a thank-you or a just-because moment.
Mixed colours say thoughtfulness. We hand-arrange each one at Aussie Blooms so it looks the way you pictured it, ready for the bedside table.</t>
        </is>
      </c>
      <c r="R228" s="30" t="inlineStr">
        <is>
          <t>&lt;p&gt;Dozen Mixed Roses Combo brings together 12 assorted-colour roses, plus a greeting card and a box of small chocolates. It suits a birthday, a thank-you or a just-because moment.&lt;/p&gt;&lt;p&gt;Mixed colours say thoughtfulness. We hand-arrange each one at Aussie Blooms so it looks the way you pictured it, ready for the bedside table.&lt;/p&gt;</t>
        </is>
      </c>
      <c r="S228" s="29" t="inlineStr">
        <is>
          <t>ok</t>
        </is>
      </c>
      <c r="T228" s="30" t="inlineStr">
        <is>
          <t>In this bunch: 12 assorted-colour roses, plus a greeting card and a box of small chocolates. Hand it over and watch the day get a little better.</t>
        </is>
      </c>
      <c r="U228" s="30" t="inlineStr">
        <is>
          <t>&lt;p&gt;In this bunch: 12 assorted-colour roses, plus a greeting card and a box of small chocolates. Hand it over and watch the day get a little better.&lt;/p&gt;</t>
        </is>
      </c>
      <c r="V228" s="29" t="inlineStr">
        <is>
          <t>ok</t>
        </is>
      </c>
      <c r="W228" s="30" t="n"/>
      <c r="X228" s="30" t="inlineStr">
        <is>
          <t>n/a (Mel's: mason jar products only)</t>
        </is>
      </c>
      <c r="Y228" s="30" t="n"/>
      <c r="Z228" s="48" t="inlineStr">
        <is>
          <t>-</t>
        </is>
      </c>
      <c r="AA228" t="n">
        <v>66</v>
      </c>
      <c r="AB228" s="44" t="n">
        <v>31740.54</v>
      </c>
      <c r="AC228" t="n">
        <v>252</v>
      </c>
      <c r="AD228" s="45" t="n">
        <v>0.003636734684901264</v>
      </c>
      <c r="AE228" s="45" t="n">
        <v>0.009059091251677214</v>
      </c>
      <c r="AF228" t="n">
        <v>27</v>
      </c>
    </row>
    <row r="229" ht="109.5" customHeight="1" s="24">
      <c r="A229" s="30" t="inlineStr">
        <is>
          <t>AUFS-12</t>
        </is>
      </c>
      <c r="B229" s="30" t="inlineStr">
        <is>
          <t>Dozen Mixed Roses Super Combo</t>
        </is>
      </c>
      <c r="C229" s="30" t="inlineStr">
        <is>
          <t>Bouquets</t>
        </is>
      </c>
      <c r="D229" s="43" t="inlineStr">
        <is>
          <t>READY TO REVIEW</t>
        </is>
      </c>
      <c r="E229" s="30" t="inlineStr">
        <is>
          <t>A generous dozen of mixed roses overflows with colour in this super combo, a bright and cheerful pick-me-up for any occasion. Perfect for marking a birthday, sending get-well warmth or simply brightening someone's day just because.</t>
        </is>
      </c>
      <c r="F229" s="30" t="inlineStr">
        <is>
          <t>Shopify (28 Sep)</t>
        </is>
      </c>
      <c r="G229" s="30" t="inlineStr">
        <is>
          <t>12 × Roses Assorted; 2 × Baby's Breath; 3 × Ruscus Israeli; 1 × Greeting Card; 1 × Small Chocolates; 1 × Teddy Bear; 1 × Regular Red Wine</t>
        </is>
      </c>
      <c r="H229" s="30" t="inlineStr">
        <is>
          <t>12 × Roses Assorted; 2 × Baby's Breath; 3 × Ruscus Israeli; 1 × Greeting Card; 1 × Small Chocolates; 1 × Teddy Bear; 1 × Regular Red Wine</t>
        </is>
      </c>
      <c r="I229" s="30" t="inlineStr">
        <is>
          <t>12 × Roses Assorted; 2 × Baby's Breath; 3 × Ruscus Israeli; 1 × Greeting Card; 1 × Small Chocolates; 1 × Teddy Bear; 1 × Regular Red Wine</t>
        </is>
      </c>
      <c r="J229" s="30" t="inlineStr">
        <is>
          <t>1 × Regular Red Wine; 1 × Teddy Bear; 1 × Small Chocolates; 1 × Greeting Card; 3 × Ruscus Israeli; 2 × Baby's Breath; 12 × Roses Assorted</t>
        </is>
      </c>
      <c r="K229" s="30" t="inlineStr">
        <is>
          <t>Y</t>
        </is>
      </c>
      <c r="L229" s="30" t="n"/>
      <c r="M229" s="30" t="inlineStr">
        <is>
          <t>A fresh arrangement of 12 assorted-colour roses, plus a greeting card, a box of small chocolates, a teddy bear and a bottle of red wine. A warm gift for a birthday, a thank-you or a just-because moment.
Purchaser must be 18 years old or over to purchase this product. The recipient, by law, must be at least 18 years of age, with proof of age.</t>
        </is>
      </c>
      <c r="N229" s="30">
        <f>LEN(TRIM(SUBSTITUTE(M229,CHAR(10)," ")))-LEN(SUBSTITUTE(TRIM(SUBSTITUTE(M229,CHAR(10)," "))," ",""))+1</f>
        <v/>
      </c>
      <c r="O229" s="30" t="inlineStr">
        <is>
          <t>&lt;p&gt;A fresh arrangement of 12 assorted-colour roses, plus a greeting card, a box of small chocolates, a teddy bear and a bottle of red wine. A warm gift for a birthday, a thank-you or a just-because moment.&lt;/p&gt;&lt;p&gt;Purchaser must be 18 years old or over to purchase this product. The recipient, by law, must be at least 18 years of age, with proof of age.&lt;/p&gt;</t>
        </is>
      </c>
      <c r="P229" s="29" t="inlineStr">
        <is>
          <t>ok</t>
        </is>
      </c>
      <c r="Q229" s="30" t="inlineStr">
        <is>
          <t>Dozen Mixed Roses Super Combo brings together 12 assorted-colour roses, plus a greeting card, a box of small chocolates, a teddy bear and a bottle of red wine. It suits a birthday, a thank-you or a just-because moment.
Mixed colours say thoughtfulness. We hand-arrange each one at Aussie Blooms so it looks the way you pictured it, ready for the bedside table.
Purchaser must be 18 years old or over to purchase this product. The recipient, by law, must be at least 18 years of age, with proof of age.</t>
        </is>
      </c>
      <c r="R229" s="30" t="inlineStr">
        <is>
          <t>&lt;p&gt;Dozen Mixed Roses Super Combo brings together 12 assorted-colour roses, plus a greeting card, a box of small chocolates, a teddy bear and a bottle of red wine. It suits a birthday, a thank-you or a just-because moment.&lt;/p&gt;&lt;p&gt;Mixed colours say thoughtfulness. We hand-arrange each one at Aussie Blooms so it looks the way you pictured it, ready for the bedside table.&lt;/p&gt;&lt;p&gt;Purchaser must be 18 years old or over to purchase this product. The recipient, by law, must be at least 18 years of age, with proof of age.&lt;/p&gt;</t>
        </is>
      </c>
      <c r="S229" s="29" t="inlineStr">
        <is>
          <t>ok</t>
        </is>
      </c>
      <c r="T229" s="30" t="inlineStr">
        <is>
          <t>The bunch holds: 12 assorted-colour roses, plus a greeting card, a box of small chocolates, a teddy bear and a bottle of red wine. A simple good turn for a birthday, a thank-you or no reason at all.
Purchaser must be 18 years old or over to purchase this product. The recipient, by law, must be at least 18 years of age, with proof of age.</t>
        </is>
      </c>
      <c r="U229" s="30" t="inlineStr">
        <is>
          <t>&lt;p&gt;The bunch holds: 12 assorted-colour roses, plus a greeting card, a box of small chocolates, a teddy bear and a bottle of red wine. A simple good turn for a birthday, a thank-you or no reason at all.&lt;/p&gt;&lt;p&gt;Purchaser must be 18 years old or over to purchase this product. The recipient, by law, must be at least 18 years of age, with proof of age.&lt;/p&gt;</t>
        </is>
      </c>
      <c r="V229" s="29" t="inlineStr">
        <is>
          <t>ok</t>
        </is>
      </c>
      <c r="W229" s="30" t="n"/>
      <c r="X229" s="30" t="inlineStr">
        <is>
          <t>n/a (Mel's: mason jar products only)</t>
        </is>
      </c>
      <c r="Y229" s="30" t="n"/>
      <c r="Z229" s="48" t="inlineStr">
        <is>
          <t>-</t>
        </is>
      </c>
      <c r="AA229" t="n">
        <v>100</v>
      </c>
      <c r="AB229" s="44" t="n">
        <v>15693.59</v>
      </c>
      <c r="AC229" t="n">
        <v>131</v>
      </c>
      <c r="AD229" s="45" t="n">
        <v>0.001798123655430886</v>
      </c>
      <c r="AE229" s="45" t="n">
        <v>0.004479118684125301</v>
      </c>
      <c r="AF229" t="n">
        <v>47</v>
      </c>
    </row>
    <row r="230" ht="109.5" customHeight="1" s="24">
      <c r="A230" s="30" t="inlineStr">
        <is>
          <t>AU100-12</t>
        </is>
      </c>
      <c r="B230" s="30" t="inlineStr">
        <is>
          <t>Colour Me Yours</t>
        </is>
      </c>
      <c r="C230" s="30" t="inlineStr">
        <is>
          <t>Bouquets</t>
        </is>
      </c>
      <c r="D230" s="43" t="inlineStr">
        <is>
          <t>READY TO REVIEW</t>
        </is>
      </c>
      <c r="E230" s="30" t="inlineStr">
        <is>
          <t>A vibrant medley of seasonal blooms in joyful, mixed hues, hand-arranged to bring instant cheer wherever it lands. It's a versatile, uplifting choice for a birthday, a congratulations or sending someone heartfelt get-well wishes.</t>
        </is>
      </c>
      <c r="F230" s="30" t="inlineStr">
        <is>
          <t>Shopify (28 Sep)</t>
        </is>
      </c>
      <c r="G230" s="30" t="inlineStr">
        <is>
          <t>12 × Assorted Inventory Flowers; 2 × Ruscus Israeli</t>
        </is>
      </c>
      <c r="H230" s="30" t="inlineStr">
        <is>
          <t>12 × Assorted Inventory Flowers; 2 × Ruscus Israeli</t>
        </is>
      </c>
      <c r="I230" s="30" t="inlineStr">
        <is>
          <t>12 × Assorted Inventory Flowers; 2 × Ruscus Israeli</t>
        </is>
      </c>
      <c r="J230" s="30" t="inlineStr">
        <is>
          <t>12 × Assorted Inventory Flowers; 2 × Ruscus Israeli</t>
        </is>
      </c>
      <c r="K230" s="30" t="inlineStr">
        <is>
          <t>Y</t>
        </is>
      </c>
      <c r="L230" s="30" t="n"/>
      <c r="M230" s="30" t="inlineStr">
        <is>
          <t>A hand-arranged bouquet of 12 assorted seasonal blooms (florist's choice). Flowers change with the season, so the picture is illustrative and shows the style and colour, not the exact flowers you will receive.</t>
        </is>
      </c>
      <c r="N230" s="30">
        <f>LEN(TRIM(SUBSTITUTE(M230,CHAR(10)," ")))-LEN(SUBSTITUTE(TRIM(SUBSTITUTE(M230,CHAR(10)," "))," ",""))+1</f>
        <v/>
      </c>
      <c r="O230" s="30" t="inlineStr">
        <is>
          <t>&lt;p&gt;A hand-arranged bouquet of 12 assorted seasonal blooms (florist's choice). Flowers change with the season, so the picture is illustrative and shows the style and colour, not the exact flowers you will receive.&lt;/p&gt;</t>
        </is>
      </c>
      <c r="P230" s="29" t="inlineStr">
        <is>
          <t>ok</t>
        </is>
      </c>
      <c r="Q230" s="30" t="inlineStr">
        <is>
          <t>Colour Me Yours is an arrangement of 12 assorted seasonal blooms (florist's choice). Flowers change with the season, so the picture is illustrative and shows the style and colour, not the exact flowers you will receive.
It suits a birthday, a thank-you or a just-because moment, or any day you want to bring a little colour to the kitchen bench.</t>
        </is>
      </c>
      <c r="R230" s="30" t="inlineStr">
        <is>
          <t>&lt;p&gt;Colour Me Yours is an arrangement of 12 assorted seasonal blooms (florist's choice). Flowers change with the season, so the picture is illustrative and shows the style and colour, not the exact flowers you will receive.&lt;/p&gt;&lt;p&gt;It suits a birthday, a thank-you or a just-because moment, or any day you want to bring a little colour to the kitchen bench.&lt;/p&gt;</t>
        </is>
      </c>
      <c r="S230" s="29" t="inlineStr">
        <is>
          <t>ok</t>
        </is>
      </c>
      <c r="T230" s="30" t="inlineStr">
        <is>
          <t>The bunch holds: 12 assorted seasonal blooms (florist's choice). Flowers change with the season, so the picture is illustrative and shows the style and colour, not the exact flowers you will receive.</t>
        </is>
      </c>
      <c r="U230" s="30" t="inlineStr">
        <is>
          <t>&lt;p&gt;The bunch holds: 12 assorted seasonal blooms (florist's choice). Flowers change with the season, so the picture is illustrative and shows the style and colour, not the exact flowers you will receive.&lt;/p&gt;</t>
        </is>
      </c>
      <c r="V230" s="29" t="inlineStr">
        <is>
          <t>ok</t>
        </is>
      </c>
      <c r="W230" s="30" t="n"/>
      <c r="X230" s="30" t="inlineStr">
        <is>
          <t>n/a (Mel's: mason jar products only)</t>
        </is>
      </c>
      <c r="Y230" s="30" t="n"/>
      <c r="Z230" s="48" t="inlineStr">
        <is>
          <t>-</t>
        </is>
      </c>
      <c r="AA230" t="n">
        <v>45</v>
      </c>
      <c r="AB230" s="44" t="n">
        <v>48814.99</v>
      </c>
      <c r="AC230" t="n">
        <v>787</v>
      </c>
      <c r="AD230" s="45" t="n">
        <v>0.00559307308579624</v>
      </c>
      <c r="AE230" s="45" t="n">
        <v>0.01393232222077911</v>
      </c>
      <c r="AF230" t="n">
        <v>16</v>
      </c>
    </row>
    <row r="231" ht="109.5" customHeight="1" s="24">
      <c r="A231" s="30" t="inlineStr">
        <is>
          <t>AUBC-01</t>
        </is>
      </c>
      <c r="B231" s="30" t="inlineStr">
        <is>
          <t>Birthday Combo I</t>
        </is>
      </c>
      <c r="C231" s="30" t="inlineStr">
        <is>
          <t>Bouquets</t>
        </is>
      </c>
      <c r="D231" s="43" t="inlineStr">
        <is>
          <t>READY TO REVIEW</t>
        </is>
      </c>
      <c r="E231" s="30" t="inlineStr">
        <is>
          <t>A thoughtfully curated birthday combo that brings together everything needed to make the day feel extra special. It's the effortless way to send celebration and warmth to someone you love.</t>
        </is>
      </c>
      <c r="F231" s="30" t="inlineStr">
        <is>
          <t>Shopify (28 Sep)</t>
        </is>
      </c>
      <c r="G231" s="30" t="inlineStr">
        <is>
          <t>1 × Small Basket; 3 × Gourmet Items; 1 × Greeting Card; 10 × Assorted Inventory Flowers; 1 × Red Ribbon; 2 × Ruscus Israeli</t>
        </is>
      </c>
      <c r="H231" s="30" t="inlineStr">
        <is>
          <t>1 × Small Basket; 3 × Gourmet Items; 1 × Greeting Card; 10 × Assorted Inventory Flowers; 1 × Red Ribbon; 2 × Ruscus Israeli</t>
        </is>
      </c>
      <c r="I231" s="30" t="inlineStr">
        <is>
          <t>1 × Small Basket; 3 × Gourmet Items; 1 × Greeting Card; 10 × Assorted Inventory Flowers; 1 × Red Ribbon; 2 × Ruscus Israeli</t>
        </is>
      </c>
      <c r="J231" s="30" t="inlineStr">
        <is>
          <t>1 × Small Basket; 2 × Ruscus Israeli; 1 × Red Ribbon; 10 × Assorted Inventory Flowers; 1 × Greeting Card; 3 × Gourmet Items</t>
        </is>
      </c>
      <c r="K231" s="30" t="inlineStr">
        <is>
          <t>Y</t>
        </is>
      </c>
      <c r="L231" s="30" t="n"/>
      <c r="M231" s="30" t="inlineStr">
        <is>
          <t>A hand-arranged bouquet of 10 assorted seasonal blooms (florist's choice). Flowers change with the season, so the picture is illustrative and shows the style and colour, not the exact flowers you will receive.</t>
        </is>
      </c>
      <c r="N231" s="30">
        <f>LEN(TRIM(SUBSTITUTE(M231,CHAR(10)," ")))-LEN(SUBSTITUTE(TRIM(SUBSTITUTE(M231,CHAR(10)," "))," ",""))+1</f>
        <v/>
      </c>
      <c r="O231" s="30" t="inlineStr">
        <is>
          <t>&lt;p&gt;A hand-arranged bouquet of 10 assorted seasonal blooms (florist's choice). Flowers change with the season, so the picture is illustrative and shows the style and colour, not the exact flowers you will receive.&lt;/p&gt;</t>
        </is>
      </c>
      <c r="P231" s="29" t="inlineStr">
        <is>
          <t>ok</t>
        </is>
      </c>
      <c r="Q231" s="30" t="inlineStr">
        <is>
          <t>Birthday Combo I is an arrangement of 10 assorted seasonal blooms (florist's choice). Flowers change with the season, so the picture is illustrative and shows the style and colour, not the exact flowers you will receive.
It suits a birthday or a thank-you, or any day you want to bring a little colour to the bedside table.</t>
        </is>
      </c>
      <c r="R231" s="30" t="inlineStr">
        <is>
          <t>&lt;p&gt;Birthday Combo I is an arrangement of 10 assorted seasonal blooms (florist's choice). Flowers change with the season, so the picture is illustrative and shows the style and colour, not the exact flowers you will receive.&lt;/p&gt;&lt;p&gt;It suits a birthday or a thank-you, or any day you want to bring a little colour to the bedside table.&lt;/p&gt;</t>
        </is>
      </c>
      <c r="S231" s="29" t="inlineStr">
        <is>
          <t>ok</t>
        </is>
      </c>
      <c r="T231" s="30" t="inlineStr">
        <is>
          <t>The bunch holds: 10 assorted seasonal blooms (florist's choice). Flowers change with the season, so the picture is illustrative and shows the style and colour, not the exact flowers you will receive.</t>
        </is>
      </c>
      <c r="U231" s="30" t="inlineStr">
        <is>
          <t>&lt;p&gt;The bunch holds: 10 assorted seasonal blooms (florist's choice). Flowers change with the season, so the picture is illustrative and shows the style and colour, not the exact flowers you will receive.&lt;/p&gt;</t>
        </is>
      </c>
      <c r="V231" s="29" t="inlineStr">
        <is>
          <t>ok</t>
        </is>
      </c>
      <c r="W231" s="30" t="n"/>
      <c r="X231" s="30" t="inlineStr">
        <is>
          <t>n/a (Mel's: mason jar products only)</t>
        </is>
      </c>
      <c r="Y231" s="30" t="n"/>
      <c r="Z231" s="48" t="inlineStr">
        <is>
          <t>-</t>
        </is>
      </c>
      <c r="AA231" t="n">
        <v>48</v>
      </c>
      <c r="AB231" s="44" t="n">
        <v>46464.05</v>
      </c>
      <c r="AC231" t="n">
        <v>460</v>
      </c>
      <c r="AD231" s="45" t="n">
        <v>0.005323709519829128</v>
      </c>
      <c r="AE231" s="45" t="n">
        <v>0.01326133867773863</v>
      </c>
      <c r="AF231" t="n">
        <v>17</v>
      </c>
    </row>
    <row r="232" ht="109.5" customHeight="1" s="24">
      <c r="A232" s="30" t="inlineStr">
        <is>
          <t>AUBC-02</t>
        </is>
      </c>
      <c r="B232" s="30" t="inlineStr">
        <is>
          <t>Birthday Combo II</t>
        </is>
      </c>
      <c r="C232" s="30" t="inlineStr">
        <is>
          <t>Bouquets</t>
        </is>
      </c>
      <c r="D232" s="43" t="inlineStr">
        <is>
          <t>READY TO REVIEW</t>
        </is>
      </c>
      <c r="E232" s="30" t="inlineStr">
        <is>
          <t>A delightful birthday combination bringing together fresh flowers and thoughtful extras for a complete celebratory surprise. An easy, all-in-one way to make their day feel truly special.</t>
        </is>
      </c>
      <c r="F232" s="30" t="inlineStr">
        <is>
          <t>Shopify (28 Sep)</t>
        </is>
      </c>
      <c r="G232" s="30" t="inlineStr">
        <is>
          <t>1 × Small Basket; 3 × Gourmet Items; 1 × Greeting Card; 10 × Assorted Inventory Flowers; 1 × Red Ribbon; 2 × Ruscus Israeli</t>
        </is>
      </c>
      <c r="H232" s="30" t="inlineStr">
        <is>
          <t>1 × Small Basket; 3 × Gourmet Items; 1 × Greeting Card; 10 × Assorted Inventory Flowers; 1 × Red Ribbon; 2 × Ruscus Israeli</t>
        </is>
      </c>
      <c r="I232" s="30" t="inlineStr">
        <is>
          <t>1 × Small Basket; 3 × Gourmet Items; 1 × Greeting Card; 10 × Assorted Inventory Flowers; 1 × Red Ribbon; 2 × Ruscus Israeli</t>
        </is>
      </c>
      <c r="J232" s="30" t="inlineStr">
        <is>
          <t>1 × Small Basket; 2 × Ruscus Israeli; 1 × Red Ribbon; 10 × Assorted Inventory Flowers; 1 × Greeting Card; 3 × Gourmet Items</t>
        </is>
      </c>
      <c r="K232" s="30" t="inlineStr">
        <is>
          <t>Y</t>
        </is>
      </c>
      <c r="L232" s="30" t="n"/>
      <c r="M232" s="30" t="inlineStr">
        <is>
          <t>Designed by our florists, a bouquet of 10 assorted seasonal blooms (florist's choice). The florist chooses the flowers to suit the season, so the picture is illustrative and shows the style and colour, not the exact stems.</t>
        </is>
      </c>
      <c r="N232" s="30">
        <f>LEN(TRIM(SUBSTITUTE(M232,CHAR(10)," ")))-LEN(SUBSTITUTE(TRIM(SUBSTITUTE(M232,CHAR(10)," "))," ",""))+1</f>
        <v/>
      </c>
      <c r="O232" s="30" t="inlineStr">
        <is>
          <t>&lt;p&gt;Designed by our florists, a bouquet of 10 assorted seasonal blooms (florist's choice). The florist chooses the flowers to suit the season, so the picture is illustrative and shows the style and colour, not the exact stems.&lt;/p&gt;</t>
        </is>
      </c>
      <c r="P232" s="29" t="inlineStr">
        <is>
          <t>ok</t>
        </is>
      </c>
      <c r="Q232" s="30" t="inlineStr">
        <is>
          <t>Birthday Combo II is an arrangement of 10 assorted seasonal blooms (florist's choice). Flowers change with the season, so the picture is illustrative and shows the style and colour, not the exact flowers you will receive.
It suits a birthday or a thank-you, or any day you want to bring a little colour to the kitchen bench.</t>
        </is>
      </c>
      <c r="R232" s="30" t="inlineStr">
        <is>
          <t>&lt;p&gt;Birthday Combo II is an arrangement of 10 assorted seasonal blooms (florist's choice). Flowers change with the season, so the picture is illustrative and shows the style and colour, not the exact flowers you will receive.&lt;/p&gt;&lt;p&gt;It suits a birthday or a thank-you, or any day you want to bring a little colour to the kitchen bench.&lt;/p&gt;</t>
        </is>
      </c>
      <c r="S232" s="29" t="inlineStr">
        <is>
          <t>ok</t>
        </is>
      </c>
      <c r="T232" s="30" t="inlineStr">
        <is>
          <t>The bunch holds: 10 assorted seasonal blooms (florist's choice). The florist chooses the flowers to suit the season, so the picture is illustrative and shows the style and colour, not the exact stems.</t>
        </is>
      </c>
      <c r="U232" s="30" t="inlineStr">
        <is>
          <t>&lt;p&gt;The bunch holds: 10 assorted seasonal blooms (florist's choice). The florist chooses the flowers to suit the season, so the picture is illustrative and shows the style and colour, not the exact stems.&lt;/p&gt;</t>
        </is>
      </c>
      <c r="V232" s="29" t="inlineStr">
        <is>
          <t>ok</t>
        </is>
      </c>
      <c r="W232" s="30" t="n"/>
      <c r="X232" s="30" t="inlineStr">
        <is>
          <t>n/a (Mel's: mason jar products only)</t>
        </is>
      </c>
      <c r="Y232" s="30" t="n"/>
      <c r="Z232" s="48" t="inlineStr">
        <is>
          <t>-</t>
        </is>
      </c>
      <c r="AA232" t="n">
        <v>30</v>
      </c>
      <c r="AB232" s="44" t="n">
        <v>72323.44</v>
      </c>
      <c r="AC232" t="n">
        <v>586</v>
      </c>
      <c r="AD232" s="45" t="n">
        <v>0.008286599897352285</v>
      </c>
      <c r="AE232" s="45" t="n">
        <v>0.02064188651097364</v>
      </c>
      <c r="AF232" t="n">
        <v>9</v>
      </c>
    </row>
    <row r="233" ht="109.5" customHeight="1" s="24">
      <c r="A233" s="30" t="inlineStr">
        <is>
          <t>AUBC-04</t>
        </is>
      </c>
      <c r="B233" s="30" t="inlineStr">
        <is>
          <t>Birthday Combo IV</t>
        </is>
      </c>
      <c r="C233" s="30" t="inlineStr">
        <is>
          <t>Bouquets</t>
        </is>
      </c>
      <c r="D233" s="43" t="inlineStr">
        <is>
          <t>READY TO REVIEW</t>
        </is>
      </c>
      <c r="E233" s="30" t="inlineStr">
        <is>
          <t>A generous birthday combo thoughtfully put together to delight and surprise on the big day. It's a fuss-free, heartfelt way to send celebration to someone who deserves to feel cherished.</t>
        </is>
      </c>
      <c r="F233" s="30" t="inlineStr">
        <is>
          <t>Shopify (28 Sep)</t>
        </is>
      </c>
      <c r="G233" s="30" t="inlineStr">
        <is>
          <t>1 × Small Basket; 3 × Gourmet Items; 1 × Greeting Card; 10 × Assorted Inventory Flowers; 1 × Red Ribbon; 2 × Ruscus Israeli; 1 × Teddy Bear</t>
        </is>
      </c>
      <c r="H233" s="30" t="inlineStr">
        <is>
          <t>1 × Small Basket; 3 × Gourmet Items; 1 × Greeting Card; 10 × Assorted Inventory Flowers; 1 × Red Ribbon; 2 × Ruscus Israeli; 1 × Teddy Bear</t>
        </is>
      </c>
      <c r="I233" s="30" t="inlineStr">
        <is>
          <t>1 × Small Basket; 3 × Gourmet Items; 1 × Greeting Card; 10 × Assorted Inventory Flowers; 1 × Red Ribbon; 2 × Ruscus Israeli; 1 × Teddy Bear</t>
        </is>
      </c>
      <c r="J233" s="30" t="inlineStr">
        <is>
          <t>1 × Small Basket; 1 × Teddy Bear; 2 × Ruscus Israeli; 1 × Red Ribbon; 10 × Assorted Inventory Flowers; 1 × Greeting Card; 3 × Gourmet Items</t>
        </is>
      </c>
      <c r="K233" s="30" t="inlineStr">
        <is>
          <t>Y</t>
        </is>
      </c>
      <c r="L233" s="30" t="n"/>
      <c r="M233" s="30" t="inlineStr">
        <is>
          <t>A florist-designed bouquet with 10 assorted seasonal blooms (florist's choice). Stems vary with the season, so the picture is illustrative and shows the style and colour, not the exact flowers.</t>
        </is>
      </c>
      <c r="N233" s="30">
        <f>LEN(TRIM(SUBSTITUTE(M233,CHAR(10)," ")))-LEN(SUBSTITUTE(TRIM(SUBSTITUTE(M233,CHAR(10)," "))," ",""))+1</f>
        <v/>
      </c>
      <c r="O233" s="30" t="inlineStr">
        <is>
          <t>&lt;p&gt;A florist-designed bouquet with 10 assorted seasonal blooms (florist's choice). Stems vary with the season, so the picture is illustrative and shows the style and colour, not the exact flowers.&lt;/p&gt;</t>
        </is>
      </c>
      <c r="P233" s="29" t="inlineStr">
        <is>
          <t>ok</t>
        </is>
      </c>
      <c r="Q233" s="30" t="inlineStr">
        <is>
          <t>Birthday Combo IV is an arrangement of 10 assorted seasonal blooms (florist's choice). Flowers change with the season, so the picture is illustrative and shows the style and colour, not the exact flowers you will receive.
It suits a birthday or a thank-you, or any day you want to bring a little colour to a summer table.</t>
        </is>
      </c>
      <c r="R233" s="30" t="inlineStr">
        <is>
          <t>&lt;p&gt;Birthday Combo IV is an arrangement of 10 assorted seasonal blooms (florist's choice). Flowers change with the season, so the picture is illustrative and shows the style and colour, not the exact flowers you will receive.&lt;/p&gt;&lt;p&gt;It suits a birthday or a thank-you, or any day you want to bring a little colour to a summer table.&lt;/p&gt;</t>
        </is>
      </c>
      <c r="S233" s="29" t="inlineStr">
        <is>
          <t>ok</t>
        </is>
      </c>
      <c r="T233" s="30" t="inlineStr">
        <is>
          <t>In this bunch: 10 assorted seasonal blooms (florist's choice). Flowers change with the season, so the picture is illustrative and shows the style and colour, not the exact flowers you will receive.</t>
        </is>
      </c>
      <c r="U233" s="30" t="inlineStr">
        <is>
          <t>&lt;p&gt;In this bunch: 10 assorted seasonal blooms (florist's choice). Flowers change with the season, so the picture is illustrative and shows the style and colour, not the exact flowers you will receive.&lt;/p&gt;</t>
        </is>
      </c>
      <c r="V233" s="29" t="inlineStr">
        <is>
          <t>ok</t>
        </is>
      </c>
      <c r="W233" s="30" t="n"/>
      <c r="X233" s="30" t="inlineStr">
        <is>
          <t>n/a (Mel's: mason jar products only)</t>
        </is>
      </c>
      <c r="Y233" s="30" t="n"/>
      <c r="Z233" s="48" t="inlineStr">
        <is>
          <t>-</t>
        </is>
      </c>
      <c r="AA233" t="n">
        <v>75</v>
      </c>
      <c r="AB233" s="44" t="n">
        <v>26934.16</v>
      </c>
      <c r="AC233" t="n">
        <v>192</v>
      </c>
      <c r="AD233" s="45" t="n">
        <v>0.003086034489462045</v>
      </c>
      <c r="AE233" s="45" t="n">
        <v>0.007687299313290096</v>
      </c>
      <c r="AF233" t="n">
        <v>30</v>
      </c>
    </row>
    <row r="234" ht="109.5" customHeight="1" s="24">
      <c r="A234" s="30" t="inlineStr">
        <is>
          <t>AUSC-01</t>
        </is>
      </c>
      <c r="B234" s="30" t="inlineStr">
        <is>
          <t>Sweetheart Collection I</t>
        </is>
      </c>
      <c r="C234" s="30" t="inlineStr">
        <is>
          <t>Bouquets</t>
        </is>
      </c>
      <c r="D234" s="43" t="inlineStr">
        <is>
          <t>READY TO REVIEW</t>
        </is>
      </c>
      <c r="E234" s="30" t="n"/>
      <c r="F234" s="30" t="inlineStr">
        <is>
          <t>none</t>
        </is>
      </c>
      <c r="G234" s="30" t="inlineStr">
        <is>
          <t>3 × Roses Red; 3 × Chrysanthemum Spray White; 3 × Carnation Red; 1 × Baby's Breath; 3 × Ruscus Israeli; 1 × Greeting Card</t>
        </is>
      </c>
      <c r="H234" s="30" t="inlineStr">
        <is>
          <t>3 × Roses Red; 3 × Chrysanthemum Spray White; 3 × Carnation Red; 1 × Baby's Breath; 3 × Ruscus Israeli; 1 × Greeting Card; 1 × Red Vase</t>
        </is>
      </c>
      <c r="I234" s="31" t="inlineStr">
        <is>
          <t>3 × Roses Red; 3 × Chrysanthemum Spray White; 3 × Carnation Red; 1 × Baby's Breath; 3 × Ruscus Israeli; 1 × Greeting Card; 1 × Red Vase</t>
        </is>
      </c>
      <c r="J234" s="30" t="inlineStr">
        <is>
          <t>1 × Baby's Breath; 1 × Red Vase; 1 × Greeting Card; 3 × Ruscus Israeli; 3 × Carnation Red; 3 × Chrysanthemum Spray White; 3 × Roses Red</t>
        </is>
      </c>
      <c r="K234" s="30" t="inlineStr">
        <is>
          <t>N</t>
        </is>
      </c>
      <c r="L234" s="30" t="n"/>
      <c r="M234" s="30" t="inlineStr">
        <is>
          <t>A hand-arranged bouquet of 3 red carnations, 3 red roses and 3 white spray chrysanthemums in a red vase, plus a greeting card. A lovely way to mark an anniversary or a thank-you, with a vase to keep once the flowers are gone.</t>
        </is>
      </c>
      <c r="N234" s="30">
        <f>LEN(TRIM(SUBSTITUTE(M234,CHAR(10)," ")))-LEN(SUBSTITUTE(TRIM(SUBSTITUTE(M234,CHAR(10)," "))," ",""))+1</f>
        <v/>
      </c>
      <c r="O234" s="30" t="inlineStr">
        <is>
          <t>&lt;p&gt;A hand-arranged bouquet of 3 red carnations, 3 red roses and 3 white spray chrysanthemums in a red vase, plus a greeting card. A lovely way to mark an anniversary or a thank-you, with a vase to keep once the flowers are gone.&lt;/p&gt;</t>
        </is>
      </c>
      <c r="P234" s="29" t="inlineStr">
        <is>
          <t>ok</t>
        </is>
      </c>
      <c r="Q234" s="30" t="inlineStr">
        <is>
          <t>Sweetheart Collection I brings together 3 red carnations, 3 red roses and 3 white spray chrysanthemums, arranged in a red vase, plus a greeting card. It suits an anniversary or a thank-you.
Red tones say love and devotion. We hand-arrange each one at Aussie Blooms so it looks the way you pictured it, ready for the bedside table.</t>
        </is>
      </c>
      <c r="R234" s="30" t="inlineStr">
        <is>
          <t>&lt;p&gt;Sweetheart Collection I brings together 3 red carnations, 3 red roses and 3 white spray chrysanthemums, arranged in a red vase, plus a greeting card. It suits an anniversary or a thank-you.&lt;/p&gt;&lt;p&gt;Red tones say love and devotion. We hand-arrange each one at Aussie Blooms so it looks the way you pictured it, ready for the bedside table.&lt;/p&gt;</t>
        </is>
      </c>
      <c r="S234" s="29" t="inlineStr">
        <is>
          <t>ok</t>
        </is>
      </c>
      <c r="T234" s="30" t="inlineStr">
        <is>
          <t>In this bunch: 3 red carnations, 3 red roses and 3 white spray chrysanthemums in a red vase, plus a greeting card. Some things need no speech. Put these on the table and the message is delivered.</t>
        </is>
      </c>
      <c r="U234" s="30" t="inlineStr">
        <is>
          <t>&lt;p&gt;In this bunch: 3 red carnations, 3 red roses and 3 white spray chrysanthemums in a red vase, plus a greeting card. Some things need no speech. Put these on the table and the message is delivered.&lt;/p&gt;</t>
        </is>
      </c>
      <c r="V234" s="47" t="inlineStr">
        <is>
          <t>delivery promise</t>
        </is>
      </c>
      <c r="W234" s="30" t="n"/>
      <c r="X234" s="30" t="inlineStr">
        <is>
          <t>n/a (Mel's: mason jar products only)</t>
        </is>
      </c>
      <c r="Y234" s="30" t="n"/>
      <c r="Z234" s="48" t="inlineStr">
        <is>
          <t>-</t>
        </is>
      </c>
      <c r="AA234" t="n">
        <v>241</v>
      </c>
      <c r="AB234" s="44" t="n">
        <v>305.45</v>
      </c>
      <c r="AC234" t="n">
        <v>3</v>
      </c>
      <c r="AD234" s="45" t="n">
        <v>3.499787715354388e-05</v>
      </c>
      <c r="AE234" s="45" t="n">
        <v>8.717956909676268e-05</v>
      </c>
      <c r="AF234" t="n">
        <v>134</v>
      </c>
    </row>
    <row r="235" ht="109.5" customHeight="1" s="24">
      <c r="A235" s="30" t="inlineStr">
        <is>
          <t>AUSC-02</t>
        </is>
      </c>
      <c r="B235" s="30" t="inlineStr">
        <is>
          <t>Sweetheart Collection II</t>
        </is>
      </c>
      <c r="C235" s="30" t="inlineStr">
        <is>
          <t>Bouquets</t>
        </is>
      </c>
      <c r="D235" s="43" t="inlineStr">
        <is>
          <t>READY TO REVIEW</t>
        </is>
      </c>
      <c r="E235" s="30" t="inlineStr">
        <is>
          <t>A sweet trio of roses, carnations and chrysanthemums in soft, harmonious tones, arranged to charm and comfort. A tender bouquet for saying I love you, or simply because someone has been on your mind.</t>
        </is>
      </c>
      <c r="F235" s="30" t="inlineStr">
        <is>
          <t>Shopify (28 Sep)</t>
        </is>
      </c>
      <c r="G235" s="30" t="inlineStr">
        <is>
          <t>4 × Roses Red; 3 × Chrysanthemum Spray White; 3 × Carnation Red; 1 × Baby's Breath; 3 × Ruscus Israeli; 1 × Greeting Card; 1 × Teddy Bear</t>
        </is>
      </c>
      <c r="H235" s="30" t="inlineStr">
        <is>
          <t>4 × Roses Red; 3 × Chrysanthemum Spray White; 3 × Carnation Red; 1 × Baby's Breath; 3 × Ruscus Israeli; 1 × Greeting Card; 1 × Red Vase; 1 × Teddy Bear</t>
        </is>
      </c>
      <c r="I235" s="31" t="inlineStr">
        <is>
          <t>4 × Roses Red; 3 × Chrysanthemum Spray White; 3 × Carnation Red; 1 × Baby's Breath; 3 × Ruscus Israeli; 1 × Greeting Card; 1 × Red Vase; 1 × Teddy Bear</t>
        </is>
      </c>
      <c r="J235" s="30" t="inlineStr">
        <is>
          <t>1 × Baby's Breath; 1 × Teddy Bear; 1 × Red Vase; 1 × Greeting Card; 3 × Ruscus Israeli; 3 × Carnation Red; 3 × Chrysanthemum Spray White; 4 × Roses Red</t>
        </is>
      </c>
      <c r="K235" s="30" t="inlineStr">
        <is>
          <t>Y</t>
        </is>
      </c>
      <c r="L235" s="30" t="n"/>
      <c r="M235" s="30" t="inlineStr">
        <is>
          <t>A fresh arrangement of 4 red roses, 3 red carnations and 3 white spray chrysanthemums in a red vase, plus a greeting card and a teddy bear. A lovely way to mark an anniversary or a thank-you, and a bright moment when the door opens.</t>
        </is>
      </c>
      <c r="N235" s="30">
        <f>LEN(TRIM(SUBSTITUTE(M235,CHAR(10)," ")))-LEN(SUBSTITUTE(TRIM(SUBSTITUTE(M235,CHAR(10)," "))," ",""))+1</f>
        <v/>
      </c>
      <c r="O235" s="30" t="inlineStr">
        <is>
          <t>&lt;p&gt;A fresh arrangement of 4 red roses, 3 red carnations and 3 white spray chrysanthemums in a red vase, plus a greeting card and a teddy bear. A lovely way to mark an anniversary or a thank-you, and a bright moment when the door opens.&lt;/p&gt;</t>
        </is>
      </c>
      <c r="P235" s="29" t="inlineStr">
        <is>
          <t>ok</t>
        </is>
      </c>
      <c r="Q235" s="30" t="inlineStr">
        <is>
          <t>Sweetheart Collection II brings together 4 red roses, 3 red carnations and 3 white spray chrysanthemums, arranged in a red vase, plus a greeting card and a teddy bear. It suits an anniversary or a thank-you.
Red tones say love and devotion. We hand-arrange each one at Aussie Blooms so it looks the way you pictured it, ready for a summer table.</t>
        </is>
      </c>
      <c r="R235" s="30" t="inlineStr">
        <is>
          <t>&lt;p&gt;Sweetheart Collection II brings together 4 red roses, 3 red carnations and 3 white spray chrysanthemums, arranged in a red vase, plus a greeting card and a teddy bear. It suits an anniversary or a thank-you.&lt;/p&gt;&lt;p&gt;Red tones say love and devotion. We hand-arrange each one at Aussie Blooms so it looks the way you pictured it, ready for a summer table.&lt;/p&gt;</t>
        </is>
      </c>
      <c r="S235" s="29" t="inlineStr">
        <is>
          <t>ok</t>
        </is>
      </c>
      <c r="T235" s="30" t="inlineStr">
        <is>
          <t>The bunch holds: 4 red roses, 3 red carnations and 3 white spray chrysanthemums in a red vase, plus a greeting card and a teddy bear. The classic, handed over without a single word of explanation.</t>
        </is>
      </c>
      <c r="U235" s="30" t="inlineStr">
        <is>
          <t>&lt;p&gt;The bunch holds: 4 red roses, 3 red carnations and 3 white spray chrysanthemums in a red vase, plus a greeting card and a teddy bear. The classic, handed over without a single word of explanation.&lt;/p&gt;</t>
        </is>
      </c>
      <c r="V235" s="29" t="inlineStr">
        <is>
          <t>ok</t>
        </is>
      </c>
      <c r="W235" s="30" t="n"/>
      <c r="X235" s="30" t="inlineStr">
        <is>
          <t>n/a (Mel's: mason jar products only)</t>
        </is>
      </c>
      <c r="Y235" s="30" t="n"/>
      <c r="Z235" s="48" t="inlineStr">
        <is>
          <t>-</t>
        </is>
      </c>
      <c r="AA235" t="n">
        <v>197</v>
      </c>
      <c r="AB235" s="44" t="n">
        <v>2633.27</v>
      </c>
      <c r="AC235" t="n">
        <v>30</v>
      </c>
      <c r="AD235" s="45" t="n">
        <v>0.0003017120799995826</v>
      </c>
      <c r="AE235" s="45" t="n">
        <v>0.0007515635594197217</v>
      </c>
      <c r="AF235" t="n">
        <v>104</v>
      </c>
    </row>
    <row r="236" ht="109.5" customHeight="1" s="24">
      <c r="A236" s="30" t="inlineStr">
        <is>
          <t>AUSC-03</t>
        </is>
      </c>
      <c r="B236" s="30" t="inlineStr">
        <is>
          <t>Sweetheart Collection III</t>
        </is>
      </c>
      <c r="C236" s="30" t="inlineStr">
        <is>
          <t>Bouquets</t>
        </is>
      </c>
      <c r="D236" s="43" t="inlineStr">
        <is>
          <t>READY TO REVIEW</t>
        </is>
      </c>
      <c r="E236" s="30" t="inlineStr">
        <is>
          <t>Cheerful carnations mingle with chrysanthemums and roses in this generous, heartfelt bouquet. A lovely way to brighten someone's day, whether to express your love or just because they deserve a smile.</t>
        </is>
      </c>
      <c r="F236" s="30" t="inlineStr">
        <is>
          <t>Shopify (28 Sep)</t>
        </is>
      </c>
      <c r="G236" s="30" t="inlineStr">
        <is>
          <t>3 × Roses Red; 3 × Chrysanthemum Spray White; 3 × Carnation Red; 1 × Baby's Breath; 3 × Ruscus Israeli; 1 × Greeting Card; 1 × Small Chocolates</t>
        </is>
      </c>
      <c r="H236" s="30" t="inlineStr">
        <is>
          <t>3 × Roses Red; 3 × Chrysanthemum Spray White; 3 × Carnation Red; 1 × Baby's Breath; 3 × Ruscus Israeli; 1 × Greeting Card; 1 × Red Vase; 1 × Small Chocolates</t>
        </is>
      </c>
      <c r="I236" s="31" t="inlineStr">
        <is>
          <t>3 × Roses Red; 3 × Chrysanthemum Spray White; 3 × Carnation Red; 1 × Baby's Breath; 3 × Ruscus Israeli; 1 × Greeting Card; 1 × Red Vase; 1 × Small Chocolates</t>
        </is>
      </c>
      <c r="J236" s="30" t="inlineStr">
        <is>
          <t>1 × Baby's Breath; 1 × Small Chocolates; 1 × Red Vase; 1 × Greeting Card; 3 × Ruscus Israeli; 3 × Carnation Red; 3 × Chrysanthemum Spray White; 3 × Roses Red</t>
        </is>
      </c>
      <c r="K236" s="30" t="inlineStr">
        <is>
          <t>Y</t>
        </is>
      </c>
      <c r="L236" s="30" t="n"/>
      <c r="M236" s="30" t="inlineStr">
        <is>
          <t>A hand-arranged bouquet of 3 red carnations, 3 red roses and 3 white spray chrysanthemums in a red vase, plus a greeting card and a box of small chocolates. Chosen for an anniversary or a thank-you, it says you were thinking of them.</t>
        </is>
      </c>
      <c r="N236" s="30">
        <f>LEN(TRIM(SUBSTITUTE(M236,CHAR(10)," ")))-LEN(SUBSTITUTE(TRIM(SUBSTITUTE(M236,CHAR(10)," "))," ",""))+1</f>
        <v/>
      </c>
      <c r="O236" s="30" t="inlineStr">
        <is>
          <t>&lt;p&gt;A hand-arranged bouquet of 3 red carnations, 3 red roses and 3 white spray chrysanthemums in a red vase, plus a greeting card and a box of small chocolates. Chosen for an anniversary or a thank-you, it says you were thinking of them.&lt;/p&gt;</t>
        </is>
      </c>
      <c r="P236" s="29" t="inlineStr">
        <is>
          <t>ok</t>
        </is>
      </c>
      <c r="Q236" s="30" t="inlineStr">
        <is>
          <t>Sweetheart Collection III brings together 3 red carnations, 3 red roses and 3 white spray chrysanthemums, arranged in a red vase, plus a greeting card and a box of small chocolates. It suits an anniversary or a thank-you.
Red tones say love and devotion. We hand-arrange each one at Aussie Blooms so it looks the way you pictured it, ready for the kitchen bench.</t>
        </is>
      </c>
      <c r="R236" s="30" t="inlineStr">
        <is>
          <t>&lt;p&gt;Sweetheart Collection III brings together 3 red carnations, 3 red roses and 3 white spray chrysanthemums, arranged in a red vase, plus a greeting card and a box of small chocolates. It suits an anniversary or a thank-you.&lt;/p&gt;&lt;p&gt;Red tones say love and devotion. We hand-arrange each one at Aussie Blooms so it looks the way you pictured it, ready for the kitchen bench.&lt;/p&gt;</t>
        </is>
      </c>
      <c r="S236" s="29" t="inlineStr">
        <is>
          <t>ok</t>
        </is>
      </c>
      <c r="T236" s="30" t="inlineStr">
        <is>
          <t>In this bunch: 3 red carnations, 3 red roses and 3 white spray chrysanthemums in a red vase, plus a greeting card and a box of small chocolates. Some things need no speech. Put these on the table and the message is delivered.</t>
        </is>
      </c>
      <c r="U236" s="30" t="inlineStr">
        <is>
          <t>&lt;p&gt;In this bunch: 3 red carnations, 3 red roses and 3 white spray chrysanthemums in a red vase, plus a greeting card and a box of small chocolates. Some things need no speech. Put these on the table and the message is delivered.&lt;/p&gt;</t>
        </is>
      </c>
      <c r="V236" s="47" t="inlineStr">
        <is>
          <t>delivery promise</t>
        </is>
      </c>
      <c r="W236" s="30" t="n"/>
      <c r="X236" s="30" t="inlineStr">
        <is>
          <t>n/a (Mel's: mason jar products only)</t>
        </is>
      </c>
      <c r="Y236" s="30" t="n"/>
      <c r="Z236" s="48" t="inlineStr">
        <is>
          <t>-</t>
        </is>
      </c>
      <c r="AA236" t="n">
        <v>196</v>
      </c>
      <c r="AB236" s="44" t="n">
        <v>2697.13</v>
      </c>
      <c r="AC236" t="n">
        <v>25</v>
      </c>
      <c r="AD236" s="45" t="n">
        <v>0.0003090285065644443</v>
      </c>
      <c r="AE236" s="45" t="n">
        <v>0.0007697887481205788</v>
      </c>
      <c r="AF236" t="n">
        <v>103</v>
      </c>
    </row>
    <row r="237" ht="109.5" customHeight="1" s="24">
      <c r="A237" s="30" t="inlineStr">
        <is>
          <t>AUSC-04</t>
        </is>
      </c>
      <c r="B237" s="30" t="inlineStr">
        <is>
          <t>Sweetheart Collection IV</t>
        </is>
      </c>
      <c r="C237" s="30" t="inlineStr">
        <is>
          <t>Bouquets</t>
        </is>
      </c>
      <c r="D237" s="43" t="inlineStr">
        <is>
          <t>READY TO REVIEW</t>
        </is>
      </c>
      <c r="E237" s="30" t="inlineStr">
        <is>
          <t>A romantic medley of chrysanthemums, carnations and roses, gathered into a full and tender arrangement. The perfect gesture to share your affection or surprise a loved one for no reason at all.</t>
        </is>
      </c>
      <c r="F237" s="30" t="inlineStr">
        <is>
          <t>Shopify (28 Sep)</t>
        </is>
      </c>
      <c r="G237" s="30" t="inlineStr">
        <is>
          <t>4 × Roses Red; 3 × Chrysanthemum Spray White; 3 × Carnation Red; 1 × Baby's Breath; 3 × Ruscus Israeli; 1 × Greeting Card; 1 × Small Chocolates; 1 × Teddy Bear</t>
        </is>
      </c>
      <c r="H237" s="30" t="inlineStr">
        <is>
          <t>4 × Roses Red; 3 × Chrysanthemum Spray White; 3 × Carnation Red; 1 × Baby's Breath; 3 × Ruscus Israeli; 1 × Greeting Card; 1 × Red Vase; 1 × Small Chocolates; 1 × Teddy Bear</t>
        </is>
      </c>
      <c r="I237" s="31" t="inlineStr">
        <is>
          <t>4 × Roses Red; 3 × Chrysanthemum Spray White; 3 × Carnation Red; 1 × Baby's Breath; 3 × Ruscus Israeli; 1 × Greeting Card; 1 × Red Vase; 1 × Small Chocolates; 1 × Teddy Bear</t>
        </is>
      </c>
      <c r="J237" s="30" t="inlineStr">
        <is>
          <t>1 × Baby's Breath; 1 × Teddy Bear; 1 × Small Chocolates; 1 × Red Vase; 1 × Greeting Card; 3 × Ruscus Israeli; 3 × Carnation Red; 3 × Chrysanthemum Spray White; 4 × Roses Red</t>
        </is>
      </c>
      <c r="K237" s="30" t="inlineStr">
        <is>
          <t>Y</t>
        </is>
      </c>
      <c r="L237" s="30" t="n"/>
      <c r="M237" s="30" t="inlineStr">
        <is>
          <t>A florist-designed bouquet of 4 red roses, 3 red carnations and 3 white spray chrysanthemums in a red vase, plus a greeting card, a box of small chocolates and a teddy bear. A warm gift for an anniversary or a thank-you.</t>
        </is>
      </c>
      <c r="N237" s="30">
        <f>LEN(TRIM(SUBSTITUTE(M237,CHAR(10)," ")))-LEN(SUBSTITUTE(TRIM(SUBSTITUTE(M237,CHAR(10)," "))," ",""))+1</f>
        <v/>
      </c>
      <c r="O237" s="30" t="inlineStr">
        <is>
          <t>&lt;p&gt;A florist-designed bouquet of 4 red roses, 3 red carnations and 3 white spray chrysanthemums in a red vase, plus a greeting card, a box of small chocolates and a teddy bear. A warm gift for an anniversary or a thank-you.&lt;/p&gt;</t>
        </is>
      </c>
      <c r="P237" s="29" t="inlineStr">
        <is>
          <t>ok</t>
        </is>
      </c>
      <c r="Q237" s="30" t="inlineStr">
        <is>
          <t>Sweetheart Collection IV brings together 4 red roses, 3 red carnations and 3 white spray chrysanthemums, arranged in a red vase, plus a greeting card, a box of small chocolates and a teddy bear. It suits an anniversary or a thank-you.
Red tones say love and devotion. We hand-arrange each one at Aussie Blooms so it looks the way you pictured it, ready for the bedside table.</t>
        </is>
      </c>
      <c r="R237" s="30" t="inlineStr">
        <is>
          <t>&lt;p&gt;Sweetheart Collection IV brings together 4 red roses, 3 red carnations and 3 white spray chrysanthemums, arranged in a red vase, plus a greeting card, a box of small chocolates and a teddy bear. It suits an anniversary or a thank-you.&lt;/p&gt;&lt;p&gt;Red tones say love and devotion. We hand-arrange each one at Aussie Blooms so it looks the way you pictured it, ready for the bedside table.&lt;/p&gt;</t>
        </is>
      </c>
      <c r="S237" s="29" t="inlineStr">
        <is>
          <t>ok</t>
        </is>
      </c>
      <c r="T237" s="30" t="inlineStr">
        <is>
          <t>Inside the bunch: 4 red roses, 3 red carnations and 3 white spray chrysanthemums in a red vase, plus a greeting card, a box of small chocolates and a teddy bear. Say it with flowers, and let the flowers do the talking.</t>
        </is>
      </c>
      <c r="U237" s="30" t="inlineStr">
        <is>
          <t>&lt;p&gt;Inside the bunch: 4 red roses, 3 red carnations and 3 white spray chrysanthemums in a red vase, plus a greeting card, a box of small chocolates and a teddy bear. Say it with flowers, and let the flowers do the talking.&lt;/p&gt;</t>
        </is>
      </c>
      <c r="V237" s="29" t="inlineStr">
        <is>
          <t>ok</t>
        </is>
      </c>
      <c r="W237" s="30" t="n"/>
      <c r="X237" s="30" t="inlineStr">
        <is>
          <t>n/a (Mel's: mason jar products only)</t>
        </is>
      </c>
      <c r="Y237" s="30" t="n"/>
      <c r="Z237" s="48" t="inlineStr">
        <is>
          <t>-</t>
        </is>
      </c>
      <c r="AA237" t="n">
        <v>208</v>
      </c>
      <c r="AB237" s="44" t="n">
        <v>2348.95</v>
      </c>
      <c r="AC237" t="n">
        <v>23</v>
      </c>
      <c r="AD237" s="45" t="n">
        <v>0.0002691355578102585</v>
      </c>
      <c r="AE237" s="45" t="n">
        <v>0.0006704155756526885</v>
      </c>
      <c r="AF237" t="n">
        <v>113</v>
      </c>
    </row>
    <row r="238" ht="109.5" customHeight="1" s="24">
      <c r="A238" s="30" t="inlineStr">
        <is>
          <t>AU11-12</t>
        </is>
      </c>
      <c r="B238" s="30" t="inlineStr">
        <is>
          <t>75 Blooms of Spray Roses</t>
        </is>
      </c>
      <c r="C238" s="30" t="inlineStr">
        <is>
          <t>Bouquets</t>
        </is>
      </c>
      <c r="D238" s="43" t="inlineStr">
        <is>
          <t>READY TO REVIEW</t>
        </is>
      </c>
      <c r="E238" s="30" t="n"/>
      <c r="F238" s="30" t="inlineStr">
        <is>
          <t>none</t>
        </is>
      </c>
      <c r="G238" s="30" t="inlineStr">
        <is>
          <t>17 × Roses Spray Assorted; 3 × Ruscus Israeli</t>
        </is>
      </c>
      <c r="H238" s="30" t="inlineStr">
        <is>
          <t>17 × roses spray assorted; 3 × Ruscus Israeli</t>
        </is>
      </c>
      <c r="I238" s="31" t="inlineStr">
        <is>
          <t>17 × roses spray assorted; 3 × Ruscus Israeli</t>
        </is>
      </c>
      <c r="J238" s="30" t="inlineStr">
        <is>
          <t>17 × roses spray assorted; 3 × Ruscus Israeli</t>
        </is>
      </c>
      <c r="K238" s="30" t="inlineStr">
        <is>
          <t>N</t>
        </is>
      </c>
      <c r="L238" s="30" t="n"/>
      <c r="M238" s="30" t="inlineStr">
        <is>
          <t>A fresh arrangement of 17 assorted-colour spray roses. Chosen for a birthday, a thank-you or a just-because moment, it is a gift that says you care.</t>
        </is>
      </c>
      <c r="N238" s="30">
        <f>LEN(TRIM(SUBSTITUTE(M238,CHAR(10)," ")))-LEN(SUBSTITUTE(TRIM(SUBSTITUTE(M238,CHAR(10)," "))," ",""))+1</f>
        <v/>
      </c>
      <c r="O238" s="30" t="inlineStr">
        <is>
          <t>&lt;p&gt;A fresh arrangement of 17 assorted-colour spray roses. Chosen for a birthday, a thank-you or a just-because moment, it is a gift that says you care.&lt;/p&gt;</t>
        </is>
      </c>
      <c r="P238" s="29" t="inlineStr">
        <is>
          <t>ok</t>
        </is>
      </c>
      <c r="Q238" s="30" t="inlineStr">
        <is>
          <t>75 Blooms of Spray Roses brings together 17 assorted-colour spray roses. It suits a birthday, a thank-you or a just-because moment.
Mixed colours say thoughtfulness. We hand-arrange each one at Aussie Blooms so it looks the way you pictured it, ready for the kitchen bench.</t>
        </is>
      </c>
      <c r="R238" s="30" t="inlineStr">
        <is>
          <t>&lt;p&gt;75 Blooms of Spray Roses brings together 17 assorted-colour spray roses. It suits a birthday, a thank-you or a just-because moment.&lt;/p&gt;&lt;p&gt;Mixed colours say thoughtfulness. We hand-arrange each one at Aussie Blooms so it looks the way you pictured it, ready for the kitchen bench.&lt;/p&gt;</t>
        </is>
      </c>
      <c r="S238" s="29" t="inlineStr">
        <is>
          <t>ok</t>
        </is>
      </c>
      <c r="T238" s="30" t="inlineStr">
        <is>
          <t>The bunch holds: 17 assorted-colour spray roses. A simple good turn for a birthday, a thank-you or no reason at all.</t>
        </is>
      </c>
      <c r="U238" s="30" t="inlineStr">
        <is>
          <t>&lt;p&gt;The bunch holds: 17 assorted-colour spray roses. A simple good turn for a birthday, a thank-you or no reason at all.&lt;/p&gt;</t>
        </is>
      </c>
      <c r="V238" s="29" t="inlineStr">
        <is>
          <t>ok</t>
        </is>
      </c>
      <c r="W238" s="30" t="n"/>
      <c r="X238" s="30" t="inlineStr">
        <is>
          <t>n/a (Mel's: mason jar products only)</t>
        </is>
      </c>
      <c r="Y238" s="30" t="n"/>
      <c r="Z238" s="48" t="inlineStr">
        <is>
          <t>-</t>
        </is>
      </c>
      <c r="AA238" t="inlineStr">
        <is>
          <t>no sales</t>
        </is>
      </c>
      <c r="AB238" s="44" t="n">
        <v>0</v>
      </c>
      <c r="AC238" t="n">
        <v>0</v>
      </c>
      <c r="AD238" s="45" t="n">
        <v>0</v>
      </c>
      <c r="AE238" s="45" t="n">
        <v>0</v>
      </c>
      <c r="AF238" t="inlineStr">
        <is>
          <t>no sales</t>
        </is>
      </c>
    </row>
    <row r="239" ht="109.5" customHeight="1" s="24">
      <c r="A239" s="30" t="inlineStr">
        <is>
          <t>AU11-16</t>
        </is>
      </c>
      <c r="B239" s="30" t="inlineStr">
        <is>
          <t>100 Blooms of Spray Roses</t>
        </is>
      </c>
      <c r="C239" s="30" t="inlineStr">
        <is>
          <t>Bouquets</t>
        </is>
      </c>
      <c r="D239" s="43" t="inlineStr">
        <is>
          <t>READY TO REVIEW</t>
        </is>
      </c>
      <c r="E239" s="30" t="n"/>
      <c r="F239" s="30" t="inlineStr">
        <is>
          <t>none</t>
        </is>
      </c>
      <c r="G239" s="30" t="inlineStr">
        <is>
          <t>23 × Roses Spray Assorted; 3 × Ruscus Israeli</t>
        </is>
      </c>
      <c r="H239" s="30" t="inlineStr">
        <is>
          <t>23 × roses spray assorted; 3 × Ruscus Israeli</t>
        </is>
      </c>
      <c r="I239" s="31" t="inlineStr">
        <is>
          <t>23 × roses spray assorted; 3 × Ruscus Israeli</t>
        </is>
      </c>
      <c r="J239" s="30" t="inlineStr">
        <is>
          <t>23 × roses spray assorted; 3 × Ruscus Israeli</t>
        </is>
      </c>
      <c r="K239" s="30" t="inlineStr">
        <is>
          <t>N</t>
        </is>
      </c>
      <c r="L239" s="30" t="n"/>
      <c r="M239" s="30" t="inlineStr">
        <is>
          <t>A florist-designed bouquet of 23 assorted-colour spray roses. Chosen for a birthday, a thank-you or a just-because moment, it says you were thinking of them.</t>
        </is>
      </c>
      <c r="N239" s="30">
        <f>LEN(TRIM(SUBSTITUTE(M239,CHAR(10)," ")))-LEN(SUBSTITUTE(TRIM(SUBSTITUTE(M239,CHAR(10)," "))," ",""))+1</f>
        <v/>
      </c>
      <c r="O239" s="30" t="inlineStr">
        <is>
          <t>&lt;p&gt;A florist-designed bouquet of 23 assorted-colour spray roses. Chosen for a birthday, a thank-you or a just-because moment, it says you were thinking of them.&lt;/p&gt;</t>
        </is>
      </c>
      <c r="P239" s="29" t="inlineStr">
        <is>
          <t>ok</t>
        </is>
      </c>
      <c r="Q239" s="30" t="inlineStr">
        <is>
          <t>100 Blooms of Spray Roses brings together 23 assorted-colour spray roses. It suits a birthday, a thank-you or a just-because moment.
Mixed colours say thoughtfulness. We hand-arrange each one at Aussie Blooms so it looks the way you pictured it, ready for the kitchen bench.</t>
        </is>
      </c>
      <c r="R239" s="30" t="inlineStr">
        <is>
          <t>&lt;p&gt;100 Blooms of Spray Roses brings together 23 assorted-colour spray roses. It suits a birthday, a thank-you or a just-because moment.&lt;/p&gt;&lt;p&gt;Mixed colours say thoughtfulness. We hand-arrange each one at Aussie Blooms so it looks the way you pictured it, ready for the kitchen bench.&lt;/p&gt;</t>
        </is>
      </c>
      <c r="S239" s="29" t="inlineStr">
        <is>
          <t>ok</t>
        </is>
      </c>
      <c r="T239" s="30" t="inlineStr">
        <is>
          <t>Inside the bunch: 23 assorted-colour spray roses. Made for the moment someone opens the door and smiles.</t>
        </is>
      </c>
      <c r="U239" s="30" t="inlineStr">
        <is>
          <t>&lt;p&gt;Inside the bunch: 23 assorted-colour spray roses. Made for the moment someone opens the door and smiles.&lt;/p&gt;</t>
        </is>
      </c>
      <c r="V239" s="29" t="inlineStr">
        <is>
          <t>ok</t>
        </is>
      </c>
      <c r="W239" s="30" t="n"/>
      <c r="X239" s="30" t="inlineStr">
        <is>
          <t>n/a (Mel's: mason jar products only)</t>
        </is>
      </c>
      <c r="Y239" s="30" t="n"/>
      <c r="Z239" s="48" t="inlineStr">
        <is>
          <t>-</t>
        </is>
      </c>
      <c r="AA239" t="inlineStr">
        <is>
          <t>no sales</t>
        </is>
      </c>
      <c r="AB239" s="44" t="n">
        <v>0</v>
      </c>
      <c r="AC239" t="n">
        <v>0</v>
      </c>
      <c r="AD239" s="45" t="n">
        <v>0</v>
      </c>
      <c r="AE239" s="45" t="n">
        <v>0</v>
      </c>
      <c r="AF239" t="inlineStr">
        <is>
          <t>no sales</t>
        </is>
      </c>
    </row>
    <row r="240" ht="109.5" customHeight="1" s="24">
      <c r="A240" s="30" t="inlineStr">
        <is>
          <t>AU11-18</t>
        </is>
      </c>
      <c r="B240" s="30" t="inlineStr">
        <is>
          <t>150 Blooms of Spray Roses</t>
        </is>
      </c>
      <c r="C240" s="30" t="inlineStr">
        <is>
          <t>Bouquets</t>
        </is>
      </c>
      <c r="D240" s="43" t="inlineStr">
        <is>
          <t>READY TO REVIEW</t>
        </is>
      </c>
      <c r="E240" s="30" t="n"/>
      <c r="F240" s="30" t="inlineStr">
        <is>
          <t>none</t>
        </is>
      </c>
      <c r="G240" s="30" t="inlineStr">
        <is>
          <t>30 × Roses Spray Assorted; 4 × Ruscus Israeli</t>
        </is>
      </c>
      <c r="H240" s="30" t="inlineStr">
        <is>
          <t>30 × roses spray assorted; 4 × Ruscus Israeli</t>
        </is>
      </c>
      <c r="I240" s="31" t="inlineStr">
        <is>
          <t>30 × roses spray assorted; 4 × Ruscus Israeli</t>
        </is>
      </c>
      <c r="J240" s="30" t="inlineStr">
        <is>
          <t>30 × roses spray assorted; 4 × Ruscus Israeli</t>
        </is>
      </c>
      <c r="K240" s="30" t="inlineStr">
        <is>
          <t>N</t>
        </is>
      </c>
      <c r="L240" s="30" t="n"/>
      <c r="M240" s="30" t="inlineStr">
        <is>
          <t>A fresh arrangement of 30 assorted-colour spray roses. Chosen for a birthday, a thank-you or a just-because moment, it is a gift that says you care.</t>
        </is>
      </c>
      <c r="N240" s="30">
        <f>LEN(TRIM(SUBSTITUTE(M240,CHAR(10)," ")))-LEN(SUBSTITUTE(TRIM(SUBSTITUTE(M240,CHAR(10)," "))," ",""))+1</f>
        <v/>
      </c>
      <c r="O240" s="30" t="inlineStr">
        <is>
          <t>&lt;p&gt;A fresh arrangement of 30 assorted-colour spray roses. Chosen for a birthday, a thank-you or a just-because moment, it is a gift that says you care.&lt;/p&gt;</t>
        </is>
      </c>
      <c r="P240" s="29" t="inlineStr">
        <is>
          <t>ok</t>
        </is>
      </c>
      <c r="Q240" s="30" t="inlineStr">
        <is>
          <t>150 Blooms of Spray Roses brings together 30 assorted-colour spray roses. It suits a birthday, a thank-you or a just-because moment.
Mixed colours say thoughtfulness. We hand-arrange each one at Aussie Blooms so it looks the way you pictured it, ready for a summer table.</t>
        </is>
      </c>
      <c r="R240" s="30" t="inlineStr">
        <is>
          <t>&lt;p&gt;150 Blooms of Spray Roses brings together 30 assorted-colour spray roses. It suits a birthday, a thank-you or a just-because moment.&lt;/p&gt;&lt;p&gt;Mixed colours say thoughtfulness. We hand-arrange each one at Aussie Blooms so it looks the way you pictured it, ready for a summer table.&lt;/p&gt;</t>
        </is>
      </c>
      <c r="S240" s="29" t="inlineStr">
        <is>
          <t>ok</t>
        </is>
      </c>
      <c r="T240" s="30" t="inlineStr">
        <is>
          <t>The bunch holds: 30 assorted-colour spray roses. A simple good turn for a birthday, a thank-you or no reason at all.</t>
        </is>
      </c>
      <c r="U240" s="30" t="inlineStr">
        <is>
          <t>&lt;p&gt;The bunch holds: 30 assorted-colour spray roses. A simple good turn for a birthday, a thank-you or no reason at all.&lt;/p&gt;</t>
        </is>
      </c>
      <c r="V240" s="29" t="inlineStr">
        <is>
          <t>ok</t>
        </is>
      </c>
      <c r="W240" s="30" t="n"/>
      <c r="X240" s="30" t="inlineStr">
        <is>
          <t>n/a (Mel's: mason jar products only)</t>
        </is>
      </c>
      <c r="Y240" s="30" t="n"/>
      <c r="Z240" s="48" t="inlineStr">
        <is>
          <t>-</t>
        </is>
      </c>
      <c r="AA240" t="inlineStr">
        <is>
          <t>no sales</t>
        </is>
      </c>
      <c r="AB240" s="44" t="n">
        <v>0</v>
      </c>
      <c r="AC240" t="n">
        <v>0</v>
      </c>
      <c r="AD240" s="45" t="n">
        <v>0</v>
      </c>
      <c r="AE240" s="45" t="n">
        <v>0</v>
      </c>
      <c r="AF240" t="inlineStr">
        <is>
          <t>no sales</t>
        </is>
      </c>
    </row>
    <row r="241" ht="109.5" customHeight="1" s="24">
      <c r="A241" s="30" t="inlineStr">
        <is>
          <t>AU89-99</t>
        </is>
      </c>
      <c r="B241" s="30" t="inlineStr">
        <is>
          <t>Eighteen Long Stem Red Roses</t>
        </is>
      </c>
      <c r="C241" s="30" t="inlineStr">
        <is>
          <t>Bouquets</t>
        </is>
      </c>
      <c r="D241" s="43" t="inlineStr">
        <is>
          <t>READY TO REVIEW</t>
        </is>
      </c>
      <c r="E241" s="30" t="n"/>
      <c r="F241" s="30" t="inlineStr">
        <is>
          <t>none</t>
        </is>
      </c>
      <c r="G241" s="30" t="inlineStr">
        <is>
          <t>18 × Roses Red; 2 × Baby's Breath; 3 × Ruscus Israeli</t>
        </is>
      </c>
      <c r="H241" s="30" t="inlineStr">
        <is>
          <t>18 × Roses Red; 2 × Baby's Breath; 3 × Ruscus Israeli</t>
        </is>
      </c>
      <c r="I241" s="30" t="inlineStr">
        <is>
          <t>18 × Roses Red; 2 × Baby's Breath; 3 × Ruscus Israeli</t>
        </is>
      </c>
      <c r="J241" s="30" t="inlineStr">
        <is>
          <t>18 × Roses Red; 3 × Ruscus Israeli; 2 × Baby's Breath</t>
        </is>
      </c>
      <c r="K241" s="30" t="inlineStr">
        <is>
          <t>N</t>
        </is>
      </c>
      <c r="L241" s="30" t="n"/>
      <c r="M241" s="30" t="inlineStr">
        <is>
          <t>A florist-designed bouquet of 18 red roses. Chosen for an anniversary or a thank-you, it says you were thinking of them.</t>
        </is>
      </c>
      <c r="N241" s="30">
        <f>LEN(TRIM(SUBSTITUTE(M241,CHAR(10)," ")))-LEN(SUBSTITUTE(TRIM(SUBSTITUTE(M241,CHAR(10)," "))," ",""))+1</f>
        <v/>
      </c>
      <c r="O241" s="30" t="inlineStr">
        <is>
          <t>&lt;p&gt;A florist-designed bouquet of 18 red roses. Chosen for an anniversary or a thank-you, it says you were thinking of them.&lt;/p&gt;</t>
        </is>
      </c>
      <c r="P241" s="29" t="inlineStr">
        <is>
          <t>ok</t>
        </is>
      </c>
      <c r="Q241" s="30" t="inlineStr">
        <is>
          <t>Eighteen Long Stem Red Roses brings together 18 red roses. It suits an anniversary or a thank-you.
Red tones say love and devotion. We hand-arrange each one at Aussie Blooms so it looks the way you pictured it, ready for the kitchen bench.</t>
        </is>
      </c>
      <c r="R241" s="30" t="inlineStr">
        <is>
          <t>&lt;p&gt;Eighteen Long Stem Red Roses brings together 18 red roses. It suits an anniversary or a thank-you.&lt;/p&gt;&lt;p&gt;Red tones say love and devotion. We hand-arrange each one at Aussie Blooms so it looks the way you pictured it, ready for the kitchen bench.&lt;/p&gt;</t>
        </is>
      </c>
      <c r="S241" s="29" t="inlineStr">
        <is>
          <t>ok</t>
        </is>
      </c>
      <c r="T241" s="30" t="inlineStr">
        <is>
          <t>Inside the bunch: 18 red roses. Say it with flowers, and let the flowers do the talking.</t>
        </is>
      </c>
      <c r="U241" s="30" t="inlineStr">
        <is>
          <t>&lt;p&gt;Inside the bunch: 18 red roses. Say it with flowers, and let the flowers do the talking.&lt;/p&gt;</t>
        </is>
      </c>
      <c r="V241" s="29" t="inlineStr">
        <is>
          <t>ok</t>
        </is>
      </c>
      <c r="W241" s="30" t="n"/>
      <c r="X241" s="30" t="inlineStr">
        <is>
          <t>n/a (Mel's: mason jar products only)</t>
        </is>
      </c>
      <c r="Y241" s="30" t="n"/>
      <c r="Z241" s="48" t="inlineStr">
        <is>
          <t>-</t>
        </is>
      </c>
      <c r="AA241" t="inlineStr">
        <is>
          <t>no sales</t>
        </is>
      </c>
      <c r="AB241" s="44" t="n">
        <v>0</v>
      </c>
      <c r="AC241" t="n">
        <v>0</v>
      </c>
      <c r="AD241" s="45" t="n">
        <v>0</v>
      </c>
      <c r="AE241" s="45" t="n">
        <v>0</v>
      </c>
      <c r="AF241" t="inlineStr">
        <is>
          <t>no sales</t>
        </is>
      </c>
    </row>
    <row r="242" ht="109.5" customHeight="1" s="24">
      <c r="A242" s="30" t="inlineStr">
        <is>
          <t>SB-01</t>
        </is>
      </c>
      <c r="B242" s="30" t="inlineStr">
        <is>
          <t>Sweet Blossoms Collection I</t>
        </is>
      </c>
      <c r="C242" s="30" t="inlineStr">
        <is>
          <t>Bouquets</t>
        </is>
      </c>
      <c r="D242" s="43" t="inlineStr">
        <is>
          <t>READY TO REVIEW</t>
        </is>
      </c>
      <c r="E242" s="30" t="inlineStr">
        <is>
          <t>A cheerful gathering of fresh chrysanthemums, arranged to bring colour and warmth to any room. Our Sweet Blossoms Collection I is a lovely way to mark a birthday, an anniversary, or to send heartfelt congratulations.</t>
        </is>
      </c>
      <c r="F242" s="30" t="inlineStr">
        <is>
          <t>Shopify (28 Sep)</t>
        </is>
      </c>
      <c r="G242" s="30" t="inlineStr">
        <is>
          <t>4 × Chrysanthemum Daisies White; 4 × Chrysanthemum Daisies Lavender; 2 × Ruscus Israeli; 1 × Greeting Card</t>
        </is>
      </c>
      <c r="H242" s="30" t="inlineStr">
        <is>
          <t>4 × Chrysanthemum Daisies White; 4 × Chrysanthemum Daisies Lavender; 2 × Ruscus Israeli; 1 × Greeting Card</t>
        </is>
      </c>
      <c r="I242" s="30" t="inlineStr">
        <is>
          <t>4 × Chrysanthemum Daisies White; 4 × Chrysanthemum Daisies Lavender; 2 × Ruscus Israeli; 1 × Greeting Card</t>
        </is>
      </c>
      <c r="J242" s="30" t="inlineStr">
        <is>
          <t>2 × Ruscus Israeli; 1 × Greeting Card; 4 × Chrysanthemum Daisies Lavender; 4 × Chrysanthemum Daisies White</t>
        </is>
      </c>
      <c r="K242" s="30" t="inlineStr">
        <is>
          <t>Y</t>
        </is>
      </c>
      <c r="L242" s="30" t="n"/>
      <c r="M242" s="30" t="inlineStr">
        <is>
          <t>A florist-designed bouquet of 4 lavender chrysanthemum daisies and 4 white chrysanthemum daisies, plus a greeting card. Chosen for a birthday, a thank-you or a just-because moment, it is a gift that says you care.</t>
        </is>
      </c>
      <c r="N242" s="30">
        <f>LEN(TRIM(SUBSTITUTE(M242,CHAR(10)," ")))-LEN(SUBSTITUTE(TRIM(SUBSTITUTE(M242,CHAR(10)," "))," ",""))+1</f>
        <v/>
      </c>
      <c r="O242" s="30" t="inlineStr">
        <is>
          <t>&lt;p&gt;A florist-designed bouquet of 4 lavender chrysanthemum daisies and 4 white chrysanthemum daisies, plus a greeting card. Chosen for a birthday, a thank-you or a just-because moment, it is a gift that says you care.&lt;/p&gt;</t>
        </is>
      </c>
      <c r="P242" s="29" t="inlineStr">
        <is>
          <t>ok</t>
        </is>
      </c>
      <c r="Q242" s="30" t="inlineStr">
        <is>
          <t>Sweet Blossoms Collection I brings together 4 lavender chrysanthemum daisies and 4 white chrysanthemum daisies, plus a greeting card. It suits a birthday, a thank-you or a just-because moment.
Lavender tones say thoughtfulness. We hand-arrange each one at Aussie Blooms so it looks the way you pictured it, ready for the bedside table.</t>
        </is>
      </c>
      <c r="R242" s="30" t="inlineStr">
        <is>
          <t>&lt;p&gt;Sweet Blossoms Collection I brings together 4 lavender chrysanthemum daisies and 4 white chrysanthemum daisies, plus a greeting card. It suits a birthday, a thank-you or a just-because moment.&lt;/p&gt;&lt;p&gt;Lavender tones say thoughtfulness. We hand-arrange each one at Aussie Blooms so it looks the way you pictured it, ready for the bedside table.&lt;/p&gt;</t>
        </is>
      </c>
      <c r="S242" s="29" t="inlineStr">
        <is>
          <t>ok</t>
        </is>
      </c>
      <c r="T242" s="30" t="inlineStr">
        <is>
          <t>Inside the bunch: 4 lavender chrysanthemum daisies and 4 white chrysanthemum daisies, plus a greeting card. Calm colour for the kind of day that deserves a pause.</t>
        </is>
      </c>
      <c r="U242" s="30" t="inlineStr">
        <is>
          <t>&lt;p&gt;Inside the bunch: 4 lavender chrysanthemum daisies and 4 white chrysanthemum daisies, plus a greeting card. Calm colour for the kind of day that deserves a pause.&lt;/p&gt;</t>
        </is>
      </c>
      <c r="V242" s="29" t="inlineStr">
        <is>
          <t>ok</t>
        </is>
      </c>
      <c r="W242" s="30" t="n"/>
      <c r="X242" s="30" t="inlineStr">
        <is>
          <t>n/a (Mel's: mason jar products only)</t>
        </is>
      </c>
      <c r="Y242" s="30" t="n"/>
      <c r="Z242" s="48" t="inlineStr">
        <is>
          <t>-</t>
        </is>
      </c>
      <c r="AA242" t="n">
        <v>87</v>
      </c>
      <c r="AB242" s="44" t="n">
        <v>18546.66</v>
      </c>
      <c r="AC242" t="n">
        <v>238</v>
      </c>
      <c r="AD242" s="45" t="n">
        <v>0.002125019981105264</v>
      </c>
      <c r="AE242" s="45" t="n">
        <v>0.005293416096696266</v>
      </c>
      <c r="AF242" t="n">
        <v>36</v>
      </c>
    </row>
    <row r="243" ht="109.5" customHeight="1" s="24">
      <c r="A243" s="30" t="inlineStr">
        <is>
          <t>SB-02</t>
        </is>
      </c>
      <c r="B243" s="30" t="inlineStr">
        <is>
          <t>Sweet Blossoms Collection II</t>
        </is>
      </c>
      <c r="C243" s="30" t="inlineStr">
        <is>
          <t>Bouquets</t>
        </is>
      </c>
      <c r="D243" s="43" t="inlineStr">
        <is>
          <t>READY TO REVIEW</t>
        </is>
      </c>
      <c r="E243" s="30" t="inlineStr">
        <is>
          <t>Bright, abundant chrysanthemums come together in our Sweet Blossoms Collection II for a display that's full of life and joy. A delightful choice for birthdays, anniversaries, or celebrating someone's well-earned good news.</t>
        </is>
      </c>
      <c r="F243" s="30" t="inlineStr">
        <is>
          <t>Shopify (28 Sep)</t>
        </is>
      </c>
      <c r="G243" s="30" t="inlineStr">
        <is>
          <t>5 × Chrysanthemum Daisies White; 4 × Chrysanthemum Daisies Lavender; 2 × Ruscus Israeli; 1 × Greeting Card</t>
        </is>
      </c>
      <c r="H243" s="30" t="inlineStr">
        <is>
          <t>5 × Chrysanthemum Daisies White; 4 × Chrysanthemum Daisies Lavender; 2 × Ruscus Israeli; 1 × Greeting Card</t>
        </is>
      </c>
      <c r="I243" s="30" t="inlineStr">
        <is>
          <t>5 × Chrysanthemum Daisies White; 4 × Chrysanthemum Daisies Lavender; 2 × Ruscus Israeli; 1 × Greeting Card</t>
        </is>
      </c>
      <c r="J243" s="30" t="inlineStr">
        <is>
          <t>2 × Ruscus Israeli; 1 × Greeting Card; 4 × Chrysanthemum Daisies Lavender; 5 × Chrysanthemum Daisies White</t>
        </is>
      </c>
      <c r="K243" s="30" t="inlineStr">
        <is>
          <t>Y</t>
        </is>
      </c>
      <c r="L243" s="30" t="n"/>
      <c r="M243" s="30" t="inlineStr">
        <is>
          <t>A hand-arranged bouquet of 5 white chrysanthemum daisies and 4 lavender chrysanthemum daisies, plus a greeting card. Chosen for a birthday, a thank-you or a just-because moment, it is a gift that says you care.</t>
        </is>
      </c>
      <c r="N243" s="30">
        <f>LEN(TRIM(SUBSTITUTE(M243,CHAR(10)," ")))-LEN(SUBSTITUTE(TRIM(SUBSTITUTE(M243,CHAR(10)," "))," ",""))+1</f>
        <v/>
      </c>
      <c r="O243" s="30" t="inlineStr">
        <is>
          <t>&lt;p&gt;A hand-arranged bouquet of 5 white chrysanthemum daisies and 4 lavender chrysanthemum daisies, plus a greeting card. Chosen for a birthday, a thank-you or a just-because moment, it is a gift that says you care.&lt;/p&gt;</t>
        </is>
      </c>
      <c r="P243" s="29" t="inlineStr">
        <is>
          <t>ok</t>
        </is>
      </c>
      <c r="Q243" s="30" t="inlineStr">
        <is>
          <t>Sweet Blossoms Collection II brings together 5 white chrysanthemum daisies and 4 lavender chrysanthemum daisies, plus a greeting card. It suits a birthday, a thank-you or a just-because moment.
White tones say calm and a fresh start. We hand-arrange each one at Aussie Blooms so it looks the way you pictured it, ready for the bedside table.</t>
        </is>
      </c>
      <c r="R243" s="30" t="inlineStr">
        <is>
          <t>&lt;p&gt;Sweet Blossoms Collection II brings together 5 white chrysanthemum daisies and 4 lavender chrysanthemum daisies, plus a greeting card. It suits a birthday, a thank-you or a just-because moment.&lt;/p&gt;&lt;p&gt;White tones say calm and a fresh start. We hand-arrange each one at Aussie Blooms so it looks the way you pictured it, ready for the bedside table.&lt;/p&gt;</t>
        </is>
      </c>
      <c r="S243" s="29" t="inlineStr">
        <is>
          <t>ok</t>
        </is>
      </c>
      <c r="T243" s="30" t="inlineStr">
        <is>
          <t>In this bunch: 5 white chrysanthemum daisies and 4 lavender chrysanthemum daisies, plus a greeting card. Soft colours that make a quiet room feel looked after.</t>
        </is>
      </c>
      <c r="U243" s="30" t="inlineStr">
        <is>
          <t>&lt;p&gt;In this bunch: 5 white chrysanthemum daisies and 4 lavender chrysanthemum daisies, plus a greeting card. Soft colours that make a quiet room feel looked after.&lt;/p&gt;</t>
        </is>
      </c>
      <c r="V243" s="29" t="inlineStr">
        <is>
          <t>ok</t>
        </is>
      </c>
      <c r="W243" s="30" t="n"/>
      <c r="X243" s="30" t="inlineStr">
        <is>
          <t>n/a (Mel's: mason jar products only)</t>
        </is>
      </c>
      <c r="Y243" s="30" t="n"/>
      <c r="Z243" s="48" t="inlineStr">
        <is>
          <t>-</t>
        </is>
      </c>
      <c r="AA243" t="n">
        <v>153</v>
      </c>
      <c r="AB243" s="44" t="n">
        <v>6014.85</v>
      </c>
      <c r="AC243" t="n">
        <v>71</v>
      </c>
      <c r="AD243" s="45" t="n">
        <v>0.00068916324736373</v>
      </c>
      <c r="AE243" s="45" t="n">
        <v>0.001716702835400742</v>
      </c>
      <c r="AF243" t="n">
        <v>74</v>
      </c>
    </row>
    <row r="244" ht="109.5" customHeight="1" s="24">
      <c r="A244" s="30" t="inlineStr">
        <is>
          <t>SB-03</t>
        </is>
      </c>
      <c r="B244" s="30" t="inlineStr">
        <is>
          <t>Sweet Blossoms Collection III</t>
        </is>
      </c>
      <c r="C244" s="30" t="inlineStr">
        <is>
          <t>Bouquets</t>
        </is>
      </c>
      <c r="D244" s="43" t="inlineStr">
        <is>
          <t>READY TO REVIEW</t>
        </is>
      </c>
      <c r="E244" s="30" t="inlineStr">
        <is>
          <t>A radiant bunch of chrysanthemums makes up our Sweet Blossoms Collection III, blooming with cheer from every angle. Perfect for celebrating a birthday, an anniversary, or sharing in someone's happy milestone.</t>
        </is>
      </c>
      <c r="F244" s="30" t="inlineStr">
        <is>
          <t>Shopify (28 Sep)</t>
        </is>
      </c>
      <c r="G244" s="30" t="inlineStr">
        <is>
          <t>6 × Chrysanthemum Daisies White; 4 × Chrysanthemum Daisies Lavender; 2 × Ruscus Israeli; 1 × Greeting Card</t>
        </is>
      </c>
      <c r="H244" s="30" t="inlineStr">
        <is>
          <t>6 × Chrysanthemum Daisies White; 4 × Chrysanthemum Daisies Lavender; 2 × Ruscus Israeli; 1 × Greeting Card</t>
        </is>
      </c>
      <c r="I244" s="30" t="inlineStr">
        <is>
          <t>6 × Chrysanthemum Daisies White; 4 × Chrysanthemum Daisies Lavender; 2 × Ruscus Israeli; 1 × Greeting Card</t>
        </is>
      </c>
      <c r="J244" s="30" t="inlineStr">
        <is>
          <t>2 × Ruscus Israeli; 1 × Greeting Card; 4 × Chrysanthemum Daisies Lavender; 6 × Chrysanthemum Daisies White</t>
        </is>
      </c>
      <c r="K244" s="30" t="inlineStr">
        <is>
          <t>Y</t>
        </is>
      </c>
      <c r="L244" s="30" t="n"/>
      <c r="M244" s="30" t="inlineStr">
        <is>
          <t>A hand-arranged bouquet of 6 white chrysanthemum daisies and 4 lavender chrysanthemum daisies, plus a greeting card. Chosen for a birthday, a thank-you or a just-because moment, it is a gift that says you care.</t>
        </is>
      </c>
      <c r="N244" s="30">
        <f>LEN(TRIM(SUBSTITUTE(M244,CHAR(10)," ")))-LEN(SUBSTITUTE(TRIM(SUBSTITUTE(M244,CHAR(10)," "))," ",""))+1</f>
        <v/>
      </c>
      <c r="O244" s="30" t="inlineStr">
        <is>
          <t>&lt;p&gt;A hand-arranged bouquet of 6 white chrysanthemum daisies and 4 lavender chrysanthemum daisies, plus a greeting card. Chosen for a birthday, a thank-you or a just-because moment, it is a gift that says you care.&lt;/p&gt;</t>
        </is>
      </c>
      <c r="P244" s="29" t="inlineStr">
        <is>
          <t>ok</t>
        </is>
      </c>
      <c r="Q244" s="30" t="inlineStr">
        <is>
          <t>Sweet Blossoms Collection III brings together 6 white chrysanthemum daisies and 4 lavender chrysanthemum daisies, plus a greeting card. It suits a birthday, a thank-you or a just-because moment.
White tones say calm and a fresh start. We hand-arrange each one at Aussie Blooms so it looks the way you pictured it, ready for the bedside table.</t>
        </is>
      </c>
      <c r="R244" s="30" t="inlineStr">
        <is>
          <t>&lt;p&gt;Sweet Blossoms Collection III brings together 6 white chrysanthemum daisies and 4 lavender chrysanthemum daisies, plus a greeting card. It suits a birthday, a thank-you or a just-because moment.&lt;/p&gt;&lt;p&gt;White tones say calm and a fresh start. We hand-arrange each one at Aussie Blooms so it looks the way you pictured it, ready for the bedside table.&lt;/p&gt;</t>
        </is>
      </c>
      <c r="S244" s="29" t="inlineStr">
        <is>
          <t>ok</t>
        </is>
      </c>
      <c r="T244" s="30" t="inlineStr">
        <is>
          <t>In this bunch: 6 white chrysanthemum daisies and 4 lavender chrysanthemum daisies, plus a greeting card. Soft colours that make a quiet room feel looked after.</t>
        </is>
      </c>
      <c r="U244" s="30" t="inlineStr">
        <is>
          <t>&lt;p&gt;In this bunch: 6 white chrysanthemum daisies and 4 lavender chrysanthemum daisies, plus a greeting card. Soft colours that make a quiet room feel looked after.&lt;/p&gt;</t>
        </is>
      </c>
      <c r="V244" s="29" t="inlineStr">
        <is>
          <t>ok</t>
        </is>
      </c>
      <c r="W244" s="30" t="n"/>
      <c r="X244" s="30" t="inlineStr">
        <is>
          <t>n/a (Mel's: mason jar products only)</t>
        </is>
      </c>
      <c r="Y244" s="30" t="n"/>
      <c r="Z244" s="48" t="inlineStr">
        <is>
          <t>-</t>
        </is>
      </c>
      <c r="AA244" t="n">
        <v>77</v>
      </c>
      <c r="AB244" s="44" t="n">
        <v>24154.75</v>
      </c>
      <c r="AC244" t="n">
        <v>298</v>
      </c>
      <c r="AD244" s="45" t="n">
        <v>0.002767577902900165</v>
      </c>
      <c r="AE244" s="45" t="n">
        <v>0.006894025256389783</v>
      </c>
      <c r="AF244" t="n">
        <v>31</v>
      </c>
    </row>
    <row r="245" ht="109.5" customHeight="1" s="24">
      <c r="A245" s="30" t="inlineStr">
        <is>
          <t>SB-04</t>
        </is>
      </c>
      <c r="B245" s="30" t="inlineStr">
        <is>
          <t>Sweet Blossoms Collection IV</t>
        </is>
      </c>
      <c r="C245" s="30" t="inlineStr">
        <is>
          <t>Bouquets</t>
        </is>
      </c>
      <c r="D245" s="43" t="inlineStr">
        <is>
          <t>READY TO REVIEW</t>
        </is>
      </c>
      <c r="E245" s="30" t="inlineStr">
        <is>
          <t>Lush chrysanthemums fill our Sweet Blossoms Collection IV with texture, colour and natural charm. A versatile, uplifting gift that suits anniversaries, birthdays and congratulations alike.</t>
        </is>
      </c>
      <c r="F245" s="30" t="inlineStr">
        <is>
          <t>Shopify (28 Sep)</t>
        </is>
      </c>
      <c r="G245" s="30" t="inlineStr">
        <is>
          <t>7 × Chrysanthemum Daisies White; 4 × Chrysanthemum Daisies Lavender; 2 × Ruscus Israeli; 1 × Greeting Card; 1 × Small Chocolates</t>
        </is>
      </c>
      <c r="H245" s="30" t="inlineStr">
        <is>
          <t>7 × Chrysanthemum Daisies White; 4 × Chrysanthemum Daisies Lavender; 2 × Ruscus Israeli; 1 × Greeting Card; 1 × Small Chocolates</t>
        </is>
      </c>
      <c r="I245" s="30" t="inlineStr">
        <is>
          <t>7 × Chrysanthemum Daisies White; 4 × Chrysanthemum Daisies Lavender; 2 × Ruscus Israeli; 1 × Greeting Card; 1 × Small Chocolates</t>
        </is>
      </c>
      <c r="J245" s="30" t="inlineStr">
        <is>
          <t>2 × Ruscus Israeli; 1 × Small Chocolates; 1 × Greeting Card; 4 × Chrysanthemum Daisies Lavender; 7 × Chrysanthemum Daisies White</t>
        </is>
      </c>
      <c r="K245" s="30" t="inlineStr">
        <is>
          <t>Y</t>
        </is>
      </c>
      <c r="L245" s="30" t="n"/>
      <c r="M245" s="30" t="inlineStr">
        <is>
          <t>A fresh arrangement of 7 white chrysanthemum daisies and 4 lavender chrysanthemum daisies, plus a greeting card and a box of small chocolates. A thoughtful choice for a birthday, a thank-you or a just-because moment.</t>
        </is>
      </c>
      <c r="N245" s="30">
        <f>LEN(TRIM(SUBSTITUTE(M245,CHAR(10)," ")))-LEN(SUBSTITUTE(TRIM(SUBSTITUTE(M245,CHAR(10)," "))," ",""))+1</f>
        <v/>
      </c>
      <c r="O245" s="30" t="inlineStr">
        <is>
          <t>&lt;p&gt;A fresh arrangement of 7 white chrysanthemum daisies and 4 lavender chrysanthemum daisies, plus a greeting card and a box of small chocolates. A thoughtful choice for a birthday, a thank-you or a just-because moment.&lt;/p&gt;</t>
        </is>
      </c>
      <c r="P245" s="29" t="inlineStr">
        <is>
          <t>ok</t>
        </is>
      </c>
      <c r="Q245" s="30" t="inlineStr">
        <is>
          <t>Sweet Blossoms Collection IV brings together 7 white chrysanthemum daisies and 4 lavender chrysanthemum daisies, plus a greeting card and a box of small chocolates. It suits a birthday, a thank-you or a just-because moment.
White tones say calm and a fresh start. We hand-arrange each one at Aussie Blooms so it looks the way you pictured it, ready for the bedside table.</t>
        </is>
      </c>
      <c r="R245" s="30" t="inlineStr">
        <is>
          <t>&lt;p&gt;Sweet Blossoms Collection IV brings together 7 white chrysanthemum daisies and 4 lavender chrysanthemum daisies, plus a greeting card and a box of small chocolates. It suits a birthday, a thank-you or a just-because moment.&lt;/p&gt;&lt;p&gt;White tones say calm and a fresh start. We hand-arrange each one at Aussie Blooms so it looks the way you pictured it, ready for the bedside table.&lt;/p&gt;</t>
        </is>
      </c>
      <c r="S245" s="29" t="inlineStr">
        <is>
          <t>ok</t>
        </is>
      </c>
      <c r="T245" s="30" t="inlineStr">
        <is>
          <t>The bunch holds: 7 white chrysanthemum daisies and 4 lavender chrysanthemum daisies, plus a greeting card and a box of small chocolates. Gentle, easy on the eye, and ready for any table you give it.</t>
        </is>
      </c>
      <c r="U245" s="30" t="inlineStr">
        <is>
          <t>&lt;p&gt;The bunch holds: 7 white chrysanthemum daisies and 4 lavender chrysanthemum daisies, plus a greeting card and a box of small chocolates. Gentle, easy on the eye, and ready for any table you give it.&lt;/p&gt;</t>
        </is>
      </c>
      <c r="V245" s="29" t="inlineStr">
        <is>
          <t>ok</t>
        </is>
      </c>
      <c r="W245" s="30" t="n"/>
      <c r="X245" s="30" t="inlineStr">
        <is>
          <t>n/a (Mel's: mason jar products only)</t>
        </is>
      </c>
      <c r="Y245" s="30" t="n"/>
      <c r="Z245" s="48" t="inlineStr">
        <is>
          <t>-</t>
        </is>
      </c>
      <c r="AA245" t="n">
        <v>72</v>
      </c>
      <c r="AB245" s="44" t="n">
        <v>29184.98</v>
      </c>
      <c r="AC245" t="n">
        <v>281</v>
      </c>
      <c r="AD245" s="45" t="n">
        <v>0.003343926380715315</v>
      </c>
      <c r="AE245" s="45" t="n">
        <v>0.008329706961456056</v>
      </c>
      <c r="AF245" t="n">
        <v>29</v>
      </c>
    </row>
    <row r="246" ht="109.5" customHeight="1" s="24">
      <c r="A246" s="30" t="inlineStr">
        <is>
          <t>AC20-01</t>
        </is>
      </c>
      <c r="B246" s="30" t="inlineStr">
        <is>
          <t>20 Blooms of Chysanthemum</t>
        </is>
      </c>
      <c r="C246" s="30" t="inlineStr">
        <is>
          <t>Bouquets</t>
        </is>
      </c>
      <c r="D246" s="43" t="inlineStr">
        <is>
          <t>READY TO REVIEW</t>
        </is>
      </c>
      <c r="E246" s="30" t="n"/>
      <c r="F246" s="30" t="inlineStr">
        <is>
          <t>none</t>
        </is>
      </c>
      <c r="G246" s="30" t="inlineStr">
        <is>
          <t>6 × Chrysanthemum Daisies White; 6 × Chrysanthemum Daisies Burgundy; 3 × Ruscus Israeli; 1 × Greeting Card</t>
        </is>
      </c>
      <c r="H246" s="30" t="inlineStr">
        <is>
          <t>6 × Chrysanthemum Daisies White; 6 × Chrysanthemum Daisies Burgundy; 3 × Ruscus Israeli; 1 × Greeting Card</t>
        </is>
      </c>
      <c r="I246" s="30" t="inlineStr">
        <is>
          <t>6 × Chrysanthemum Daisies White; 6 × Chrysanthemum Daisies Burgundy; 3 × Ruscus Israeli; 1 × Greeting Card</t>
        </is>
      </c>
      <c r="J246" s="30" t="inlineStr">
        <is>
          <t>3 × Ruscus Israeli; 1 × Greeting Card; 6 × Chrysanthemum Daisies Burgundy; 6 × Chrysanthemum Daisies White</t>
        </is>
      </c>
      <c r="K246" s="30" t="inlineStr">
        <is>
          <t>N</t>
        </is>
      </c>
      <c r="L246" s="30" t="n"/>
      <c r="M246" s="30" t="inlineStr">
        <is>
          <t>A hand-arranged bouquet of 6 burgundy chrysanthemum daisies and 6 white chrysanthemum daisies, plus a greeting card. Chosen for Mother's Day or a thank-you, it says you were thinking of them.</t>
        </is>
      </c>
      <c r="N246" s="30">
        <f>LEN(TRIM(SUBSTITUTE(M246,CHAR(10)," ")))-LEN(SUBSTITUTE(TRIM(SUBSTITUTE(M246,CHAR(10)," "))," ",""))+1</f>
        <v/>
      </c>
      <c r="O246" s="30" t="inlineStr">
        <is>
          <t>&lt;p&gt;A hand-arranged bouquet of 6 burgundy chrysanthemum daisies and 6 white chrysanthemum daisies, plus a greeting card. Chosen for Mother's Day or a thank-you, it says you were thinking of them.&lt;/p&gt;</t>
        </is>
      </c>
      <c r="P246" s="29" t="inlineStr">
        <is>
          <t>ok</t>
        </is>
      </c>
      <c r="Q246" s="30" t="inlineStr">
        <is>
          <t>20 Blooms of Chysanthemum brings together 6 burgundy chrysanthemum daisies and 6 white chrysanthemum daisies, plus a greeting card. It suits Mother's Day or a thank-you.
Burgundy tones say thoughtfulness. We hand-arrange each one at Aussie Blooms so it looks the way you pictured it, ready for the kitchen bench.</t>
        </is>
      </c>
      <c r="R246" s="30" t="inlineStr">
        <is>
          <t>&lt;p&gt;20 Blooms of Chysanthemum brings together 6 burgundy chrysanthemum daisies and 6 white chrysanthemum daisies, plus a greeting card. It suits Mother's Day or a thank-you.&lt;/p&gt;&lt;p&gt;Burgundy tones say thoughtfulness. We hand-arrange each one at Aussie Blooms so it looks the way you pictured it, ready for the kitchen bench.&lt;/p&gt;</t>
        </is>
      </c>
      <c r="S246" s="29" t="inlineStr">
        <is>
          <t>ok</t>
        </is>
      </c>
      <c r="T246" s="30" t="inlineStr">
        <is>
          <t>In this bunch: 6 burgundy chrysanthemum daisies and 6 white chrysanthemum daisies, plus a greeting card. Soft colours that make a quiet room feel looked after.</t>
        </is>
      </c>
      <c r="U246" s="30" t="inlineStr">
        <is>
          <t>&lt;p&gt;In this bunch: 6 burgundy chrysanthemum daisies and 6 white chrysanthemum daisies, plus a greeting card. Soft colours that make a quiet room feel looked after.&lt;/p&gt;</t>
        </is>
      </c>
      <c r="V246" s="29" t="inlineStr">
        <is>
          <t>ok</t>
        </is>
      </c>
      <c r="W246" s="30" t="n"/>
      <c r="X246" s="30" t="inlineStr">
        <is>
          <t>n/a (Mel's: mason jar products only)</t>
        </is>
      </c>
      <c r="Y246" s="30" t="n"/>
      <c r="Z246" s="48" t="inlineStr">
        <is>
          <t>-</t>
        </is>
      </c>
      <c r="AA246" t="inlineStr">
        <is>
          <t>no sales</t>
        </is>
      </c>
      <c r="AB246" s="44" t="n">
        <v>0</v>
      </c>
      <c r="AC246" t="n">
        <v>0</v>
      </c>
      <c r="AD246" s="45" t="n">
        <v>0</v>
      </c>
      <c r="AE246" s="45" t="n">
        <v>0</v>
      </c>
      <c r="AF246" t="inlineStr">
        <is>
          <t>no sales</t>
        </is>
      </c>
    </row>
    <row r="247" ht="109.5" customHeight="1" s="24">
      <c r="A247" s="30" t="inlineStr">
        <is>
          <t>ABS-02</t>
        </is>
      </c>
      <c r="B247" s="30" t="inlineStr">
        <is>
          <t>Colours of Champions</t>
        </is>
      </c>
      <c r="C247" s="30" t="inlineStr">
        <is>
          <t>Bouquets</t>
        </is>
      </c>
      <c r="D247" s="43" t="inlineStr">
        <is>
          <t>READY TO REVIEW</t>
        </is>
      </c>
      <c r="E247" s="30" t="n"/>
      <c r="F247" s="30" t="inlineStr">
        <is>
          <t>none</t>
        </is>
      </c>
      <c r="G247" s="30" t="inlineStr">
        <is>
          <t>2 × Chrysanthemum Daisies Lavender; 1 × Chrysanthemum Daisies Yellow; 2 × Carnation Orange; 2 × Ruscus Israeli; 2 × Alstroemeria Red; 4 × Mini Carnations Red</t>
        </is>
      </c>
      <c r="H247" s="30" t="inlineStr">
        <is>
          <t>2 × Chrysanthemum Daisies Lavender; 1 × Chrysanthemum Daisies Yellow; 2 × Carnation Orange; 2 × Ruscus Israeli; 2 × Alstroemeria Red; 4 × Mini Carnations Red</t>
        </is>
      </c>
      <c r="I247" s="30" t="inlineStr">
        <is>
          <t>2 × Chrysanthemum Daisies Lavender; 1 × Chrysanthemum Daisies Yellow; 2 × Carnation Orange; 2 × Ruscus Israeli; 2 × Alstroemeria Red; 4 × Mini Carnations Red</t>
        </is>
      </c>
      <c r="J247" s="30" t="inlineStr">
        <is>
          <t>2 × Carnation Orange; 4 × Mini Carnations Red; 2 × Alstroemeria Red; 2 × Ruscus Israeli; 1 × Chrysanthemum Daisies Yellow; 2 × Chrysanthemum Daisies Lavender</t>
        </is>
      </c>
      <c r="K247" s="30" t="inlineStr">
        <is>
          <t>N</t>
        </is>
      </c>
      <c r="L247" s="30" t="n"/>
      <c r="M247" s="30" t="inlineStr">
        <is>
          <t>A fresh arrangement of 2 lavender chrysanthemum daisies, 2 orange carnations, 2 red alstroemeria and 1 yellow chrysanthemum daisy. A thoughtful choice for a birthday, a thank-you or a just-because moment.</t>
        </is>
      </c>
      <c r="N247" s="30">
        <f>LEN(TRIM(SUBSTITUTE(M247,CHAR(10)," ")))-LEN(SUBSTITUTE(TRIM(SUBSTITUTE(M247,CHAR(10)," "))," ",""))+1</f>
        <v/>
      </c>
      <c r="O247" s="30" t="inlineStr">
        <is>
          <t>&lt;p&gt;A fresh arrangement of 2 lavender chrysanthemum daisies, 2 orange carnations, 2 red alstroemeria and 1 yellow chrysanthemum daisy. A thoughtful choice for a birthday, a thank-you or a just-because moment.&lt;/p&gt;</t>
        </is>
      </c>
      <c r="P247" s="29" t="inlineStr">
        <is>
          <t>ok</t>
        </is>
      </c>
      <c r="Q247" s="30" t="inlineStr">
        <is>
          <t>Colours of Champions brings together 2 lavender chrysanthemum daisies, 2 orange carnations, 2 red alstroemeria and 1 yellow chrysanthemum daisy. It suits a birthday, a thank-you or a just-because moment.
Red tones say love and devotion. We hand-arrange each one at Aussie Blooms so it looks the way you pictured it, ready for the bedside table.</t>
        </is>
      </c>
      <c r="R247" s="30" t="inlineStr">
        <is>
          <t>&lt;p&gt;Colours of Champions brings together 2 lavender chrysanthemum daisies, 2 orange carnations, 2 red alstroemeria and 1 yellow chrysanthemum daisy. It suits a birthday, a thank-you or a just-because moment.&lt;/p&gt;&lt;p&gt;Red tones say love and devotion. We hand-arrange each one at Aussie Blooms so it looks the way you pictured it, ready for the bedside table.&lt;/p&gt;</t>
        </is>
      </c>
      <c r="S247" s="29" t="inlineStr">
        <is>
          <t>ok</t>
        </is>
      </c>
      <c r="T247" s="30" t="inlineStr">
        <is>
          <t>The bunch holds: 2 lavender chrysanthemum daisies, 2 orange carnations, 2 red alstroemeria and 1 yellow chrysanthemum daisy. Enough colour to turn an ordinary bench into the best spot in the house.</t>
        </is>
      </c>
      <c r="U247" s="30" t="inlineStr">
        <is>
          <t>&lt;p&gt;The bunch holds: 2 lavender chrysanthemum daisies, 2 orange carnations, 2 red alstroemeria and 1 yellow chrysanthemum daisy. Enough colour to turn an ordinary bench into the best spot in the house.&lt;/p&gt;</t>
        </is>
      </c>
      <c r="V247" s="29" t="inlineStr">
        <is>
          <t>ok</t>
        </is>
      </c>
      <c r="W247" s="30" t="n"/>
      <c r="X247" s="30" t="inlineStr">
        <is>
          <t>n/a (Mel's: mason jar products only)</t>
        </is>
      </c>
      <c r="Y247" s="30" t="n"/>
      <c r="Z247" s="48" t="inlineStr">
        <is>
          <t>-</t>
        </is>
      </c>
      <c r="AA247" t="inlineStr">
        <is>
          <t>no sales</t>
        </is>
      </c>
      <c r="AB247" s="44" t="n">
        <v>0</v>
      </c>
      <c r="AC247" t="n">
        <v>0</v>
      </c>
      <c r="AD247" s="45" t="n">
        <v>0</v>
      </c>
      <c r="AE247" s="45" t="n">
        <v>0</v>
      </c>
      <c r="AF247" t="inlineStr">
        <is>
          <t>no sales</t>
        </is>
      </c>
    </row>
    <row r="248" ht="109.5" customHeight="1" s="24">
      <c r="A248" s="30" t="inlineStr">
        <is>
          <t>AU11-10</t>
        </is>
      </c>
      <c r="B248" s="30" t="inlineStr">
        <is>
          <t>Ten Long Stemmed Red Roses</t>
        </is>
      </c>
      <c r="C248" s="30" t="inlineStr">
        <is>
          <t>Bouquets</t>
        </is>
      </c>
      <c r="D248" s="43" t="inlineStr">
        <is>
          <t>READY TO REVIEW</t>
        </is>
      </c>
      <c r="E248" s="30" t="inlineStr">
        <is>
          <t>Ten long-stemmed red roses, tall and richly coloured, arranged to make a striking impression. Timelessly romantic, this bouquet is a beautiful way to mark an anniversary, celebrate a birthday or offer warm congratulations.</t>
        </is>
      </c>
      <c r="F248" s="30" t="inlineStr">
        <is>
          <t>Shopify (28 Sep)</t>
        </is>
      </c>
      <c r="G248" s="30" t="inlineStr">
        <is>
          <t>10 × Roses Red; 1 × Baby's Breath; 2 × Ruscus Israeli</t>
        </is>
      </c>
      <c r="H248" s="30" t="inlineStr">
        <is>
          <t>10 × Roses Red; 1 × Baby's Breath; 2 × Ruscus Israeli</t>
        </is>
      </c>
      <c r="I248" s="30" t="inlineStr">
        <is>
          <t>10 × Roses Red; 1 × Baby's Breath; 2 × Ruscus Israeli</t>
        </is>
      </c>
      <c r="J248" s="30" t="inlineStr">
        <is>
          <t>2 × Ruscus Israeli; 1 × Baby's Breath; 10 × Roses Red</t>
        </is>
      </c>
      <c r="K248" s="30" t="inlineStr">
        <is>
          <t>Y</t>
        </is>
      </c>
      <c r="L248" s="30" t="n"/>
      <c r="M248" s="30" t="inlineStr">
        <is>
          <t>A hand-arranged bouquet of 10 red roses. A lovely way to mark an anniversary or a thank-you, and a bright moment when the door opens.</t>
        </is>
      </c>
      <c r="N248" s="30">
        <f>LEN(TRIM(SUBSTITUTE(M248,CHAR(10)," ")))-LEN(SUBSTITUTE(TRIM(SUBSTITUTE(M248,CHAR(10)," "))," ",""))+1</f>
        <v/>
      </c>
      <c r="O248" s="30" t="inlineStr">
        <is>
          <t>&lt;p&gt;A hand-arranged bouquet of 10 red roses. A lovely way to mark an anniversary or a thank-you, and a bright moment when the door opens.&lt;/p&gt;</t>
        </is>
      </c>
      <c r="P248" s="29" t="inlineStr">
        <is>
          <t>ok</t>
        </is>
      </c>
      <c r="Q248" s="30" t="inlineStr">
        <is>
          <t>Ten Long Stemmed Red Roses brings together 10 red roses. It suits an anniversary or a thank-you.
Red tones say love and devotion. We hand-arrange each one at Aussie Blooms so it looks the way you pictured it, ready for the bedside table.</t>
        </is>
      </c>
      <c r="R248" s="30" t="inlineStr">
        <is>
          <t>&lt;p&gt;Ten Long Stemmed Red Roses brings together 10 red roses. It suits an anniversary or a thank-you.&lt;/p&gt;&lt;p&gt;Red tones say love and devotion. We hand-arrange each one at Aussie Blooms so it looks the way you pictured it, ready for the bedside table.&lt;/p&gt;</t>
        </is>
      </c>
      <c r="S248" s="29" t="inlineStr">
        <is>
          <t>ok</t>
        </is>
      </c>
      <c r="T248" s="30" t="inlineStr">
        <is>
          <t>In this bunch: 10 red roses. Some things need no speech. Put these on the table and the message is delivered.</t>
        </is>
      </c>
      <c r="U248" s="30" t="inlineStr">
        <is>
          <t>&lt;p&gt;In this bunch: 10 red roses. Some things need no speech. Put these on the table and the message is delivered.&lt;/p&gt;</t>
        </is>
      </c>
      <c r="V248" s="47" t="inlineStr">
        <is>
          <t>delivery promise</t>
        </is>
      </c>
      <c r="W248" s="30" t="n"/>
      <c r="X248" s="30" t="inlineStr">
        <is>
          <t>n/a (Mel's: mason jar products only)</t>
        </is>
      </c>
      <c r="Y248" s="30" t="n"/>
      <c r="Z248" s="48" t="inlineStr">
        <is>
          <t>-</t>
        </is>
      </c>
      <c r="AA248" t="n">
        <v>38</v>
      </c>
      <c r="AB248" s="44" t="n">
        <v>55331.87</v>
      </c>
      <c r="AC248" t="n">
        <v>590</v>
      </c>
      <c r="AD248" s="45" t="n">
        <v>0.006339757176863058</v>
      </c>
      <c r="AE248" s="45" t="n">
        <v>0.01579230924299258</v>
      </c>
      <c r="AF248" t="n">
        <v>12</v>
      </c>
    </row>
    <row r="249" ht="109.5" customHeight="1" s="24">
      <c r="A249" s="30" t="inlineStr">
        <is>
          <t>RDC-01</t>
        </is>
      </c>
      <c r="B249" s="30" t="inlineStr">
        <is>
          <t>Rainbow Daisy Collection I</t>
        </is>
      </c>
      <c r="C249" s="30" t="inlineStr">
        <is>
          <t>Bouquets</t>
        </is>
      </c>
      <c r="D249" s="43" t="inlineStr">
        <is>
          <t>READY TO REVIEW</t>
        </is>
      </c>
      <c r="E249" s="30" t="inlineStr">
        <is>
          <t>Forty vibrant chrysanthemum daisies in a rainbow of cheerful colours, gathered into one joyful, free-spirited bunch. Fresh and full of personality, this collection brings a burst of sunshine to any day or occasion.</t>
        </is>
      </c>
      <c r="F249" s="30" t="inlineStr">
        <is>
          <t>Shopify (28 Sep)</t>
        </is>
      </c>
      <c r="G249" s="30" t="inlineStr">
        <is>
          <t>2 × Chrysanthemum Spray White; 2 × Chrysanthemum spray orange; 2 × Chrysanthemum Daisy Yellow; 2 × Chrysanthemum Daisies Pink; 2 × Ruscus Israeli; 1 × Greeting Card</t>
        </is>
      </c>
      <c r="H249" s="30" t="inlineStr">
        <is>
          <t>2 × Chrysanthemum Spray White; 2 × Chrysanthemum spray orange; 2 × Chrysanthemum Daisy Yellow; 2 × Chrysanthemum Daisies Pink; 2 × Ruscus Israeli; 1 × Greeting Card</t>
        </is>
      </c>
      <c r="I249" s="30" t="inlineStr">
        <is>
          <t>2 × Chrysanthemum Spray White; 2 × Chrysanthemum spray orange; 2 × Chrysanthemum Daisy Yellow; 2 × Chrysanthemum Daisies Pink; 2 × Ruscus Israeli; 1 × Greeting Card</t>
        </is>
      </c>
      <c r="J249" s="30" t="inlineStr">
        <is>
          <t>2 × Chrysanthemum Daisy Yellow; 1 × Greeting Card; 2 × Ruscus Israeli; 2 × Chrysanthemum Daisies Pink; 2 × Chrysanthemum spray orange; 2 × Chrysanthemum Spray White</t>
        </is>
      </c>
      <c r="K249" s="30" t="inlineStr">
        <is>
          <t>Y</t>
        </is>
      </c>
      <c r="L249" s="30" t="n"/>
      <c r="M249" s="30" t="inlineStr">
        <is>
          <t>A fresh arrangement of 2 orange spray chrysanthemums, 2 pink chrysanthemum daisies, 2 white spray chrysanthemums and 2 yellow chrysanthemum daisies, plus a greeting card. Chosen for a birthday, a thank-you or a just-because moment, it says you were thinking of them.</t>
        </is>
      </c>
      <c r="N249" s="30">
        <f>LEN(TRIM(SUBSTITUTE(M249,CHAR(10)," ")))-LEN(SUBSTITUTE(TRIM(SUBSTITUTE(M249,CHAR(10)," "))," ",""))+1</f>
        <v/>
      </c>
      <c r="O249" s="30" t="inlineStr">
        <is>
          <t>&lt;p&gt;A fresh arrangement of 2 orange spray chrysanthemums, 2 pink chrysanthemum daisies, 2 white spray chrysanthemums and 2 yellow chrysanthemum daisies, plus a greeting card. Chosen for a birthday, a thank-you or a just-because moment, it says you were thinking of them.&lt;/p&gt;</t>
        </is>
      </c>
      <c r="P249" s="29" t="inlineStr">
        <is>
          <t>ok</t>
        </is>
      </c>
      <c r="Q249" s="30" t="inlineStr">
        <is>
          <t>Rainbow Daisy Collection I brings together 2 orange spray chrysanthemums, 2 pink chrysanthemum daisies, 2 white spray chrysanthemums and 2 yellow chrysanthemum daisies, plus a greeting card. It suits a birthday, a thank-you or a just-because moment.
Orange tones say warmth and energy. We hand-arrange each one at Aussie Blooms so it looks the way you pictured it, ready for a Sunday lunch.</t>
        </is>
      </c>
      <c r="R249" s="30" t="inlineStr">
        <is>
          <t>&lt;p&gt;Rainbow Daisy Collection I brings together 2 orange spray chrysanthemums, 2 pink chrysanthemum daisies, 2 white spray chrysanthemums and 2 yellow chrysanthemum daisies, plus a greeting card. It suits a birthday, a thank-you or a just-because moment.&lt;/p&gt;&lt;p&gt;Orange tones say warmth and energy. We hand-arrange each one at Aussie Blooms so it looks the way you pictured it, ready for a Sunday lunch.&lt;/p&gt;</t>
        </is>
      </c>
      <c r="S249" s="29" t="inlineStr">
        <is>
          <t>ok</t>
        </is>
      </c>
      <c r="T249" s="30" t="inlineStr">
        <is>
          <t>The bunch holds: 2 orange spray chrysanthemums, 2 pink chrysanthemum daisies, 2 white spray chrysanthemums and 2 yellow chrysanthemum daisies, plus a greeting card. Enough colour to turn an ordinary bench into the best spot in the house.</t>
        </is>
      </c>
      <c r="U249" s="30" t="inlineStr">
        <is>
          <t>&lt;p&gt;The bunch holds: 2 orange spray chrysanthemums, 2 pink chrysanthemum daisies, 2 white spray chrysanthemums and 2 yellow chrysanthemum daisies, plus a greeting card. Enough colour to turn an ordinary bench into the best spot in the house.&lt;/p&gt;</t>
        </is>
      </c>
      <c r="V249" s="29" t="inlineStr">
        <is>
          <t>ok</t>
        </is>
      </c>
      <c r="W249" s="30" t="n"/>
      <c r="X249" s="30" t="inlineStr">
        <is>
          <t>n/a (Mel's: mason jar products only)</t>
        </is>
      </c>
      <c r="Y249" s="30" t="n"/>
      <c r="Z249" s="48" t="inlineStr">
        <is>
          <t>-</t>
        </is>
      </c>
      <c r="AA249" t="n">
        <v>234</v>
      </c>
      <c r="AB249" s="44" t="n">
        <v>517.42</v>
      </c>
      <c r="AC249" t="n">
        <v>10</v>
      </c>
      <c r="AD249" s="45" t="n">
        <v>5.928441232132824e-05</v>
      </c>
      <c r="AE249" s="45" t="n">
        <v>0.0001476772290403006</v>
      </c>
      <c r="AF249" t="n">
        <v>128</v>
      </c>
    </row>
    <row r="250" ht="109.5" customHeight="1" s="24">
      <c r="A250" s="30" t="inlineStr">
        <is>
          <t>RDC-02</t>
        </is>
      </c>
      <c r="B250" s="30" t="inlineStr">
        <is>
          <t>Rainbow Daisy Collection II</t>
        </is>
      </c>
      <c r="C250" s="30" t="inlineStr">
        <is>
          <t>Bouquets</t>
        </is>
      </c>
      <c r="D250" s="43" t="inlineStr">
        <is>
          <t>READY TO REVIEW</t>
        </is>
      </c>
      <c r="E250" s="30" t="inlineStr">
        <is>
          <t>A radiant bunch of forty chrysanthemum daisies in every colour of the rainbow, bright, breezy and brimming with life. A wonderfully happy gift to lift spirits and add a splash of colour to any space.</t>
        </is>
      </c>
      <c r="F250" s="30" t="inlineStr">
        <is>
          <t>Shopify (28 Sep)</t>
        </is>
      </c>
      <c r="G250" s="30" t="inlineStr">
        <is>
          <t>2 × Chrysanthemum spray orange; 2 × Chrysanthemum Daisies Pink; 2 × Chrysanthemum Daisy Yellow; 2 × Chrysanthemum Spray White; 2 × Ruscus Israeli; 1 × Greeting Card; 1 × Teddy Bear</t>
        </is>
      </c>
      <c r="H250" s="30" t="inlineStr">
        <is>
          <t>2 × Chrysanthemum spray orange; 2 × Chrysanthemum Daisies Pink; 2 × Chrysanthemum Daisy Yellow; 2 × Chrysanthemum Spray White; 2 × Ruscus Israeli; 1 × Greeting Card; 1 × Teddy Bear</t>
        </is>
      </c>
      <c r="I250" s="30" t="inlineStr">
        <is>
          <t>2 × Chrysanthemum spray orange; 2 × Chrysanthemum Daisies Pink; 2 × Chrysanthemum Daisy Yellow; 2 × Chrysanthemum Spray White; 2 × Ruscus Israeli; 1 × Greeting Card; 1 × Teddy Bear</t>
        </is>
      </c>
      <c r="J250" s="30" t="inlineStr">
        <is>
          <t>2 × Chrysanthemum spray orange; 1 × Teddy Bear; 1 × Greeting Card; 2 × Ruscus Israeli; 2 × Chrysanthemum Daisy Yellow; 2 × Chrysanthemum Daisies Pink; 2 × Chrysanthemum Spray White</t>
        </is>
      </c>
      <c r="K250" s="30" t="inlineStr">
        <is>
          <t>Y</t>
        </is>
      </c>
      <c r="L250" s="30" t="n"/>
      <c r="M250" s="30" t="inlineStr">
        <is>
          <t>A hand-arranged bouquet of 2 orange spray chrysanthemums, 2 pink chrysanthemum daisies, 2 white spray chrysanthemums and 2 yellow chrysanthemum daisies, plus a greeting card and a teddy bear. A lovely way to mark a birthday, a thank-you or a just-because moment.</t>
        </is>
      </c>
      <c r="N250" s="30">
        <f>LEN(TRIM(SUBSTITUTE(M250,CHAR(10)," ")))-LEN(SUBSTITUTE(TRIM(SUBSTITUTE(M250,CHAR(10)," "))," ",""))+1</f>
        <v/>
      </c>
      <c r="O250" s="30" t="inlineStr">
        <is>
          <t>&lt;p&gt;A hand-arranged bouquet of 2 orange spray chrysanthemums, 2 pink chrysanthemum daisies, 2 white spray chrysanthemums and 2 yellow chrysanthemum daisies, plus a greeting card and a teddy bear. A lovely way to mark a birthday, a thank-you or a just-because moment.&lt;/p&gt;</t>
        </is>
      </c>
      <c r="P250" s="29" t="inlineStr">
        <is>
          <t>ok</t>
        </is>
      </c>
      <c r="Q250" s="30" t="inlineStr">
        <is>
          <t>Rainbow Daisy Collection II brings together 2 orange spray chrysanthemums, 2 pink chrysanthemum daisies, 2 white spray chrysanthemums and 2 yellow chrysanthemum daisies, plus a greeting card and a teddy bear. It suits a birthday, a thank-you or a just-because moment.
Orange tones say warmth and energy. We hand-arrange each one at Aussie Blooms so it looks the way you pictured it, ready for a Sunday lunch.</t>
        </is>
      </c>
      <c r="R250" s="30" t="inlineStr">
        <is>
          <t>&lt;p&gt;Rainbow Daisy Collection II brings together 2 orange spray chrysanthemums, 2 pink chrysanthemum daisies, 2 white spray chrysanthemums and 2 yellow chrysanthemum daisies, plus a greeting card and a teddy bear. It suits a birthday, a thank-you or a just-because moment.&lt;/p&gt;&lt;p&gt;Orange tones say warmth and energy. We hand-arrange each one at Aussie Blooms so it looks the way you pictured it, ready for a Sunday lunch.&lt;/p&gt;</t>
        </is>
      </c>
      <c r="S250" s="29" t="inlineStr">
        <is>
          <t>ok</t>
        </is>
      </c>
      <c r="T250" s="30" t="inlineStr">
        <is>
          <t>In this bunch: 2 orange spray chrysanthemums, 2 pink chrysanthemum daisies, 2 white spray chrysanthemums and 2 yellow chrysanthemum daisies, plus a greeting card and a teddy bear. Brings the colour in before anyone has said hello.</t>
        </is>
      </c>
      <c r="U250" s="30" t="inlineStr">
        <is>
          <t>&lt;p&gt;In this bunch: 2 orange spray chrysanthemums, 2 pink chrysanthemum daisies, 2 white spray chrysanthemums and 2 yellow chrysanthemum daisies, plus a greeting card and a teddy bear. Brings the colour in before anyone has said hello.&lt;/p&gt;</t>
        </is>
      </c>
      <c r="V250" s="29" t="inlineStr">
        <is>
          <t>ok</t>
        </is>
      </c>
      <c r="W250" s="30" t="n"/>
      <c r="X250" s="30" t="inlineStr">
        <is>
          <t>n/a (Mel's: mason jar products only)</t>
        </is>
      </c>
      <c r="Y250" s="30" t="n"/>
      <c r="Z250" s="48" t="inlineStr">
        <is>
          <t>-</t>
        </is>
      </c>
      <c r="AA250" t="n">
        <v>228</v>
      </c>
      <c r="AB250" s="44" t="n">
        <v>927.5599999999999</v>
      </c>
      <c r="AC250" t="n">
        <v>14</v>
      </c>
      <c r="AD250" s="45" t="n">
        <v>0.0001062770080259194</v>
      </c>
      <c r="AE250" s="45" t="n">
        <v>0.000264735593074526</v>
      </c>
      <c r="AF250" t="n">
        <v>123</v>
      </c>
    </row>
    <row r="251" ht="109.5" customHeight="1" s="24">
      <c r="A251" s="30" t="inlineStr">
        <is>
          <t>RDC-03</t>
        </is>
      </c>
      <c r="B251" s="30" t="inlineStr">
        <is>
          <t>Rainbow Daisy Collection III</t>
        </is>
      </c>
      <c r="C251" s="30" t="inlineStr">
        <is>
          <t>Bouquets</t>
        </is>
      </c>
      <c r="D251" s="43" t="inlineStr">
        <is>
          <t>READY TO REVIEW</t>
        </is>
      </c>
      <c r="E251" s="30" t="n"/>
      <c r="F251" s="30" t="inlineStr">
        <is>
          <t>none</t>
        </is>
      </c>
      <c r="G251" s="30" t="inlineStr">
        <is>
          <t>3 × Chrysanthemum spray orange; 2 × Chrysanthemum Daisies Pink; 2 × Chrysanthemum Daisy Yellow; 2 × Chrysanthemum Spray White; 2 × Ruscus Israeli; 1 × Greeting Card; 1 × Teddy Bear</t>
        </is>
      </c>
      <c r="H251" s="30" t="inlineStr">
        <is>
          <t>3 × Chrysanthemum spray orange; 2 × Chrysanthemum Daisies Pink; 2 × Chrysanthemum Daisy Yellow; 3 × Chrysanthemum Spray White; 2 × Ruscus Israeli; 1 × Greeting Card; 1 × Teddy Bear</t>
        </is>
      </c>
      <c r="I251" s="31" t="inlineStr">
        <is>
          <t>3 × Chrysanthemum spray orange; 2 × Chrysanthemum Daisies Pink; 2 × Chrysanthemum Daisy Yellow; 3 × Chrysanthemum Spray White; 2 × Ruscus Israeli; 1 × Greeting Card; 1 × Teddy Bear</t>
        </is>
      </c>
      <c r="J251" s="30" t="inlineStr">
        <is>
          <t>1 × Greeting Card; 2 × Chrysanthemum Daisy Yellow; 3 × Chrysanthemum spray orange; 2 × Ruscus Israeli; 1 × Teddy Bear; 3 × Chrysanthemum Spray White; 2 × Chrysanthemum Daisies Pink</t>
        </is>
      </c>
      <c r="K251" s="30" t="inlineStr">
        <is>
          <t>N</t>
        </is>
      </c>
      <c r="L251" s="30" t="n"/>
      <c r="M251" s="30" t="inlineStr">
        <is>
          <t>A hand-arranged bouquet of 3 orange spray chrysanthemums, 3 white spray chrysanthemums, 2 pink chrysanthemum daisies and 2 yellow chrysanthemum daisies, plus a greeting card and a teddy bear. A lovely way to mark a birthday, a thank-you or a just-because moment.</t>
        </is>
      </c>
      <c r="N251" s="30">
        <f>LEN(TRIM(SUBSTITUTE(M251,CHAR(10)," ")))-LEN(SUBSTITUTE(TRIM(SUBSTITUTE(M251,CHAR(10)," "))," ",""))+1</f>
        <v/>
      </c>
      <c r="O251" s="30" t="inlineStr">
        <is>
          <t>&lt;p&gt;A hand-arranged bouquet of 3 orange spray chrysanthemums, 3 white spray chrysanthemums, 2 pink chrysanthemum daisies and 2 yellow chrysanthemum daisies, plus a greeting card and a teddy bear. A lovely way to mark a birthday, a thank-you or a just-because moment.&lt;/p&gt;</t>
        </is>
      </c>
      <c r="P251" s="29" t="inlineStr">
        <is>
          <t>ok</t>
        </is>
      </c>
      <c r="Q251" s="30" t="inlineStr">
        <is>
          <t>Rainbow Daisy Collection III brings together 3 orange spray chrysanthemums, 3 white spray chrysanthemums, 2 pink chrysanthemum daisies and 2 yellow chrysanthemum daisies, plus a greeting card and a teddy bear. It suits a birthday, a thank-you or a just-because moment.
Orange tones say warmth and energy. We hand-arrange each one at Aussie Blooms so it looks the way you pictured it, ready for the bedside table.</t>
        </is>
      </c>
      <c r="R251" s="30" t="inlineStr">
        <is>
          <t>&lt;p&gt;Rainbow Daisy Collection III brings together 3 orange spray chrysanthemums, 3 white spray chrysanthemums, 2 pink chrysanthemum daisies and 2 yellow chrysanthemum daisies, plus a greeting card and a teddy bear. It suits a birthday, a thank-you or a just-because moment.&lt;/p&gt;&lt;p&gt;Orange tones say warmth and energy. We hand-arrange each one at Aussie Blooms so it looks the way you pictured it, ready for the bedside table.&lt;/p&gt;</t>
        </is>
      </c>
      <c r="S251" s="29" t="inlineStr">
        <is>
          <t>ok</t>
        </is>
      </c>
      <c r="T251" s="30" t="inlineStr">
        <is>
          <t>In this bunch: 3 orange spray chrysanthemums, 3 white spray chrysanthemums, 2 pink chrysanthemum daisies and 2 yellow chrysanthemum daisies, plus a greeting card and a teddy bear. Brings the colour in before anyone has said hello.</t>
        </is>
      </c>
      <c r="U251" s="30" t="inlineStr">
        <is>
          <t>&lt;p&gt;In this bunch: 3 orange spray chrysanthemums, 3 white spray chrysanthemums, 2 pink chrysanthemum daisies and 2 yellow chrysanthemum daisies, plus a greeting card and a teddy bear. Brings the colour in before anyone has said hello.&lt;/p&gt;</t>
        </is>
      </c>
      <c r="V251" s="29" t="inlineStr">
        <is>
          <t>ok</t>
        </is>
      </c>
      <c r="W251" s="30" t="n"/>
      <c r="X251" s="30" t="inlineStr">
        <is>
          <t>n/a (Mel's: mason jar products only)</t>
        </is>
      </c>
      <c r="Y251" s="30" t="n"/>
      <c r="Z251" s="48" t="inlineStr">
        <is>
          <t>-</t>
        </is>
      </c>
      <c r="AA251" t="n">
        <v>247</v>
      </c>
      <c r="AB251" s="44" t="n">
        <v>49.95</v>
      </c>
      <c r="AC251" t="n">
        <v>1</v>
      </c>
      <c r="AD251" s="45" t="n">
        <v>5.723119314000901e-06</v>
      </c>
      <c r="AE251" s="45" t="n">
        <v>1.425626684427161e-05</v>
      </c>
      <c r="AF251" t="n">
        <v>136</v>
      </c>
    </row>
    <row r="252" ht="109.5" customHeight="1" s="24">
      <c r="A252" s="30" t="inlineStr">
        <is>
          <t>RDC-04</t>
        </is>
      </c>
      <c r="B252" s="30" t="inlineStr">
        <is>
          <t>Rainbow Daisy Collection IV</t>
        </is>
      </c>
      <c r="C252" s="30" t="inlineStr">
        <is>
          <t>Bouquets</t>
        </is>
      </c>
      <c r="D252" s="43" t="inlineStr">
        <is>
          <t>READY TO REVIEW</t>
        </is>
      </c>
      <c r="E252" s="30" t="n"/>
      <c r="F252" s="30" t="inlineStr">
        <is>
          <t>none</t>
        </is>
      </c>
      <c r="G252" s="30" t="inlineStr">
        <is>
          <t>4 × Chrysanthemum spray orange; 2 × Chrysanthemum Daisies Pink; 2 × Chrysanthemum Daisy Yellow; 2 × Chrysanthemum Spray White; 2 × Ruscus Israeli; 1 × Greeting Card; 1 × Teddy Bear</t>
        </is>
      </c>
      <c r="H252" s="30" t="inlineStr">
        <is>
          <t>4 × Chrysanthemum spray orange; 2 × Chrysanthemum Daisies Pink; 2 × Chrysanthemum Daisy Yellow; 4 × Chrysanthemum Spray White; 2 × Ruscus Israeli; 1 × Greeting Card; 1 × Teddy Bear</t>
        </is>
      </c>
      <c r="I252" s="31" t="inlineStr">
        <is>
          <t>4 × Chrysanthemum spray orange; 2 × Chrysanthemum Daisies Pink; 2 × Chrysanthemum Daisy Yellow; 4 × Chrysanthemum Spray White; 2 × Ruscus Israeli; 1 × Greeting Card; 1 × Teddy Bear</t>
        </is>
      </c>
      <c r="J252" s="30" t="inlineStr">
        <is>
          <t>1 × Greeting Card; 2 × Chrysanthemum Daisy Yellow; 4 × Chrysanthemum spray orange; 2 × Ruscus Israeli; 1 × Teddy Bear; 4 × Chrysanthemum Spray White; 2 × Chrysanthemum Daisies Pink</t>
        </is>
      </c>
      <c r="K252" s="30" t="inlineStr">
        <is>
          <t>N</t>
        </is>
      </c>
      <c r="L252" s="30" t="n"/>
      <c r="M252" s="30" t="inlineStr">
        <is>
          <t>A florist-designed bouquet of 4 orange spray chrysanthemums, 4 white spray chrysanthemums, 2 pink chrysanthemum daisies and 2 yellow chrysanthemum daisies, plus a greeting card and a teddy bear. A warm gift for a birthday, a thank-you or a just-because moment.</t>
        </is>
      </c>
      <c r="N252" s="30">
        <f>LEN(TRIM(SUBSTITUTE(M252,CHAR(10)," ")))-LEN(SUBSTITUTE(TRIM(SUBSTITUTE(M252,CHAR(10)," "))," ",""))+1</f>
        <v/>
      </c>
      <c r="O252" s="30" t="inlineStr">
        <is>
          <t>&lt;p&gt;A florist-designed bouquet of 4 orange spray chrysanthemums, 4 white spray chrysanthemums, 2 pink chrysanthemum daisies and 2 yellow chrysanthemum daisies, plus a greeting card and a teddy bear. A warm gift for a birthday, a thank-you or a just-because moment.&lt;/p&gt;</t>
        </is>
      </c>
      <c r="P252" s="29" t="inlineStr">
        <is>
          <t>ok</t>
        </is>
      </c>
      <c r="Q252" s="30" t="inlineStr">
        <is>
          <t>Rainbow Daisy Collection IV brings together 4 orange spray chrysanthemums, 4 white spray chrysanthemums, 2 pink chrysanthemum daisies and 2 yellow chrysanthemum daisies, plus a greeting card and a teddy bear. It suits a birthday, a thank-you or a just-because moment.
Orange tones say warmth and energy. We hand-arrange each one at Aussie Blooms so it looks the way you pictured it, ready for a summer table.</t>
        </is>
      </c>
      <c r="R252" s="30" t="inlineStr">
        <is>
          <t>&lt;p&gt;Rainbow Daisy Collection IV brings together 4 orange spray chrysanthemums, 4 white spray chrysanthemums, 2 pink chrysanthemum daisies and 2 yellow chrysanthemum daisies, plus a greeting card and a teddy bear. It suits a birthday, a thank-you or a just-because moment.&lt;/p&gt;&lt;p&gt;Orange tones say warmth and energy. We hand-arrange each one at Aussie Blooms so it looks the way you pictured it, ready for a summer table.&lt;/p&gt;</t>
        </is>
      </c>
      <c r="S252" s="29" t="inlineStr">
        <is>
          <t>ok</t>
        </is>
      </c>
      <c r="T252" s="30" t="inlineStr">
        <is>
          <t>Inside the bunch: 4 orange spray chrysanthemums, 4 white spray chrysanthemums, 2 pink chrysanthemum daisies and 2 yellow chrysanthemum daisies, plus a greeting card and a teddy bear. Bright on purpose, and hard to walk past without smiling.</t>
        </is>
      </c>
      <c r="U252" s="30" t="inlineStr">
        <is>
          <t>&lt;p&gt;Inside the bunch: 4 orange spray chrysanthemums, 4 white spray chrysanthemums, 2 pink chrysanthemum daisies and 2 yellow chrysanthemum daisies, plus a greeting card and a teddy bear. Bright on purpose, and hard to walk past without smiling.&lt;/p&gt;</t>
        </is>
      </c>
      <c r="V252" s="29" t="inlineStr">
        <is>
          <t>ok</t>
        </is>
      </c>
      <c r="W252" s="30" t="n"/>
      <c r="X252" s="30" t="inlineStr">
        <is>
          <t>n/a (Mel's: mason jar products only)</t>
        </is>
      </c>
      <c r="Y252" s="30" t="n"/>
      <c r="Z252" s="48" t="inlineStr">
        <is>
          <t>-</t>
        </is>
      </c>
      <c r="AA252" t="n">
        <v>232</v>
      </c>
      <c r="AB252" s="44" t="n">
        <v>669.5</v>
      </c>
      <c r="AC252" t="n">
        <v>10</v>
      </c>
      <c r="AD252" s="45" t="n">
        <v>7.670927689136342e-05</v>
      </c>
      <c r="AE252" s="45" t="n">
        <v>0.0001910824955403372</v>
      </c>
      <c r="AF252" t="n">
        <v>126</v>
      </c>
    </row>
    <row r="253" ht="109.5" customHeight="1" s="24">
      <c r="A253" s="30" t="inlineStr">
        <is>
          <t>AU501-10</t>
        </is>
      </c>
      <c r="B253" s="30" t="inlineStr">
        <is>
          <t>Ten Red Roses, Card &amp; Chocolates</t>
        </is>
      </c>
      <c r="C253" s="30" t="inlineStr">
        <is>
          <t>Bouquets</t>
        </is>
      </c>
      <c r="D253" s="43" t="inlineStr">
        <is>
          <t>READY TO REVIEW</t>
        </is>
      </c>
      <c r="E253" s="30" t="n"/>
      <c r="F253" s="30" t="inlineStr">
        <is>
          <t>none</t>
        </is>
      </c>
      <c r="G253" s="30" t="inlineStr">
        <is>
          <t>10 × Roses Red; 1 × Baby's Breath; 2 × Ruscus Israeli; 1 × Small Chocolates</t>
        </is>
      </c>
      <c r="H253" s="30" t="inlineStr">
        <is>
          <t>10 × Roses Red; 1 × Baby's Breath; 2 × Ruscus Israeli; 1 × Small Chocolates</t>
        </is>
      </c>
      <c r="I253" s="30" t="inlineStr">
        <is>
          <t>10 × Roses Red; 1 × Baby's Breath; 2 × Ruscus Israeli; 1 × Small Chocolates</t>
        </is>
      </c>
      <c r="J253" s="30" t="inlineStr">
        <is>
          <t>2 × Ruscus Israeli; 1 × Small Chocolates; 1 × Baby's Breath; 10 × Roses Red</t>
        </is>
      </c>
      <c r="K253" s="30" t="inlineStr">
        <is>
          <t>N</t>
        </is>
      </c>
      <c r="L253" s="30" t="n"/>
      <c r="M253" s="30" t="inlineStr">
        <is>
          <t>A hand-arranged bouquet of 10 red roses, plus a box of small chocolates. A lovely way to mark an anniversary or a thank-you, and a bright moment when the door opens.</t>
        </is>
      </c>
      <c r="N253" s="30">
        <f>LEN(TRIM(SUBSTITUTE(M253,CHAR(10)," ")))-LEN(SUBSTITUTE(TRIM(SUBSTITUTE(M253,CHAR(10)," "))," ",""))+1</f>
        <v/>
      </c>
      <c r="O253" s="30" t="inlineStr">
        <is>
          <t>&lt;p&gt;A hand-arranged bouquet of 10 red roses, plus a box of small chocolates. A lovely way to mark an anniversary or a thank-you, and a bright moment when the door opens.&lt;/p&gt;</t>
        </is>
      </c>
      <c r="P253" s="29" t="inlineStr">
        <is>
          <t>ok</t>
        </is>
      </c>
      <c r="Q253" s="30" t="inlineStr">
        <is>
          <t>Ten Red Roses, Card &amp; Chocolates brings together 10 red roses, plus a box of small chocolates. It suits an anniversary or a thank-you.
Red tones say love and devotion. We hand-arrange each one at Aussie Blooms so it looks the way you pictured it, ready for a Sunday lunch.</t>
        </is>
      </c>
      <c r="R253" s="30" t="inlineStr">
        <is>
          <t>&lt;p&gt;Ten Red Roses, Card &amp;amp; Chocolates brings together 10 red roses, plus a box of small chocolates. It suits an anniversary or a thank-you.&lt;/p&gt;&lt;p&gt;Red tones say love and devotion. We hand-arrange each one at Aussie Blooms so it looks the way you pictured it, ready for a Sunday lunch.&lt;/p&gt;</t>
        </is>
      </c>
      <c r="S253" s="29" t="inlineStr">
        <is>
          <t>ok</t>
        </is>
      </c>
      <c r="T253" s="30" t="inlineStr">
        <is>
          <t>In this bunch: 10 red roses, plus a box of small chocolates. Some things need no speech. Put these on the table and the message is delivered.</t>
        </is>
      </c>
      <c r="U253" s="30" t="inlineStr">
        <is>
          <t>&lt;p&gt;In this bunch: 10 red roses, plus a box of small chocolates. Some things need no speech. Put these on the table and the message is delivered.&lt;/p&gt;</t>
        </is>
      </c>
      <c r="V253" s="47" t="inlineStr">
        <is>
          <t>delivery promise</t>
        </is>
      </c>
      <c r="W253" s="30" t="n"/>
      <c r="X253" s="30" t="inlineStr">
        <is>
          <t>n/a (Mel's: mason jar products only)</t>
        </is>
      </c>
      <c r="Y253" s="30" t="n"/>
      <c r="Z253" s="48" t="inlineStr">
        <is>
          <t>-</t>
        </is>
      </c>
      <c r="AA253" t="n">
        <v>214</v>
      </c>
      <c r="AB253" s="44" t="n">
        <v>1949.35</v>
      </c>
      <c r="AC253" t="n">
        <v>13</v>
      </c>
      <c r="AD253" s="45" t="n">
        <v>0.0002233506032982513</v>
      </c>
      <c r="AE253" s="45" t="n">
        <v>0.0005563654408985157</v>
      </c>
      <c r="AF253" t="n">
        <v>116</v>
      </c>
    </row>
    <row r="254" ht="109.5" customHeight="1" s="24">
      <c r="A254" s="30" t="inlineStr">
        <is>
          <t>LF11-93</t>
        </is>
      </c>
      <c r="B254" s="30" t="inlineStr">
        <is>
          <t>Three Dozen Long Stem Red Roses</t>
        </is>
      </c>
      <c r="C254" s="30" t="inlineStr">
        <is>
          <t>Bouquets</t>
        </is>
      </c>
      <c r="D254" s="43" t="inlineStr">
        <is>
          <t>READY TO REVIEW</t>
        </is>
      </c>
      <c r="E254" s="30" t="n"/>
      <c r="F254" s="30" t="inlineStr">
        <is>
          <t>none</t>
        </is>
      </c>
      <c r="G254" s="30" t="inlineStr">
        <is>
          <t>36 × Roses Red; 4 × Baby's Breath; 5 × Ruscus Israeli</t>
        </is>
      </c>
      <c r="H254" s="30" t="inlineStr">
        <is>
          <t>36 × Roses Red; 4 × Baby's Breath; 5 × Ruscus Israeli</t>
        </is>
      </c>
      <c r="I254" s="30" t="inlineStr">
        <is>
          <t>36 × Roses Red; 4 × Baby's Breath; 5 × Ruscus Israeli</t>
        </is>
      </c>
      <c r="J254" s="30" t="inlineStr">
        <is>
          <t>5 × Ruscus Israeli; 4 × Baby's Breath; 36 × Roses Red</t>
        </is>
      </c>
      <c r="K254" s="30" t="inlineStr">
        <is>
          <t>N</t>
        </is>
      </c>
      <c r="L254" s="30" t="n"/>
      <c r="M254" s="30" t="inlineStr">
        <is>
          <t>A hand-arranged bouquet of 36 red roses. A lovely way to mark an anniversary or a thank-you, and a bright moment when the door opens.</t>
        </is>
      </c>
      <c r="N254" s="30">
        <f>LEN(TRIM(SUBSTITUTE(M254,CHAR(10)," ")))-LEN(SUBSTITUTE(TRIM(SUBSTITUTE(M254,CHAR(10)," "))," ",""))+1</f>
        <v/>
      </c>
      <c r="O254" s="30" t="inlineStr">
        <is>
          <t>&lt;p&gt;A hand-arranged bouquet of 36 red roses. A lovely way to mark an anniversary or a thank-you, and a bright moment when the door opens.&lt;/p&gt;</t>
        </is>
      </c>
      <c r="P254" s="29" t="inlineStr">
        <is>
          <t>ok</t>
        </is>
      </c>
      <c r="Q254" s="30" t="inlineStr">
        <is>
          <t>Three Dozen Long Stem Red Roses brings together 36 red roses. It suits an anniversary or a thank-you.
Red tones say love and devotion. We hand-arrange each one at Aussie Blooms so it looks the way you pictured it, ready for a Sunday lunch.</t>
        </is>
      </c>
      <c r="R254" s="30" t="inlineStr">
        <is>
          <t>&lt;p&gt;Three Dozen Long Stem Red Roses brings together 36 red roses. It suits an anniversary or a thank-you.&lt;/p&gt;&lt;p&gt;Red tones say love and devotion. We hand-arrange each one at Aussie Blooms so it looks the way you pictured it, ready for a Sunday lunch.&lt;/p&gt;</t>
        </is>
      </c>
      <c r="S254" s="29" t="inlineStr">
        <is>
          <t>ok</t>
        </is>
      </c>
      <c r="T254" s="30" t="inlineStr">
        <is>
          <t>In this bunch: 36 red roses. Some things need no speech. Put these on the table and the message is delivered.</t>
        </is>
      </c>
      <c r="U254" s="30" t="inlineStr">
        <is>
          <t>&lt;p&gt;In this bunch: 36 red roses. Some things need no speech. Put these on the table and the message is delivered.&lt;/p&gt;</t>
        </is>
      </c>
      <c r="V254" s="47" t="inlineStr">
        <is>
          <t>delivery promise</t>
        </is>
      </c>
      <c r="W254" s="30" t="n"/>
      <c r="X254" s="30" t="inlineStr">
        <is>
          <t>n/a (Mel's: mason jar products only)</t>
        </is>
      </c>
      <c r="Y254" s="30" t="n"/>
      <c r="Z254" s="48" t="inlineStr">
        <is>
          <t>-</t>
        </is>
      </c>
      <c r="AA254" t="n">
        <v>177</v>
      </c>
      <c r="AB254" s="44" t="n">
        <v>3608.3</v>
      </c>
      <c r="AC254" t="n">
        <v>13</v>
      </c>
      <c r="AD254" s="45" t="n">
        <v>0.0004134280564706597</v>
      </c>
      <c r="AE254" s="45" t="n">
        <v>0.001029847600684389</v>
      </c>
      <c r="AF254" t="n">
        <v>87</v>
      </c>
    </row>
    <row r="255" ht="109.5" customHeight="1" s="24">
      <c r="A255" s="30" t="inlineStr">
        <is>
          <t>LF15-10A</t>
        </is>
      </c>
      <c r="B255" s="30" t="inlineStr">
        <is>
          <t>Hugs and Kisses I</t>
        </is>
      </c>
      <c r="C255" s="30" t="inlineStr">
        <is>
          <t>Bouquets</t>
        </is>
      </c>
      <c r="D255" s="43" t="inlineStr">
        <is>
          <t>READY TO REVIEW</t>
        </is>
      </c>
      <c r="E255" s="30" t="inlineStr">
        <is>
          <t>A warm embrace of 18 carnations, 11 chrysanthemums and 8 roses, gathered into a bright and affectionate bouquet. Full of hugs and kisses, it's a lovely way to celebrate an anniversary, birthday or share a moment of congratulations.</t>
        </is>
      </c>
      <c r="F255" s="30" t="inlineStr">
        <is>
          <t>Shopify (28 Sep)</t>
        </is>
      </c>
      <c r="G255" s="30" t="inlineStr">
        <is>
          <t>2 × Roses Red; 2 × Chrysanthemum Spray White; 3 × Carnation Pink; 2 × Ruscus Israeli; 1 × Greeting Card; 1 × Mini Carnations Red</t>
        </is>
      </c>
      <c r="H255" s="30" t="inlineStr">
        <is>
          <t>2 × Roses Red; 2 × Chrysanthemum Spray White; 3 × Carnation Pink; 2 × Ruscus Israeli; 1 × Greeting Card; 1 × Mini Carnations Red</t>
        </is>
      </c>
      <c r="I255" s="30" t="inlineStr">
        <is>
          <t>2 × Roses Red; 2 × Chrysanthemum Spray White; 3 × Carnation Pink; 2 × Ruscus Israeli; 1 × Greeting Card; 1 × Mini Carnations Red</t>
        </is>
      </c>
      <c r="J255" s="30" t="inlineStr">
        <is>
          <t>3 × Carnation Pink; 1 × Mini Carnations Red; 1 × Greeting Card; 2 × Ruscus Israeli; 2 × Chrysanthemum Spray White; 2 × Roses Red</t>
        </is>
      </c>
      <c r="K255" s="30" t="inlineStr">
        <is>
          <t>Y</t>
        </is>
      </c>
      <c r="L255" s="30" t="n"/>
      <c r="M255" s="30" t="inlineStr">
        <is>
          <t>A fresh arrangement of 3 pink carnations, 2 red roses and 2 white spray chrysanthemums, plus a greeting card. A lovely way to mark an anniversary or a thank-you, and a bright moment when the door opens.</t>
        </is>
      </c>
      <c r="N255" s="30">
        <f>LEN(TRIM(SUBSTITUTE(M255,CHAR(10)," ")))-LEN(SUBSTITUTE(TRIM(SUBSTITUTE(M255,CHAR(10)," "))," ",""))+1</f>
        <v/>
      </c>
      <c r="O255" s="30" t="inlineStr">
        <is>
          <t>&lt;p&gt;A fresh arrangement of 3 pink carnations, 2 red roses and 2 white spray chrysanthemums, plus a greeting card. A lovely way to mark an anniversary or a thank-you, and a bright moment when the door opens.&lt;/p&gt;</t>
        </is>
      </c>
      <c r="P255" s="29" t="inlineStr">
        <is>
          <t>ok</t>
        </is>
      </c>
      <c r="Q255" s="30" t="inlineStr">
        <is>
          <t>Hugs and Kisses I brings together 3 pink carnations, 2 red roses and 2 white spray chrysanthemums, plus a greeting card. It suits an anniversary or a thank-you.
Pink tones say affection. We hand-arrange each one at Aussie Blooms so it looks the way you pictured it, ready for a Sunday lunch.</t>
        </is>
      </c>
      <c r="R255" s="30" t="inlineStr">
        <is>
          <t>&lt;p&gt;Hugs and Kisses I brings together 3 pink carnations, 2 red roses and 2 white spray chrysanthemums, plus a greeting card. It suits an anniversary or a thank-you.&lt;/p&gt;&lt;p&gt;Pink tones say affection. We hand-arrange each one at Aussie Blooms so it looks the way you pictured it, ready for a Sunday lunch.&lt;/p&gt;</t>
        </is>
      </c>
      <c r="S255" s="29" t="inlineStr">
        <is>
          <t>ok</t>
        </is>
      </c>
      <c r="T255" s="30" t="inlineStr">
        <is>
          <t>The bunch holds: 3 pink carnations, 2 red roses and 2 white spray chrysanthemums, plus a greeting card. The classic, handed over without a single word of explanation.</t>
        </is>
      </c>
      <c r="U255" s="30" t="inlineStr">
        <is>
          <t>&lt;p&gt;The bunch holds: 3 pink carnations, 2 red roses and 2 white spray chrysanthemums, plus a greeting card. The classic, handed over without a single word of explanation.&lt;/p&gt;</t>
        </is>
      </c>
      <c r="V255" s="29" t="inlineStr">
        <is>
          <t>ok</t>
        </is>
      </c>
      <c r="W255" s="30" t="n"/>
      <c r="X255" s="30" t="inlineStr">
        <is>
          <t>n/a (Mel's: mason jar products only)</t>
        </is>
      </c>
      <c r="Y255" s="30" t="n"/>
      <c r="Z255" s="48" t="inlineStr">
        <is>
          <t>-</t>
        </is>
      </c>
      <c r="AA255" t="n">
        <v>92</v>
      </c>
      <c r="AB255" s="44" t="n">
        <v>17112.42</v>
      </c>
      <c r="AC255" t="n">
        <v>250</v>
      </c>
      <c r="AD255" s="45" t="n">
        <v>0.001960689461074139</v>
      </c>
      <c r="AE255" s="45" t="n">
        <v>0.004884069442243262</v>
      </c>
      <c r="AF255" t="n">
        <v>41</v>
      </c>
    </row>
    <row r="256" ht="109.5" customHeight="1" s="24">
      <c r="A256" s="30" t="inlineStr">
        <is>
          <t>LF15-10B</t>
        </is>
      </c>
      <c r="B256" s="30" t="inlineStr">
        <is>
          <t>Hugs and Kisses II</t>
        </is>
      </c>
      <c r="C256" s="30" t="inlineStr">
        <is>
          <t>Bouquets</t>
        </is>
      </c>
      <c r="D256" s="43" t="inlineStr">
        <is>
          <t>READY TO REVIEW</t>
        </is>
      </c>
      <c r="E256" s="30" t="inlineStr">
        <is>
          <t>A cheerful gathering of 24 carnations, 14 chrysanthemums and 10 roses, arranged to send love across any distance. This hugs and kisses bouquet is perfect for an anniversary, birthday or a heartfelt just-because surprise.</t>
        </is>
      </c>
      <c r="F256" s="30" t="inlineStr">
        <is>
          <t>Shopify (28 Sep)</t>
        </is>
      </c>
      <c r="G256" s="30" t="inlineStr">
        <is>
          <t>3 × Roses Red; 2 × Chrysanthemum Spray White; 3 × Carnation Pink; 2 × Ruscus Israeli; 1 × Greeting Card; 1 × Mini Carnations Red; 1 × Teddy Bear</t>
        </is>
      </c>
      <c r="H256" s="30" t="inlineStr">
        <is>
          <t>3 × Roses Red; 2 × Chrysanthemum Spray White; 3 × Carnation Pink; 2 × Ruscus Israeli; 1 × Greeting Card; 1 × Mini Carnations Red; 1 × Teddy Bear</t>
        </is>
      </c>
      <c r="I256" s="30" t="inlineStr">
        <is>
          <t>3 × Roses Red; 2 × Chrysanthemum Spray White; 3 × Carnation Pink; 2 × Ruscus Israeli; 1 × Greeting Card; 1 × Mini Carnations Red; 1 × Teddy Bear</t>
        </is>
      </c>
      <c r="J256" s="30" t="inlineStr">
        <is>
          <t>2 × Ruscus Israeli; 1 × Teddy Bear; 1 × Mini Carnations Red; 1 × Greeting Card; 3 × Carnation Pink; 2 × Chrysanthemum Spray White; 3 × Roses Red</t>
        </is>
      </c>
      <c r="K256" s="30" t="inlineStr">
        <is>
          <t>Y</t>
        </is>
      </c>
      <c r="L256" s="30" t="n"/>
      <c r="M256" s="30" t="inlineStr">
        <is>
          <t>A hand-arranged bouquet of 3 pink carnations, 3 red roses and 2 white spray chrysanthemums, plus a greeting card and a teddy bear. A warm gift for an anniversary or a thank-you.</t>
        </is>
      </c>
      <c r="N256" s="30">
        <f>LEN(TRIM(SUBSTITUTE(M256,CHAR(10)," ")))-LEN(SUBSTITUTE(TRIM(SUBSTITUTE(M256,CHAR(10)," "))," ",""))+1</f>
        <v/>
      </c>
      <c r="O256" s="30" t="inlineStr">
        <is>
          <t>&lt;p&gt;A hand-arranged bouquet of 3 pink carnations, 3 red roses and 2 white spray chrysanthemums, plus a greeting card and a teddy bear. A warm gift for an anniversary or a thank-you.&lt;/p&gt;</t>
        </is>
      </c>
      <c r="P256" s="29" t="inlineStr">
        <is>
          <t>ok</t>
        </is>
      </c>
      <c r="Q256" s="30" t="inlineStr">
        <is>
          <t>Hugs and Kisses II brings together 3 pink carnations, 3 red roses and 2 white spray chrysanthemums, plus a greeting card and a teddy bear. It suits an anniversary or a thank-you.
Red tones say love and devotion. We hand-arrange each one at Aussie Blooms so it looks the way you pictured it, ready for the kitchen bench.</t>
        </is>
      </c>
      <c r="R256" s="30" t="inlineStr">
        <is>
          <t>&lt;p&gt;Hugs and Kisses II brings together 3 pink carnations, 3 red roses and 2 white spray chrysanthemums, plus a greeting card and a teddy bear. It suits an anniversary or a thank-you.&lt;/p&gt;&lt;p&gt;Red tones say love and devotion. We hand-arrange each one at Aussie Blooms so it looks the way you pictured it, ready for the kitchen bench.&lt;/p&gt;</t>
        </is>
      </c>
      <c r="S256" s="29" t="inlineStr">
        <is>
          <t>ok</t>
        </is>
      </c>
      <c r="T256" s="30" t="inlineStr">
        <is>
          <t>In this bunch: 3 pink carnations, 3 red roses and 2 white spray chrysanthemums, plus a greeting card and a teddy bear. Some things need no speech. Put these on the table and the message is delivered.</t>
        </is>
      </c>
      <c r="U256" s="30" t="inlineStr">
        <is>
          <t>&lt;p&gt;In this bunch: 3 pink carnations, 3 red roses and 2 white spray chrysanthemums, plus a greeting card and a teddy bear. Some things need no speech. Put these on the table and the message is delivered.&lt;/p&gt;</t>
        </is>
      </c>
      <c r="V256" s="47" t="inlineStr">
        <is>
          <t>delivery promise</t>
        </is>
      </c>
      <c r="W256" s="30" t="n"/>
      <c r="X256" s="30" t="inlineStr">
        <is>
          <t>n/a (Mel's: mason jar products only)</t>
        </is>
      </c>
      <c r="Y256" s="30" t="n"/>
      <c r="Z256" s="48" t="inlineStr">
        <is>
          <t>-</t>
        </is>
      </c>
      <c r="AA256" t="n">
        <v>106</v>
      </c>
      <c r="AB256" s="44" t="n">
        <v>13344.3</v>
      </c>
      <c r="AC256" t="n">
        <v>146</v>
      </c>
      <c r="AD256" s="45" t="n">
        <v>0.001528949828914904</v>
      </c>
      <c r="AE256" s="45" t="n">
        <v>0.003808607781282903</v>
      </c>
      <c r="AF256" t="n">
        <v>50</v>
      </c>
    </row>
    <row r="257" ht="109.5" customHeight="1" s="24">
      <c r="A257" s="30" t="inlineStr">
        <is>
          <t>LF15-10C</t>
        </is>
      </c>
      <c r="B257" s="30" t="inlineStr">
        <is>
          <t>Hugs and Kisses III</t>
        </is>
      </c>
      <c r="C257" s="30" t="inlineStr">
        <is>
          <t>Bouquets</t>
        </is>
      </c>
      <c r="D257" s="43" t="inlineStr">
        <is>
          <t>READY TO REVIEW</t>
        </is>
      </c>
      <c r="E257" s="30" t="inlineStr">
        <is>
          <t>Twenty-four carnations, 14 chrysanthemums and 10 roses come together in a bright, affectionate display. Brimming with hugs and kisses, it's a charming way to mark an anniversary, birthday or simply remind someone you're thinking of them.</t>
        </is>
      </c>
      <c r="F257" s="30" t="inlineStr">
        <is>
          <t>Shopify (28 Sep)</t>
        </is>
      </c>
      <c r="G257" s="30" t="inlineStr">
        <is>
          <t>2 × Roses Red; 3 × Chrysanthemum Spray White; 3 × Carnation Pink; 2 × Ruscus Israeli; 1 × Greeting Card; 1 × Small Chocolates; 2 × Mini Carnations Red; 1 × Red Vase</t>
        </is>
      </c>
      <c r="H257" s="30" t="inlineStr">
        <is>
          <t>2 × Roses Red; 3 × Chrysanthemum Spray White; 3 × Carnation Pink; 2 × Ruscus Israeli; 1 × Greeting Card; 1 × Small Chocolates; 2 × Mini Carnations Red; 1 × Red Vase</t>
        </is>
      </c>
      <c r="I257" s="30" t="inlineStr">
        <is>
          <t>2 × Roses Red; 3 × Chrysanthemum Spray White; 3 × Carnation Pink; 2 × Ruscus Israeli; 1 × Greeting Card; 1 × Small Chocolates; 2 × Mini Carnations Red; 1 × Red Vase</t>
        </is>
      </c>
      <c r="J257" s="30" t="inlineStr">
        <is>
          <t>2 × Ruscus Israeli; 1 × Red Vase; 2 × Mini Carnations Red; 1 × Small Chocolates; 1 × Greeting Card; 3 × Carnation Pink; 3 × Chrysanthemum Spray White; 2 × Roses Red</t>
        </is>
      </c>
      <c r="K257" s="30" t="inlineStr">
        <is>
          <t>Y</t>
        </is>
      </c>
      <c r="L257" s="30" t="n"/>
      <c r="M257" s="30" t="inlineStr">
        <is>
          <t>A fresh arrangement of 3 pink carnations, 3 white spray chrysanthemums and 2 red roses in a red vase, plus a greeting card and a box of small chocolates. Chosen for an anniversary or a thank-you, it is a gift that says you care.</t>
        </is>
      </c>
      <c r="N257" s="30">
        <f>LEN(TRIM(SUBSTITUTE(M257,CHAR(10)," ")))-LEN(SUBSTITUTE(TRIM(SUBSTITUTE(M257,CHAR(10)," "))," ",""))+1</f>
        <v/>
      </c>
      <c r="O257" s="30" t="inlineStr">
        <is>
          <t>&lt;p&gt;A fresh arrangement of 3 pink carnations, 3 white spray chrysanthemums and 2 red roses in a red vase, plus a greeting card and a box of small chocolates. Chosen for an anniversary or a thank-you, it is a gift that says you care.&lt;/p&gt;</t>
        </is>
      </c>
      <c r="P257" s="29" t="inlineStr">
        <is>
          <t>ok</t>
        </is>
      </c>
      <c r="Q257" s="30" t="inlineStr">
        <is>
          <t>Hugs and Kisses III brings together 3 pink carnations, 3 white spray chrysanthemums and 2 red roses, arranged in a red vase, plus a greeting card and a box of small chocolates. It suits an anniversary or a thank-you.
Red tones say love and devotion. We hand-arrange each one at Aussie Blooms so it looks the way you pictured it, ready for the kitchen bench.</t>
        </is>
      </c>
      <c r="R257" s="30" t="inlineStr">
        <is>
          <t>&lt;p&gt;Hugs and Kisses III brings together 3 pink carnations, 3 white spray chrysanthemums and 2 red roses, arranged in a red vase, plus a greeting card and a box of small chocolates. It suits an anniversary or a thank-you.&lt;/p&gt;&lt;p&gt;Red tones say love and devotion. We hand-arrange each one at Aussie Blooms so it looks the way you pictured it, ready for the kitchen bench.&lt;/p&gt;</t>
        </is>
      </c>
      <c r="S257" s="29" t="inlineStr">
        <is>
          <t>ok</t>
        </is>
      </c>
      <c r="T257" s="30" t="inlineStr">
        <is>
          <t>The bunch holds: 3 pink carnations, 3 white spray chrysanthemums and 2 red roses in a red vase, plus a greeting card and a box of small chocolates. The classic, handed over without a single word of explanation.</t>
        </is>
      </c>
      <c r="U257" s="30" t="inlineStr">
        <is>
          <t>&lt;p&gt;The bunch holds: 3 pink carnations, 3 white spray chrysanthemums and 2 red roses in a red vase, plus a greeting card and a box of small chocolates. The classic, handed over without a single word of explanation.&lt;/p&gt;</t>
        </is>
      </c>
      <c r="V257" s="29" t="inlineStr">
        <is>
          <t>ok</t>
        </is>
      </c>
      <c r="W257" s="30" t="n"/>
      <c r="X257" s="30" t="inlineStr">
        <is>
          <t>n/a (Mel's: mason jar products only)</t>
        </is>
      </c>
      <c r="Y257" s="30" t="n"/>
      <c r="Z257" s="48" t="inlineStr">
        <is>
          <t>-</t>
        </is>
      </c>
      <c r="AA257" t="n">
        <v>151</v>
      </c>
      <c r="AB257" s="44" t="n">
        <v>6226.06</v>
      </c>
      <c r="AC257" t="n">
        <v>61</v>
      </c>
      <c r="AD257" s="45" t="n">
        <v>0.0007133624748855231</v>
      </c>
      <c r="AE257" s="45" t="n">
        <v>0.001776983012354584</v>
      </c>
      <c r="AF257" t="n">
        <v>73</v>
      </c>
    </row>
    <row r="258" ht="109.5" customHeight="1" s="24">
      <c r="A258" s="30" t="inlineStr">
        <is>
          <t>LF15-10D</t>
        </is>
      </c>
      <c r="B258" s="30" t="inlineStr">
        <is>
          <t>Hugs and Kisses IV</t>
        </is>
      </c>
      <c r="C258" s="30" t="inlineStr">
        <is>
          <t>Bouquets</t>
        </is>
      </c>
      <c r="D258" s="43" t="inlineStr">
        <is>
          <t>READY TO REVIEW</t>
        </is>
      </c>
      <c r="E258" s="30" t="inlineStr">
        <is>
          <t>A tender mix of 19 carnations, 12 chrysanthemums and 8 roses, arranged to wrap someone in warmth. This hugs and kisses bouquet makes a sweet gesture for an anniversary, birthday or a loving just-because moment.</t>
        </is>
      </c>
      <c r="F258" s="30" t="inlineStr">
        <is>
          <t>Shopify (28 Sep)</t>
        </is>
      </c>
      <c r="G258" s="30" t="inlineStr">
        <is>
          <t>2 × Roses Red; 3 × Chrysanthemum Spray White; 3 × Carnation Pink; 2 × Ruscus Israeli; 1 × Teddy Bear; 1 × Greeting Card; 2 × Mini Carnations Red; 1 × Small Chocolates</t>
        </is>
      </c>
      <c r="H258" s="30" t="inlineStr">
        <is>
          <t>2 × Roses Red; 3 × Chrysanthemum Spray White; 3 × Carnation Pink; 2 × Ruscus Israeli; 1 × Teddy Bear; 1 × Greeting Card; 2 × Mini Carnations Red; 1 × Small Chocolates</t>
        </is>
      </c>
      <c r="I258" s="30" t="inlineStr">
        <is>
          <t>2 × Roses Red; 3 × Chrysanthemum Spray White; 3 × Carnation Pink; 2 × Ruscus Israeli; 1 × Teddy Bear; 1 × Greeting Card; 2 × Mini Carnations Red; 1 × Small Chocolates</t>
        </is>
      </c>
      <c r="J258" s="30" t="inlineStr">
        <is>
          <t>2 × Ruscus Israeli; 1 × Small Chocolates; 2 × Mini Carnations Red; 1 × Greeting Card; 1 × Teddy Bear; 3 × Carnation Pink; 3 × Chrysanthemum Spray White; 2 × Roses Red</t>
        </is>
      </c>
      <c r="K258" s="30" t="inlineStr">
        <is>
          <t>Y</t>
        </is>
      </c>
      <c r="L258" s="30" t="n"/>
      <c r="M258" s="30" t="inlineStr">
        <is>
          <t>A fresh arrangement of 3 pink carnations, 3 white spray chrysanthemums and 2 red roses, plus a teddy bear, a greeting card and a box of small chocolates. A lovely way to mark an anniversary or a thank-you.</t>
        </is>
      </c>
      <c r="N258" s="30">
        <f>LEN(TRIM(SUBSTITUTE(M258,CHAR(10)," ")))-LEN(SUBSTITUTE(TRIM(SUBSTITUTE(M258,CHAR(10)," "))," ",""))+1</f>
        <v/>
      </c>
      <c r="O258" s="30" t="inlineStr">
        <is>
          <t>&lt;p&gt;A fresh arrangement of 3 pink carnations, 3 white spray chrysanthemums and 2 red roses, plus a teddy bear, a greeting card and a box of small chocolates. A lovely way to mark an anniversary or a thank-you.&lt;/p&gt;</t>
        </is>
      </c>
      <c r="P258" s="29" t="inlineStr">
        <is>
          <t>ok</t>
        </is>
      </c>
      <c r="Q258" s="30" t="inlineStr">
        <is>
          <t>Hugs and Kisses IV brings together 3 pink carnations, 3 white spray chrysanthemums and 2 red roses, plus a teddy bear, a greeting card and a box of small chocolates. It suits an anniversary or a thank-you.
Red tones say love and devotion. We hand-arrange each one at Aussie Blooms so it looks the way you pictured it, ready for the bedside table.</t>
        </is>
      </c>
      <c r="R258" s="30" t="inlineStr">
        <is>
          <t>&lt;p&gt;Hugs and Kisses IV brings together 3 pink carnations, 3 white spray chrysanthemums and 2 red roses, plus a teddy bear, a greeting card and a box of small chocolates. It suits an anniversary or a thank-you.&lt;/p&gt;&lt;p&gt;Red tones say love and devotion. We hand-arrange each one at Aussie Blooms so it looks the way you pictured it, ready for the bedside table.&lt;/p&gt;</t>
        </is>
      </c>
      <c r="S258" s="29" t="inlineStr">
        <is>
          <t>ok</t>
        </is>
      </c>
      <c r="T258" s="30" t="inlineStr">
        <is>
          <t>The bunch holds: 3 pink carnations, 3 white spray chrysanthemums and 2 red roses, plus a teddy bear, a greeting card and a box of small chocolates. The classic, handed over without a single word of explanation.</t>
        </is>
      </c>
      <c r="U258" s="30" t="inlineStr">
        <is>
          <t>&lt;p&gt;The bunch holds: 3 pink carnations, 3 white spray chrysanthemums and 2 red roses, plus a teddy bear, a greeting card and a box of small chocolates. The classic, handed over without a single word of explanation.&lt;/p&gt;</t>
        </is>
      </c>
      <c r="V258" s="29" t="inlineStr">
        <is>
          <t>ok</t>
        </is>
      </c>
      <c r="W258" s="30" t="n"/>
      <c r="X258" s="30" t="inlineStr">
        <is>
          <t>n/a (Mel's: mason jar products only)</t>
        </is>
      </c>
      <c r="Y258" s="30" t="n"/>
      <c r="Z258" s="48" t="inlineStr">
        <is>
          <t>-</t>
        </is>
      </c>
      <c r="AA258" t="n">
        <v>107</v>
      </c>
      <c r="AB258" s="44" t="n">
        <v>13034.19</v>
      </c>
      <c r="AC258" t="n">
        <v>141</v>
      </c>
      <c r="AD258" s="45" t="n">
        <v>0.001493417908535684</v>
      </c>
      <c r="AE258" s="45" t="n">
        <v>0.003720097912691423</v>
      </c>
      <c r="AF258" t="n">
        <v>51</v>
      </c>
    </row>
    <row r="259" ht="109.5" customHeight="1" s="24">
      <c r="A259" s="30" t="inlineStr">
        <is>
          <t>HF-01</t>
        </is>
      </c>
      <c r="B259" s="30" t="inlineStr">
        <is>
          <t>Hearts Delight</t>
        </is>
      </c>
      <c r="C259" s="30" t="inlineStr">
        <is>
          <t>Bouquets</t>
        </is>
      </c>
      <c r="D259" s="43" t="inlineStr">
        <is>
          <t>READY TO REVIEW</t>
        </is>
      </c>
      <c r="E259" s="30" t="inlineStr">
        <is>
          <t>A generous gathering of 19 roses, 16 alstroemeria and 11 carnations, Hearts Delight is a layered celebration of colour and fragrance. With every bloom hand-arranged for lasting beauty, it's a heartfelt way to mark an anniversary or birthday and tell someone just how much they mean.</t>
        </is>
      </c>
      <c r="F259" s="30" t="inlineStr">
        <is>
          <t>Shopify (28 Sep)</t>
        </is>
      </c>
      <c r="G259" s="30" t="inlineStr">
        <is>
          <t>2 × Roses Spray Red; 3 × Roses Red; 1 × Baby's Breath; 2 × Ruscus Israeli; 2 × Mini Carnations Pink; 3 × Alstroemeria White</t>
        </is>
      </c>
      <c r="H259" s="30" t="inlineStr">
        <is>
          <t>2 × Roses Spray Red; 3 × Roses Red; 1 × Baby's Breath; 2 × Ruscus Israeli; 2 × Mini Carnations Pink; 3 × Alstroemeria White</t>
        </is>
      </c>
      <c r="I259" s="30" t="inlineStr">
        <is>
          <t>2 × Roses Spray Red; 3 × Roses Red; 1 × Baby's Breath; 2 × Ruscus Israeli; 2 × Mini Carnations Pink; 3 × Alstroemeria White</t>
        </is>
      </c>
      <c r="J259" s="30" t="inlineStr">
        <is>
          <t>1 × Baby's Breath; 3 × Alstroemeria White; 2 × Mini Carnations Pink; 2 × Ruscus Israeli; 3 × Roses Red; 2 × Roses Spray Red</t>
        </is>
      </c>
      <c r="K259" s="30" t="inlineStr">
        <is>
          <t>Y</t>
        </is>
      </c>
      <c r="L259" s="30" t="n"/>
      <c r="M259" s="30" t="inlineStr">
        <is>
          <t>A florist-designed bouquet of 3 red roses, 3 white alstroemeria and 2 red spray roses. Chosen for an anniversary or a thank-you, it is a gift that says you care.</t>
        </is>
      </c>
      <c r="N259" s="30">
        <f>LEN(TRIM(SUBSTITUTE(M259,CHAR(10)," ")))-LEN(SUBSTITUTE(TRIM(SUBSTITUTE(M259,CHAR(10)," "))," ",""))+1</f>
        <v/>
      </c>
      <c r="O259" s="30" t="inlineStr">
        <is>
          <t>&lt;p&gt;A florist-designed bouquet of 3 red roses, 3 white alstroemeria and 2 red spray roses. Chosen for an anniversary or a thank-you, it is a gift that says you care.&lt;/p&gt;</t>
        </is>
      </c>
      <c r="P259" s="29" t="inlineStr">
        <is>
          <t>ok</t>
        </is>
      </c>
      <c r="Q259" s="30" t="inlineStr">
        <is>
          <t>Hearts Delight brings together 3 red roses, 3 white alstroemeria and 2 red spray roses. It suits an anniversary or a thank-you.
Red tones say love and devotion. We hand-arrange each one at Aussie Blooms so it looks the way you pictured it, ready for the bedside table.</t>
        </is>
      </c>
      <c r="R259" s="30" t="inlineStr">
        <is>
          <t>&lt;p&gt;Hearts Delight brings together 3 red roses, 3 white alstroemeria and 2 red spray roses. It suits an anniversary or a thank-you.&lt;/p&gt;&lt;p&gt;Red tones say love and devotion. We hand-arrange each one at Aussie Blooms so it looks the way you pictured it, ready for the bedside table.&lt;/p&gt;</t>
        </is>
      </c>
      <c r="S259" s="29" t="inlineStr">
        <is>
          <t>ok</t>
        </is>
      </c>
      <c r="T259" s="30" t="inlineStr">
        <is>
          <t>Inside the bunch: 3 red roses, 3 white alstroemeria and 2 red spray roses. Say it with flowers, and let the flowers do the talking.</t>
        </is>
      </c>
      <c r="U259" s="30" t="inlineStr">
        <is>
          <t>&lt;p&gt;Inside the bunch: 3 red roses, 3 white alstroemeria and 2 red spray roses. Say it with flowers, and let the flowers do the talking.&lt;/p&gt;</t>
        </is>
      </c>
      <c r="V259" s="29" t="inlineStr">
        <is>
          <t>ok</t>
        </is>
      </c>
      <c r="W259" s="30" t="n"/>
      <c r="X259" s="30" t="inlineStr">
        <is>
          <t>n/a (Mel's: mason jar products only)</t>
        </is>
      </c>
      <c r="Y259" s="30" t="n"/>
      <c r="Z259" s="48" t="inlineStr">
        <is>
          <t>-</t>
        </is>
      </c>
      <c r="AA259" t="n">
        <v>52</v>
      </c>
      <c r="AB259" s="44" t="n">
        <v>42789.69</v>
      </c>
      <c r="AC259" t="n">
        <v>478</v>
      </c>
      <c r="AD259" s="45" t="n">
        <v>0.004902712509166619</v>
      </c>
      <c r="AE259" s="45" t="n">
        <v>0.0122126368430656</v>
      </c>
      <c r="AF259" t="n">
        <v>21</v>
      </c>
    </row>
    <row r="260" ht="109.5" customHeight="1" s="24">
      <c r="A260" s="30" t="inlineStr">
        <is>
          <t>SB-01M</t>
        </is>
      </c>
      <c r="B260" s="30" t="inlineStr">
        <is>
          <t>Sweet Blossom in Mason Flowers</t>
        </is>
      </c>
      <c r="C260" s="30" t="inlineStr">
        <is>
          <t>Bouquets</t>
        </is>
      </c>
      <c r="D260" s="43" t="inlineStr">
        <is>
          <t>READY TO REVIEW</t>
        </is>
      </c>
      <c r="E260" s="30" t="n"/>
      <c r="F260" s="30" t="inlineStr">
        <is>
          <t>none</t>
        </is>
      </c>
      <c r="G260" s="30" t="inlineStr">
        <is>
          <t>4 × Chrysanthemum Daisies White; 4 × Chrysanthemum Daisies Lavender; 2 × Ruscus Israeli; 1 × Greeting Card; 1 × Mason Jar</t>
        </is>
      </c>
      <c r="H260" s="30" t="inlineStr">
        <is>
          <t>4 × Chrysanthemum Daisies White; 4 × Chrysanthemum Daisies Lavender; 2 × Ruscus Israeli; 1 × Greeting Card; 1 × Mason Jar</t>
        </is>
      </c>
      <c r="I260" s="30" t="inlineStr">
        <is>
          <t>4 × Chrysanthemum Daisies White; 4 × Chrysanthemum Daisies Lavender; 2 × Ruscus Israeli; 1 × Greeting Card; 1 × Mason Jar</t>
        </is>
      </c>
      <c r="J260" s="30" t="inlineStr">
        <is>
          <t>2 × Ruscus Israeli; 1 × Mason Jar; 1 × Greeting Card; 4 × Chrysanthemum Daisies Lavender; 4 × Chrysanthemum Daisies White</t>
        </is>
      </c>
      <c r="K260" s="30" t="inlineStr">
        <is>
          <t>N</t>
        </is>
      </c>
      <c r="L260" s="30" t="n"/>
      <c r="M260" s="30" t="inlineStr">
        <is>
          <t>A hand-arranged mason jar bouquet of 4 lavender chrysanthemum daisies and 4 white chrysanthemum daisies, plus a greeting card. A thoughtful choice for a birthday, a thank-you or a just-because moment, with a mason jar to keep once the flowers are gone.</t>
        </is>
      </c>
      <c r="N260" s="30">
        <f>LEN(TRIM(SUBSTITUTE(M260,CHAR(10)," ")))-LEN(SUBSTITUTE(TRIM(SUBSTITUTE(M260,CHAR(10)," "))," ",""))+1</f>
        <v/>
      </c>
      <c r="O260" s="30" t="inlineStr">
        <is>
          <t>&lt;p&gt;A hand-arranged mason jar bouquet of 4 lavender chrysanthemum daisies and 4 white chrysanthemum daisies, plus a greeting card. A thoughtful choice for a birthday, a thank-you or a just-because moment, with a mason jar to keep once the flowers are gone.&lt;/p&gt;</t>
        </is>
      </c>
      <c r="P260" s="29" t="inlineStr">
        <is>
          <t>ok</t>
        </is>
      </c>
      <c r="Q260" s="30" t="inlineStr">
        <is>
          <t>Sweet Blossom in Mason Flowers brings together 4 lavender chrysanthemum daisies and 4 white chrysanthemum daisies, presented in a mason jar you can keep, plus a greeting card. It suits a birthday, a thank-you or a just-because moment.
Lavender tones say thoughtfulness. We hand-arrange each one at Aussie Blooms so it looks the way you pictured it, ready for a Sunday lunch. Stems can vary with the season, while the lavender and white palette stays.</t>
        </is>
      </c>
      <c r="R260" s="30" t="inlineStr">
        <is>
          <t>&lt;p&gt;Sweet Blossom in Mason Flowers brings together 4 lavender chrysanthemum daisies and 4 white chrysanthemum daisies, presented in a mason jar you can keep, plus a greeting card. It suits a birthday, a thank-you or a just-because moment.&lt;/p&gt;&lt;p&gt;Lavender tones say thoughtfulness. We hand-arrange each one at Aussie Blooms so it looks the way you pictured it, ready for a Sunday lunch. Stems can vary with the season, while the lavender and white palette stays.&lt;/p&gt;</t>
        </is>
      </c>
      <c r="S260" s="29" t="inlineStr">
        <is>
          <t>ok</t>
        </is>
      </c>
      <c r="T260" s="30" t="inlineStr">
        <is>
          <t>The jar holds: 4 lavender chrysanthemum daisies and 4 white chrysanthemum daisies, plus a greeting card. Gentle, easy on the eye, and ready for any table you give it.</t>
        </is>
      </c>
      <c r="U260" s="30" t="inlineStr">
        <is>
          <t>&lt;p&gt;The jar holds: 4 lavender chrysanthemum daisies and 4 white chrysanthemum daisies, plus a greeting card. Gentle, easy on the eye, and ready for any table you give it.&lt;/p&gt;</t>
        </is>
      </c>
      <c r="V260" s="29" t="inlineStr">
        <is>
          <t>ok</t>
        </is>
      </c>
      <c r="W260" s="30" t="n"/>
      <c r="X260" s="30" t="inlineStr">
        <is>
          <t>n/a (Mel's: mason jar products only)</t>
        </is>
      </c>
      <c r="Y260" s="30" t="n"/>
      <c r="Z260" s="48" t="inlineStr">
        <is>
          <t>-</t>
        </is>
      </c>
      <c r="AA260" t="inlineStr">
        <is>
          <t>no sales</t>
        </is>
      </c>
      <c r="AB260" s="44" t="n">
        <v>0</v>
      </c>
      <c r="AC260" t="n">
        <v>0</v>
      </c>
      <c r="AD260" s="45" t="n">
        <v>0</v>
      </c>
      <c r="AE260" s="45" t="n">
        <v>0</v>
      </c>
      <c r="AF260" t="inlineStr">
        <is>
          <t>no sales</t>
        </is>
      </c>
    </row>
    <row r="261" ht="109.5" customHeight="1" s="24">
      <c r="A261" s="30" t="inlineStr">
        <is>
          <t>RBC-01B</t>
        </is>
      </c>
      <c r="B261" s="30" t="inlineStr">
        <is>
          <t>Bunches White Collection II</t>
        </is>
      </c>
      <c r="C261" s="30" t="inlineStr">
        <is>
          <t>Bouquets</t>
        </is>
      </c>
      <c r="D261" s="43" t="inlineStr">
        <is>
          <t>READY TO REVIEW</t>
        </is>
      </c>
      <c r="E261" s="30" t="n"/>
      <c r="F261" s="30" t="inlineStr">
        <is>
          <t>none</t>
        </is>
      </c>
      <c r="G261" s="30" t="inlineStr">
        <is>
          <t>3 × Roses White; 1 × Carnations White; 3 × Limonium White; 1 × Mini Carnations White; 1 × Baby's Breath; 2 × Ruscus Israeli; 1 × raffia string; 1 × Brown Craft Paper Wrap; 2 × Ruscus Israeli; 1 × Leather Fern; 2 × Eryngium; 1 × Chrysanthemum Button green</t>
        </is>
      </c>
      <c r="H261" s="30" t="inlineStr">
        <is>
          <t>3 × Roses White; 1 × Carnation White; 3 × Limonium White; 1 × Mini Carnations White; 1 × Baby's Breath; 2 × Ruscus Israeli; 1 × raffia string; 1 × Brown Craft Paper Wrap; 1 × Leather Fern; 2 × Eryngium; 1 × Chrysanthemum Button Green</t>
        </is>
      </c>
      <c r="I261" s="31" t="inlineStr">
        <is>
          <t>3 × Roses White; 1 × Carnation White; 3 × Limonium White; 1 × Mini Carnations White; 1 × Baby's Breath; 2 × Ruscus Israeli; 1 × raffia string; 1 × Brown Craft Paper Wrap; 1 × Leather Fern; 2 × Eryngium; 1 × Chrysanthemum Button Green</t>
        </is>
      </c>
      <c r="J261" s="30" t="inlineStr">
        <is>
          <t>1 × Mini Carnations White; 1 × Chrysanthemum Button Green; 2 × Eryngium; 1 × Leather Fern; 1 × Brown Craft Paper Wrap; 1 × raffia string; 2 × Ruscus Israeli; 1 × Baby's Breath; 3 × Limonium White; 1 × Carnation White; 3 × Roses White</t>
        </is>
      </c>
      <c r="K261" s="30" t="inlineStr">
        <is>
          <t>N</t>
        </is>
      </c>
      <c r="L261" s="30" t="n"/>
      <c r="M261" s="30" t="inlineStr">
        <is>
          <t>A florist-designed bouquet of 3 white roses and 1 white carnation, tied with raffia and wrapped in brown craft paper. Chosen for a birthday, a thank-you or a just-because moment, it says you were thinking of them.</t>
        </is>
      </c>
      <c r="N261" s="30">
        <f>LEN(TRIM(SUBSTITUTE(M261,CHAR(10)," ")))-LEN(SUBSTITUTE(TRIM(SUBSTITUTE(M261,CHAR(10)," "))," ",""))+1</f>
        <v/>
      </c>
      <c r="O261" s="30" t="inlineStr">
        <is>
          <t>&lt;p&gt;A florist-designed bouquet of 3 white roses and 1 white carnation, tied with raffia and wrapped in brown craft paper. Chosen for a birthday, a thank-you or a just-because moment, it says you were thinking of them.&lt;/p&gt;</t>
        </is>
      </c>
      <c r="P261" s="29" t="inlineStr">
        <is>
          <t>ok</t>
        </is>
      </c>
      <c r="Q261" s="30" t="inlineStr">
        <is>
          <t>Bunches White Collection II brings together 3 white roses and 1 white carnation, tied with raffia and wrapped in brown craft paper. It suits a birthday, a thank-you or a just-because moment.
White tones say calm and a fresh start. We hand-arrange each one at Aussie Blooms so it looks the way you pictured it, ready for a summer table.</t>
        </is>
      </c>
      <c r="R261" s="30" t="inlineStr">
        <is>
          <t>&lt;p&gt;Bunches White Collection II brings together 3 white roses and 1 white carnation, tied with raffia and wrapped in brown craft paper. It suits a birthday, a thank-you or a just-because moment.&lt;/p&gt;&lt;p&gt;White tones say calm and a fresh start. We hand-arrange each one at Aussie Blooms so it looks the way you pictured it, ready for a summer table.&lt;/p&gt;</t>
        </is>
      </c>
      <c r="S261" s="29" t="inlineStr">
        <is>
          <t>ok</t>
        </is>
      </c>
      <c r="T261" s="30" t="inlineStr">
        <is>
          <t>Inside the bunch: 3 white roses and 1 white carnation, tied with raffia and wrapped in brown craft paper. Calm colour for the kind of day that deserves a pause.</t>
        </is>
      </c>
      <c r="U261" s="30" t="inlineStr">
        <is>
          <t>&lt;p&gt;Inside the bunch: 3 white roses and 1 white carnation, tied with raffia and wrapped in brown craft paper. Calm colour for the kind of day that deserves a pause.&lt;/p&gt;</t>
        </is>
      </c>
      <c r="V261" s="29" t="inlineStr">
        <is>
          <t>ok</t>
        </is>
      </c>
      <c r="W261" s="30" t="n"/>
      <c r="X261" s="30" t="inlineStr">
        <is>
          <t>n/a (Mel's: mason jar products only)</t>
        </is>
      </c>
      <c r="Y261" s="30" t="n"/>
      <c r="Z261" s="48" t="inlineStr">
        <is>
          <t>-</t>
        </is>
      </c>
      <c r="AA261" t="inlineStr">
        <is>
          <t>no sales</t>
        </is>
      </c>
      <c r="AB261" s="44" t="n">
        <v>0</v>
      </c>
      <c r="AC261" t="n">
        <v>0</v>
      </c>
      <c r="AD261" s="45" t="n">
        <v>0</v>
      </c>
      <c r="AE261" s="45" t="n">
        <v>0</v>
      </c>
      <c r="AF261" t="inlineStr">
        <is>
          <t>no sales</t>
        </is>
      </c>
    </row>
    <row r="262" ht="109.5" customHeight="1" s="24">
      <c r="A262" s="30" t="inlineStr">
        <is>
          <t>RBC-01C</t>
        </is>
      </c>
      <c r="B262" s="30" t="inlineStr">
        <is>
          <t>Bunches White Collection III</t>
        </is>
      </c>
      <c r="C262" s="30" t="inlineStr">
        <is>
          <t>Bouquets</t>
        </is>
      </c>
      <c r="D262" s="43" t="inlineStr">
        <is>
          <t>READY TO REVIEW</t>
        </is>
      </c>
      <c r="E262" s="30" t="n"/>
      <c r="F262" s="30" t="inlineStr">
        <is>
          <t>none</t>
        </is>
      </c>
      <c r="G262" s="30" t="inlineStr">
        <is>
          <t>4 × Roses White; 1 × Carnations White; 3 × Limonium White; 1 × Mini Carnations White; 1 × Baby's Breath; 2 × Ruscus Israeli; 1 × raffia string; 1 × Brown Craft Paper Wrap; 2 × Ruscus Israeli; 1 × Leather Fern; 2 × Eryngium; 1 × Chrysanthemum Button green</t>
        </is>
      </c>
      <c r="H262" s="30" t="inlineStr">
        <is>
          <t>4 × Roses White; 1 × Carnation White; 3 × Limonium White; 1 × Mini Carnations White; 1 × Baby's Breath; 2 × Ruscus Israeli; 1 × raffia string; 1 × Brown Craft Paper Wrap; 1 × Leather Fern; 2 × Eryngium; 1 × Chrysanthemum Button Green</t>
        </is>
      </c>
      <c r="I262" s="31" t="inlineStr">
        <is>
          <t>4 × Roses White; 1 × Carnation White; 3 × Limonium White; 1 × Mini Carnations White; 1 × Baby's Breath; 2 × Ruscus Israeli; 1 × raffia string; 1 × Brown Craft Paper Wrap; 1 × Leather Fern; 2 × Eryngium; 1 × Chrysanthemum Button Green</t>
        </is>
      </c>
      <c r="J262" s="30" t="inlineStr">
        <is>
          <t>1 × Mini Carnations White; 1 × Chrysanthemum Button Green; 2 × Eryngium; 1 × Leather Fern; 1 × Brown Craft Paper Wrap; 1 × raffia string; 2 × Ruscus Israeli; 1 × Baby's Breath; 3 × Limonium White; 1 × Carnation White; 4 × Roses White</t>
        </is>
      </c>
      <c r="K262" s="30" t="inlineStr">
        <is>
          <t>N</t>
        </is>
      </c>
      <c r="L262" s="30" t="n"/>
      <c r="M262" s="30" t="inlineStr">
        <is>
          <t>A hand-arranged bouquet of 4 white roses and 1 white carnation, tied with raffia and wrapped in brown craft paper. A lovely way to mark a birthday, a thank-you or a just-because moment.</t>
        </is>
      </c>
      <c r="N262" s="30">
        <f>LEN(TRIM(SUBSTITUTE(M262,CHAR(10)," ")))-LEN(SUBSTITUTE(TRIM(SUBSTITUTE(M262,CHAR(10)," "))," ",""))+1</f>
        <v/>
      </c>
      <c r="O262" s="30" t="inlineStr">
        <is>
          <t>&lt;p&gt;A hand-arranged bouquet of 4 white roses and 1 white carnation, tied with raffia and wrapped in brown craft paper. A lovely way to mark a birthday, a thank-you or a just-because moment.&lt;/p&gt;</t>
        </is>
      </c>
      <c r="P262" s="29" t="inlineStr">
        <is>
          <t>ok</t>
        </is>
      </c>
      <c r="Q262" s="30" t="inlineStr">
        <is>
          <t>Bunches White Collection III brings together 4 white roses and 1 white carnation, tied with raffia and wrapped in brown craft paper. It suits a birthday, a thank-you or a just-because moment.
White tones say calm and a fresh start. We hand-arrange each one at Aussie Blooms so it looks the way you pictured it, ready for a summer table.</t>
        </is>
      </c>
      <c r="R262" s="30" t="inlineStr">
        <is>
          <t>&lt;p&gt;Bunches White Collection III brings together 4 white roses and 1 white carnation, tied with raffia and wrapped in brown craft paper. It suits a birthday, a thank-you or a just-because moment.&lt;/p&gt;&lt;p&gt;White tones say calm and a fresh start. We hand-arrange each one at Aussie Blooms so it looks the way you pictured it, ready for a summer table.&lt;/p&gt;</t>
        </is>
      </c>
      <c r="S262" s="29" t="inlineStr">
        <is>
          <t>ok</t>
        </is>
      </c>
      <c r="T262" s="30" t="inlineStr">
        <is>
          <t>In this bunch: 4 white roses and 1 white carnation, tied with raffia and wrapped in brown craft paper. Soft colours that make a quiet room feel looked after.</t>
        </is>
      </c>
      <c r="U262" s="30" t="inlineStr">
        <is>
          <t>&lt;p&gt;In this bunch: 4 white roses and 1 white carnation, tied with raffia and wrapped in brown craft paper. Soft colours that make a quiet room feel looked after.&lt;/p&gt;</t>
        </is>
      </c>
      <c r="V262" s="29" t="inlineStr">
        <is>
          <t>ok</t>
        </is>
      </c>
      <c r="W262" s="30" t="n"/>
      <c r="X262" s="30" t="inlineStr">
        <is>
          <t>n/a (Mel's: mason jar products only)</t>
        </is>
      </c>
      <c r="Y262" s="30" t="n"/>
      <c r="Z262" s="48" t="inlineStr">
        <is>
          <t>-</t>
        </is>
      </c>
      <c r="AA262" t="inlineStr">
        <is>
          <t>no sales</t>
        </is>
      </c>
      <c r="AB262" s="44" t="n">
        <v>0</v>
      </c>
      <c r="AC262" t="n">
        <v>0</v>
      </c>
      <c r="AD262" s="45" t="n">
        <v>0</v>
      </c>
      <c r="AE262" s="45" t="n">
        <v>0</v>
      </c>
      <c r="AF262" t="inlineStr">
        <is>
          <t>no sales</t>
        </is>
      </c>
    </row>
    <row r="263" ht="109.5" customHeight="1" s="24">
      <c r="A263" s="30" t="inlineStr">
        <is>
          <t>RBC-01D</t>
        </is>
      </c>
      <c r="B263" s="30" t="inlineStr">
        <is>
          <t>Bunches White Collection IV</t>
        </is>
      </c>
      <c r="C263" s="30" t="inlineStr">
        <is>
          <t>Bouquets</t>
        </is>
      </c>
      <c r="D263" s="43" t="inlineStr">
        <is>
          <t>READY TO REVIEW</t>
        </is>
      </c>
      <c r="E263" s="30" t="n"/>
      <c r="F263" s="30" t="inlineStr">
        <is>
          <t>none</t>
        </is>
      </c>
      <c r="G263" s="30" t="inlineStr">
        <is>
          <t>5 × Roses White; 1 × Carnations White; 3 × Limonium White; 1 × Mini Carnations White; 1 × Baby's Breath; 2 × Ruscus Israeli; 1 × raffia string; 1 × Brown Craft Paper Wrap; 2 × Ruscus Israeli; 1 × Leather Fern; 2 × Eryngium; 1 × Chrysanthemum Button green</t>
        </is>
      </c>
      <c r="H263" s="30" t="inlineStr">
        <is>
          <t>5 × Roses White; 1 × Carnation White; 3 × Limonium White; 1 × Mini Carnations White; 1 × Baby's Breath; 2 × Ruscus Israeli; 1 × raffia string; 1 × Brown Craft Paper Wrap; 1 × Leather Fern; 2 × Eryngium; 1 × Chrysanthemum Button Green</t>
        </is>
      </c>
      <c r="I263" s="31" t="inlineStr">
        <is>
          <t>5 × Roses White; 1 × Carnation White; 3 × Limonium White; 1 × Mini Carnations White; 1 × Baby's Breath; 2 × Ruscus Israeli; 1 × raffia string; 1 × Brown Craft Paper Wrap; 1 × Leather Fern; 2 × Eryngium; 1 × Chrysanthemum Button Green</t>
        </is>
      </c>
      <c r="J263" s="30" t="inlineStr">
        <is>
          <t>1 × Mini Carnations White; 1 × Chrysanthemum Button Green; 2 × Eryngium; 1 × Leather Fern; 1 × Brown Craft Paper Wrap; 1 × raffia string; 2 × Ruscus Israeli; 1 × Baby's Breath; 3 × Limonium White; 1 × Carnation White; 5 × Roses White</t>
        </is>
      </c>
      <c r="K263" s="30" t="inlineStr">
        <is>
          <t>N</t>
        </is>
      </c>
      <c r="L263" s="30" t="n"/>
      <c r="M263" s="30" t="inlineStr">
        <is>
          <t>A florist-designed bouquet of 5 white roses and 1 white carnation, tied with raffia and wrapped in brown craft paper. Chosen for a birthday, a thank-you or a just-because moment, it is a gift that says you care.</t>
        </is>
      </c>
      <c r="N263" s="30">
        <f>LEN(TRIM(SUBSTITUTE(M263,CHAR(10)," ")))-LEN(SUBSTITUTE(TRIM(SUBSTITUTE(M263,CHAR(10)," "))," ",""))+1</f>
        <v/>
      </c>
      <c r="O263" s="30" t="inlineStr">
        <is>
          <t>&lt;p&gt;A florist-designed bouquet of 5 white roses and 1 white carnation, tied with raffia and wrapped in brown craft paper. Chosen for a birthday, a thank-you or a just-because moment, it is a gift that says you care.&lt;/p&gt;</t>
        </is>
      </c>
      <c r="P263" s="29" t="inlineStr">
        <is>
          <t>ok</t>
        </is>
      </c>
      <c r="Q263" s="30" t="inlineStr">
        <is>
          <t>Bunches White Collection IV brings together 5 white roses and 1 white carnation, tied with raffia and wrapped in brown craft paper. It suits a birthday, a thank-you or a just-because moment.
White tones say calm and a fresh start. We hand-arrange each one at Aussie Blooms so it looks the way you pictured it, ready for the bedside table.</t>
        </is>
      </c>
      <c r="R263" s="30" t="inlineStr">
        <is>
          <t>&lt;p&gt;Bunches White Collection IV brings together 5 white roses and 1 white carnation, tied with raffia and wrapped in brown craft paper. It suits a birthday, a thank-you or a just-because moment.&lt;/p&gt;&lt;p&gt;White tones say calm and a fresh start. We hand-arrange each one at Aussie Blooms so it looks the way you pictured it, ready for the bedside table.&lt;/p&gt;</t>
        </is>
      </c>
      <c r="S263" s="29" t="inlineStr">
        <is>
          <t>ok</t>
        </is>
      </c>
      <c r="T263" s="30" t="inlineStr">
        <is>
          <t>Inside the bunch: 5 white roses and 1 white carnation, tied with raffia and wrapped in brown craft paper. Calm colour for the kind of day that deserves a pause.</t>
        </is>
      </c>
      <c r="U263" s="30" t="inlineStr">
        <is>
          <t>&lt;p&gt;Inside the bunch: 5 white roses and 1 white carnation, tied with raffia and wrapped in brown craft paper. Calm colour for the kind of day that deserves a pause.&lt;/p&gt;</t>
        </is>
      </c>
      <c r="V263" s="29" t="inlineStr">
        <is>
          <t>ok</t>
        </is>
      </c>
      <c r="W263" s="30" t="n"/>
      <c r="X263" s="30" t="inlineStr">
        <is>
          <t>n/a (Mel's: mason jar products only)</t>
        </is>
      </c>
      <c r="Y263" s="30" t="n"/>
      <c r="Z263" s="48" t="inlineStr">
        <is>
          <t>-</t>
        </is>
      </c>
      <c r="AA263" t="inlineStr">
        <is>
          <t>no sales</t>
        </is>
      </c>
      <c r="AB263" s="44" t="n">
        <v>0</v>
      </c>
      <c r="AC263" t="n">
        <v>0</v>
      </c>
      <c r="AD263" s="45" t="n">
        <v>0</v>
      </c>
      <c r="AE263" s="45" t="n">
        <v>0</v>
      </c>
      <c r="AF263" t="inlineStr">
        <is>
          <t>no sales</t>
        </is>
      </c>
    </row>
    <row r="264" ht="109.5" customHeight="1" s="24">
      <c r="A264" s="30" t="inlineStr">
        <is>
          <t>RBC-02A</t>
        </is>
      </c>
      <c r="B264" s="30" t="inlineStr">
        <is>
          <t>Bunches Purply Pink Collection I</t>
        </is>
      </c>
      <c r="C264" s="30" t="inlineStr">
        <is>
          <t>Bouquets</t>
        </is>
      </c>
      <c r="D264" s="43" t="inlineStr">
        <is>
          <t>READY TO REVIEW</t>
        </is>
      </c>
      <c r="E264" s="30" t="n"/>
      <c r="F264" s="30" t="inlineStr">
        <is>
          <t>none</t>
        </is>
      </c>
      <c r="G264" s="30" t="inlineStr">
        <is>
          <t>4 × Roses Pink; 3 × Carnations Purple; 1 × Limonium Pink; 2 × Mini Carnations Purple; 1 × Baby's Breath; 2 × Ruscus Israeli; 1 × raffia string; 1 × Brown Craft Paper Wrap; 2 × Ruscus Israeli; 1 × Leather Fern; 2 × Eryngium; 1 × Chrysanthemum Button Pink</t>
        </is>
      </c>
      <c r="H264" s="30" t="inlineStr">
        <is>
          <t>4 × Roses Pink; 1 × Limonium Pink; 2 × Mini Carnations Purple; 1 × Baby's Breath; 2 × Ruscus Israeli; 1 × raffia string; 1 × Brown Craft Paper Wrap; 1 × Leather Fern; 2 × Eryngium; 1 × Chrysanthemum button Pink</t>
        </is>
      </c>
      <c r="I264" s="31" t="inlineStr">
        <is>
          <t>4 × Roses Pink; 1 × Limonium Pink; 2 × Mini Carnations Purple; 1 × Baby's Breath; 2 × Ruscus Israeli; 1 × raffia string; 1 × Brown Craft Paper Wrap; 1 × Leather Fern; 2 × Eryngium; 1 × Chrysanthemum button Pink</t>
        </is>
      </c>
      <c r="J264" s="30" t="inlineStr">
        <is>
          <t>2 × Mini Carnations Purple; 1 × Chrysanthemum button Pink; 2 × Eryngium; 1 × Leather Fern; 1 × Brown Craft Paper Wrap; 1 × raffia string; 2 × Ruscus Israeli; 1 × Baby's Breath; 1 × Limonium Pink; 4 × Roses Pink</t>
        </is>
      </c>
      <c r="K264" s="30" t="inlineStr">
        <is>
          <t>N</t>
        </is>
      </c>
      <c r="L264" s="30" t="n"/>
      <c r="M264" s="30" t="inlineStr">
        <is>
          <t>A florist-designed bouquet of 4 pink roses, tied with raffia and wrapped in brown craft paper. Chosen for a birthday, a thank-you or a just-because moment, it is a gift that says you care.</t>
        </is>
      </c>
      <c r="N264" s="30">
        <f>LEN(TRIM(SUBSTITUTE(M264,CHAR(10)," ")))-LEN(SUBSTITUTE(TRIM(SUBSTITUTE(M264,CHAR(10)," "))," ",""))+1</f>
        <v/>
      </c>
      <c r="O264" s="30" t="inlineStr">
        <is>
          <t>&lt;p&gt;A florist-designed bouquet of 4 pink roses, tied with raffia and wrapped in brown craft paper. Chosen for a birthday, a thank-you or a just-because moment, it is a gift that says you care.&lt;/p&gt;</t>
        </is>
      </c>
      <c r="P264" s="29" t="inlineStr">
        <is>
          <t>ok</t>
        </is>
      </c>
      <c r="Q264" s="30" t="inlineStr">
        <is>
          <t>Bunches Purply Pink Collection I brings together 4 pink roses, tied with raffia and wrapped in brown craft paper. It suits a birthday, a thank-you or a just-because moment.
Pink tones say affection. We hand-arrange each one at Aussie Blooms so it looks the way you pictured it, ready for the bedside table.</t>
        </is>
      </c>
      <c r="R264" s="30" t="inlineStr">
        <is>
          <t>&lt;p&gt;Bunches Purply Pink Collection I brings together 4 pink roses, tied with raffia and wrapped in brown craft paper. It suits a birthday, a thank-you or a just-because moment.&lt;/p&gt;&lt;p&gt;Pink tones say affection. We hand-arrange each one at Aussie Blooms so it looks the way you pictured it, ready for the bedside table.&lt;/p&gt;</t>
        </is>
      </c>
      <c r="S264" s="29" t="inlineStr">
        <is>
          <t>ok</t>
        </is>
      </c>
      <c r="T264" s="30" t="inlineStr">
        <is>
          <t>Inside the bunch: 4 pink roses, tied with raffia and wrapped in brown craft paper. Calm colour for the kind of day that deserves a pause.</t>
        </is>
      </c>
      <c r="U264" s="30" t="inlineStr">
        <is>
          <t>&lt;p&gt;Inside the bunch: 4 pink roses, tied with raffia and wrapped in brown craft paper. Calm colour for the kind of day that deserves a pause.&lt;/p&gt;</t>
        </is>
      </c>
      <c r="V264" s="29" t="inlineStr">
        <is>
          <t>ok</t>
        </is>
      </c>
      <c r="W264" s="30" t="n"/>
      <c r="X264" s="30" t="inlineStr">
        <is>
          <t>n/a (Mel's: mason jar products only)</t>
        </is>
      </c>
      <c r="Y264" s="30" t="n"/>
      <c r="Z264" s="48" t="inlineStr">
        <is>
          <t>-</t>
        </is>
      </c>
      <c r="AA264" t="inlineStr">
        <is>
          <t>no sales</t>
        </is>
      </c>
      <c r="AB264" s="44" t="n">
        <v>0</v>
      </c>
      <c r="AC264" t="n">
        <v>0</v>
      </c>
      <c r="AD264" s="45" t="n">
        <v>0</v>
      </c>
      <c r="AE264" s="45" t="n">
        <v>0</v>
      </c>
      <c r="AF264" t="inlineStr">
        <is>
          <t>no sales</t>
        </is>
      </c>
    </row>
    <row r="265" ht="109.5" customHeight="1" s="24">
      <c r="A265" s="30" t="inlineStr">
        <is>
          <t>RBC-02B</t>
        </is>
      </c>
      <c r="B265" s="30" t="inlineStr">
        <is>
          <t>Bunches Purply Pink Collection II</t>
        </is>
      </c>
      <c r="C265" s="30" t="inlineStr">
        <is>
          <t>Bouquets</t>
        </is>
      </c>
      <c r="D265" s="43" t="inlineStr">
        <is>
          <t>READY TO REVIEW</t>
        </is>
      </c>
      <c r="E265" s="30" t="n"/>
      <c r="F265" s="30" t="inlineStr">
        <is>
          <t>none</t>
        </is>
      </c>
      <c r="G265" s="30" t="inlineStr">
        <is>
          <t>5 × Roses Pink; 3 × Carnations Purple; 1 × Limonium Pink; 2 × Mini Carnations Purple; 1 × Baby's Breath; 2 × Ruscus Israeli; 1 × raffia string; 1 × Brown Craft Paper Wrap; 2 × Ruscus Israeli; 1 × Leather Fern; 2 × Eryngium; 1 × Chrysanthemum Button Pink</t>
        </is>
      </c>
      <c r="H265" s="30" t="inlineStr">
        <is>
          <t>5 × Roses Pink; 1 × Limonium Pink; 2 × Mini Carnations Purple; 1 × Baby's Breath; 2 × Ruscus Israeli; 1 × raffia string; 1 × Brown Craft Paper Wrap; 1 × Leather Fern; 2 × Eryngium; 1 × Chrysanthemum button Pink</t>
        </is>
      </c>
      <c r="I265" s="31" t="inlineStr">
        <is>
          <t>5 × Roses Pink; 1 × Limonium Pink; 2 × Mini Carnations Purple; 1 × Baby's Breath; 2 × Ruscus Israeli; 1 × raffia string; 1 × Brown Craft Paper Wrap; 1 × Leather Fern; 2 × Eryngium; 1 × Chrysanthemum button Pink</t>
        </is>
      </c>
      <c r="J265" s="30" t="inlineStr">
        <is>
          <t>2 × Mini Carnations Purple; 1 × Chrysanthemum button Pink; 2 × Eryngium; 1 × Leather Fern; 1 × Brown Craft Paper Wrap; 1 × raffia string; 2 × Ruscus Israeli; 1 × Baby's Breath; 1 × Limonium Pink; 5 × Roses Pink</t>
        </is>
      </c>
      <c r="K265" s="30" t="inlineStr">
        <is>
          <t>N</t>
        </is>
      </c>
      <c r="L265" s="30" t="n"/>
      <c r="M265" s="30" t="inlineStr">
        <is>
          <t>A florist-designed bouquet of 5 pink roses, tied with raffia and wrapped in brown craft paper. Chosen for a birthday, a thank-you or a just-because moment, it is a gift that says you care.</t>
        </is>
      </c>
      <c r="N265" s="30">
        <f>LEN(TRIM(SUBSTITUTE(M265,CHAR(10)," ")))-LEN(SUBSTITUTE(TRIM(SUBSTITUTE(M265,CHAR(10)," "))," ",""))+1</f>
        <v/>
      </c>
      <c r="O265" s="30" t="inlineStr">
        <is>
          <t>&lt;p&gt;A florist-designed bouquet of 5 pink roses, tied with raffia and wrapped in brown craft paper. Chosen for a birthday, a thank-you or a just-because moment, it is a gift that says you care.&lt;/p&gt;</t>
        </is>
      </c>
      <c r="P265" s="29" t="inlineStr">
        <is>
          <t>ok</t>
        </is>
      </c>
      <c r="Q265" s="30" t="inlineStr">
        <is>
          <t>Bunches Purply Pink Collection II brings together 5 pink roses, tied with raffia and wrapped in brown craft paper. It suits a birthday, a thank-you or a just-because moment.
Pink tones say affection. We hand-arrange each one at Aussie Blooms so it looks the way you pictured it, ready for the kitchen bench.</t>
        </is>
      </c>
      <c r="R265" s="30" t="inlineStr">
        <is>
          <t>&lt;p&gt;Bunches Purply Pink Collection II brings together 5 pink roses, tied with raffia and wrapped in brown craft paper. It suits a birthday, a thank-you or a just-because moment.&lt;/p&gt;&lt;p&gt;Pink tones say affection. We hand-arrange each one at Aussie Blooms so it looks the way you pictured it, ready for the kitchen bench.&lt;/p&gt;</t>
        </is>
      </c>
      <c r="S265" s="29" t="inlineStr">
        <is>
          <t>ok</t>
        </is>
      </c>
      <c r="T265" s="30" t="inlineStr">
        <is>
          <t>Inside the bunch: 5 pink roses, tied with raffia and wrapped in brown craft paper. Calm colour for the kind of day that deserves a pause.</t>
        </is>
      </c>
      <c r="U265" s="30" t="inlineStr">
        <is>
          <t>&lt;p&gt;Inside the bunch: 5 pink roses, tied with raffia and wrapped in brown craft paper. Calm colour for the kind of day that deserves a pause.&lt;/p&gt;</t>
        </is>
      </c>
      <c r="V265" s="29" t="inlineStr">
        <is>
          <t>ok</t>
        </is>
      </c>
      <c r="W265" s="30" t="n"/>
      <c r="X265" s="30" t="inlineStr">
        <is>
          <t>n/a (Mel's: mason jar products only)</t>
        </is>
      </c>
      <c r="Y265" s="30" t="n"/>
      <c r="Z265" s="48" t="inlineStr">
        <is>
          <t>-</t>
        </is>
      </c>
      <c r="AA265" t="inlineStr">
        <is>
          <t>no sales</t>
        </is>
      </c>
      <c r="AB265" s="44" t="n">
        <v>0</v>
      </c>
      <c r="AC265" t="n">
        <v>0</v>
      </c>
      <c r="AD265" s="45" t="n">
        <v>0</v>
      </c>
      <c r="AE265" s="45" t="n">
        <v>0</v>
      </c>
      <c r="AF265" t="inlineStr">
        <is>
          <t>no sales</t>
        </is>
      </c>
    </row>
    <row r="266" ht="109.5" customHeight="1" s="24">
      <c r="A266" s="30" t="inlineStr">
        <is>
          <t>RBC-02C</t>
        </is>
      </c>
      <c r="B266" s="30" t="inlineStr">
        <is>
          <t>Bunches Purply Pink Collection III</t>
        </is>
      </c>
      <c r="C266" s="30" t="inlineStr">
        <is>
          <t>Bouquets</t>
        </is>
      </c>
      <c r="D266" s="43" t="inlineStr">
        <is>
          <t>READY TO REVIEW</t>
        </is>
      </c>
      <c r="E266" s="30" t="inlineStr">
        <is>
          <t>Nine cheerful gerberas and ten ruffled carnations come together in soft purples and pinks for our Bunches Purply Pink Collection III. Bright yet gentle, it's a lovely way to say congratulations, mark an anniversary or send brighter days to someone who's feeling unwell.</t>
        </is>
      </c>
      <c r="F266" s="30" t="inlineStr">
        <is>
          <t>Shopify (28 Sep)</t>
        </is>
      </c>
      <c r="G266" s="30" t="inlineStr">
        <is>
          <t>6 × Roses Pink; 3 × Carnations Purple; 1 × Limonium Pink; 2 × Mini Carnations Purple; 1 × Baby's Breath; 2 × Ruscus Israeli; 1 × raffia string; 1 × Brown Craft Paper Wrap; 2 × Ruscus Israeli; 1 × Leather Fern; 2 × Eryngium; 1 × Chrysanthemum Button Pink</t>
        </is>
      </c>
      <c r="H266" s="30" t="inlineStr">
        <is>
          <t>6 × Roses Pink; 1 × Limonium Pink; 2 × Mini Carnations Purple; 1 × Baby's Breath; 2 × Ruscus Israeli; 1 × raffia string; 1 × Brown Craft Paper Wrap; 1 × Leather Fern; 2 × Eryngium; 1 × Chrysanthemum button Pink</t>
        </is>
      </c>
      <c r="I266" s="31" t="inlineStr">
        <is>
          <t>6 × Roses Pink; 1 × Limonium Pink; 2 × Mini Carnations Purple; 1 × Baby's Breath; 2 × Ruscus Israeli; 1 × raffia string; 1 × Brown Craft Paper Wrap; 1 × Leather Fern; 2 × Eryngium; 1 × Chrysanthemum button Pink</t>
        </is>
      </c>
      <c r="J266" s="30" t="inlineStr">
        <is>
          <t>2 × Mini Carnations Purple; 1 × Chrysanthemum button Pink; 2 × Eryngium; 1 × Leather Fern; 1 × Brown Craft Paper Wrap; 1 × raffia string; 2 × Ruscus Israeli; 1 × Baby's Breath; 1 × Limonium Pink; 6 × Roses Pink</t>
        </is>
      </c>
      <c r="K266" s="30" t="inlineStr">
        <is>
          <t>Y</t>
        </is>
      </c>
      <c r="L266" s="30" t="inlineStr">
        <is>
          <t>Item not carried ($0) removed per rule I4: 3 x Carnations Purple: ING-1516 is $0 in the catalogue, so it is removed, not replaced || Quantity differs from Jarrod: Israeli ruscus is 2 in the master; Jarrod typed two lines of 2 (4)</t>
        </is>
      </c>
      <c r="M266" s="30" t="inlineStr">
        <is>
          <t>A hand-arranged bouquet of 6 pink roses, tied with raffia and wrapped in brown craft paper. Chosen for a birthday, a thank-you or a just-because moment, it says you were thinking of them.</t>
        </is>
      </c>
      <c r="N266" s="30">
        <f>LEN(TRIM(SUBSTITUTE(M266,CHAR(10)," ")))-LEN(SUBSTITUTE(TRIM(SUBSTITUTE(M266,CHAR(10)," "))," ",""))+1</f>
        <v/>
      </c>
      <c r="O266" s="30" t="inlineStr">
        <is>
          <t>&lt;p&gt;A hand-arranged bouquet of 6 pink roses, tied with raffia and wrapped in brown craft paper. Chosen for a birthday, a thank-you or a just-because moment, it says you were thinking of them.&lt;/p&gt;</t>
        </is>
      </c>
      <c r="P266" s="29" t="inlineStr">
        <is>
          <t>ok</t>
        </is>
      </c>
      <c r="Q266" s="30" t="inlineStr">
        <is>
          <t>Bunches Purply Pink Collection III brings together 6 pink roses, tied with raffia and wrapped in brown craft paper. It suits a birthday, a thank-you or a just-because moment.
Pink tones say affection. We hand-arrange each one at Aussie Blooms so it looks the way you pictured it, ready for the kitchen bench.</t>
        </is>
      </c>
      <c r="R266" s="30" t="inlineStr">
        <is>
          <t>&lt;p&gt;Bunches Purply Pink Collection III brings together 6 pink roses, tied with raffia and wrapped in brown craft paper. It suits a birthday, a thank-you or a just-because moment.&lt;/p&gt;&lt;p&gt;Pink tones say affection. We hand-arrange each one at Aussie Blooms so it looks the way you pictured it, ready for the kitchen bench.&lt;/p&gt;</t>
        </is>
      </c>
      <c r="S266" s="29" t="inlineStr">
        <is>
          <t>ok</t>
        </is>
      </c>
      <c r="T266" s="30" t="inlineStr">
        <is>
          <t>In this bunch: 6 pink roses, tied with raffia and wrapped in brown craft paper. Soft colours that make a quiet room feel looked after.</t>
        </is>
      </c>
      <c r="U266" s="30" t="inlineStr">
        <is>
          <t>&lt;p&gt;In this bunch: 6 pink roses, tied with raffia and wrapped in brown craft paper. Soft colours that make a quiet room feel looked after.&lt;/p&gt;</t>
        </is>
      </c>
      <c r="V266" s="29" t="inlineStr">
        <is>
          <t>ok</t>
        </is>
      </c>
      <c r="W266" s="30" t="n"/>
      <c r="X266" s="30" t="inlineStr">
        <is>
          <t>n/a (Mel's: mason jar products only)</t>
        </is>
      </c>
      <c r="Y266" s="30" t="n"/>
      <c r="Z266" s="48" t="inlineStr">
        <is>
          <t>-</t>
        </is>
      </c>
      <c r="AA266" t="n">
        <v>191</v>
      </c>
      <c r="AB266" s="44" t="n">
        <v>2941.6</v>
      </c>
      <c r="AC266" t="n">
        <v>45</v>
      </c>
      <c r="AD266" s="45" t="n">
        <v>0.0003370395950763774</v>
      </c>
      <c r="AE266" s="45" t="n">
        <v>0.0008395642552374247</v>
      </c>
      <c r="AF266" t="n">
        <v>99</v>
      </c>
    </row>
    <row r="267" ht="109.5" customHeight="1" s="24">
      <c r="A267" s="30" t="inlineStr">
        <is>
          <t>RBC-02D</t>
        </is>
      </c>
      <c r="B267" s="30" t="inlineStr">
        <is>
          <t>Bunches Purply Pink Collection IV</t>
        </is>
      </c>
      <c r="C267" s="30" t="inlineStr">
        <is>
          <t>Bouquets</t>
        </is>
      </c>
      <c r="D267" s="43" t="inlineStr">
        <is>
          <t>READY TO REVIEW</t>
        </is>
      </c>
      <c r="E267" s="30" t="n"/>
      <c r="F267" s="30" t="inlineStr">
        <is>
          <t>none</t>
        </is>
      </c>
      <c r="G267" s="30" t="inlineStr">
        <is>
          <t>7 × Roses Pink; 3 × Carnations Purple; 1 × Limonium Pink; 2 × Mini Carnations Purple; 1 × Baby's Breath; 2 × Ruscus Israeli; 1 × raffia string; 1 × Brown Craft Paper Wrap; 2 × Ruscus Israeli; 1 × Leather Fern; 2 × Eryngium; 1 × Chrysanthemum Button Pink</t>
        </is>
      </c>
      <c r="H267" s="30" t="inlineStr">
        <is>
          <t>7 × Roses Pink; 1 × Limonium Pink; 2 × Mini Carnations Purple; 1 × Baby's Breath; 2 × Ruscus Israeli; 1 × raffia string; 1 × Brown Craft Paper Wrap; 1 × Leather Fern; 2 × Eryngium; 1 × Chrysanthemum button Pink</t>
        </is>
      </c>
      <c r="I267" s="31" t="inlineStr">
        <is>
          <t>7 × Roses Pink; 1 × Limonium Pink; 2 × Mini Carnations Purple; 1 × Baby's Breath; 2 × Ruscus Israeli; 1 × raffia string; 1 × Brown Craft Paper Wrap; 1 × Leather Fern; 2 × Eryngium; 1 × Chrysanthemum button Pink</t>
        </is>
      </c>
      <c r="J267" s="30" t="inlineStr">
        <is>
          <t>2 × Mini Carnations Purple; 1 × Chrysanthemum button Pink; 2 × Eryngium; 1 × Leather Fern; 1 × Brown Craft Paper Wrap; 1 × raffia string; 2 × Ruscus Israeli; 1 × Baby's Breath; 1 × Limonium Pink; 7 × Roses Pink</t>
        </is>
      </c>
      <c r="K267" s="30" t="inlineStr">
        <is>
          <t>N</t>
        </is>
      </c>
      <c r="L267" s="30" t="n"/>
      <c r="M267" s="30" t="inlineStr">
        <is>
          <t>A fresh arrangement of 7 pink roses, tied with raffia and wrapped in brown craft paper. A lovely way to mark a birthday, a thank-you or a just-because moment, and a bright moment when the door opens.</t>
        </is>
      </c>
      <c r="N267" s="30">
        <f>LEN(TRIM(SUBSTITUTE(M267,CHAR(10)," ")))-LEN(SUBSTITUTE(TRIM(SUBSTITUTE(M267,CHAR(10)," "))," ",""))+1</f>
        <v/>
      </c>
      <c r="O267" s="30" t="inlineStr">
        <is>
          <t>&lt;p&gt;A fresh arrangement of 7 pink roses, tied with raffia and wrapped in brown craft paper. A lovely way to mark a birthday, a thank-you or a just-because moment, and a bright moment when the door opens.&lt;/p&gt;</t>
        </is>
      </c>
      <c r="P267" s="29" t="inlineStr">
        <is>
          <t>ok</t>
        </is>
      </c>
      <c r="Q267" s="30" t="inlineStr">
        <is>
          <t>Bunches Purply Pink Collection IV brings together 7 pink roses, tied with raffia and wrapped in brown craft paper. It suits a birthday, a thank-you or a just-because moment.
Pink tones say affection. We hand-arrange each one at Aussie Blooms so it looks the way you pictured it, ready for a Sunday lunch.</t>
        </is>
      </c>
      <c r="R267" s="30" t="inlineStr">
        <is>
          <t>&lt;p&gt;Bunches Purply Pink Collection IV brings together 7 pink roses, tied with raffia and wrapped in brown craft paper. It suits a birthday, a thank-you or a just-because moment.&lt;/p&gt;&lt;p&gt;Pink tones say affection. We hand-arrange each one at Aussie Blooms so it looks the way you pictured it, ready for a Sunday lunch.&lt;/p&gt;</t>
        </is>
      </c>
      <c r="S267" s="29" t="inlineStr">
        <is>
          <t>ok</t>
        </is>
      </c>
      <c r="T267" s="30" t="inlineStr">
        <is>
          <t>The bunch holds: 7 pink roses, tied with raffia and wrapped in brown craft paper. Gentle, easy on the eye, and ready for any table you give it.</t>
        </is>
      </c>
      <c r="U267" s="30" t="inlineStr">
        <is>
          <t>&lt;p&gt;The bunch holds: 7 pink roses, tied with raffia and wrapped in brown craft paper. Gentle, easy on the eye, and ready for any table you give it.&lt;/p&gt;</t>
        </is>
      </c>
      <c r="V267" s="29" t="inlineStr">
        <is>
          <t>ok</t>
        </is>
      </c>
      <c r="W267" s="30" t="n"/>
      <c r="X267" s="30" t="inlineStr">
        <is>
          <t>n/a (Mel's: mason jar products only)</t>
        </is>
      </c>
      <c r="Y267" s="30" t="n"/>
      <c r="Z267" s="48" t="inlineStr">
        <is>
          <t>-</t>
        </is>
      </c>
      <c r="AA267" t="inlineStr">
        <is>
          <t>no sales</t>
        </is>
      </c>
      <c r="AB267" s="44" t="n">
        <v>0</v>
      </c>
      <c r="AC267" t="n">
        <v>0</v>
      </c>
      <c r="AD267" s="45" t="n">
        <v>0</v>
      </c>
      <c r="AE267" s="45" t="n">
        <v>0</v>
      </c>
      <c r="AF267" t="inlineStr">
        <is>
          <t>no sales</t>
        </is>
      </c>
    </row>
    <row r="268" ht="109.5" customHeight="1" s="24">
      <c r="A268" s="30" t="inlineStr">
        <is>
          <t>RBC-03A</t>
        </is>
      </c>
      <c r="B268" s="30" t="inlineStr">
        <is>
          <t>Bunches Mixed Collection I</t>
        </is>
      </c>
      <c r="C268" s="30" t="inlineStr">
        <is>
          <t>Bouquets</t>
        </is>
      </c>
      <c r="D268" s="43" t="inlineStr">
        <is>
          <t>READY TO REVIEW</t>
        </is>
      </c>
      <c r="E268" s="30" t="inlineStr">
        <is>
          <t>Send this full and hearty handcrafted and hand-tied "Bunch" of fresh cut, colourful, seasonal flowers heavily accented with delicate fillers. Featuring a combination of fresh cut flowers carefully contrasted with exotic fillers to produce a trendy mix of textures and colours . A hand-tied stream of rustic raffia completes the arrangement. The result... a breath-taking contemporary bouquet. Perfect for virtually any occasion. Ideal for Birthdays, Get Well, Just Because and Thinking of You.</t>
        </is>
      </c>
      <c r="F268" s="30" t="inlineStr">
        <is>
          <t>Shopify (28 Sep)</t>
        </is>
      </c>
      <c r="G268" s="30" t="inlineStr">
        <is>
          <t>3 × Roses Red; 2 × Carnations Purple; 1 × Limonium pink; 1 × Mini Carnations hot pink; 1 × Eryngium; 1 × Baby's Breath; 2 × Ruscus Israeli; 1 × Brown Craft Paper Wrap; 1 × raffia string; 1 × Leather Fern; 1 × Carnations red; 2 × Ruscus Israeli; 1 × Chrysnthemum Button yellow; 1 × Carnations purple</t>
        </is>
      </c>
      <c r="H268" s="30" t="inlineStr">
        <is>
          <t>3 × Roses Red; 1 × Limonium Pink; 1 × Mini Carnations Hot Pink; 1 × Eryngium; 1 × Baby's Breath; 2 × Ruscus Israeli; 1 × Brown Craft Paper Wrap; 1 × raffia string; 1 × Leather Fern; 1 × Chrysanthemum button Yellow</t>
        </is>
      </c>
      <c r="I268" s="31" t="inlineStr">
        <is>
          <t>3 × Roses Red; 1 × Limonium Pink; 1 × Mini Carnations Hot Pink; 1 × Eryngium; 1 × Baby's Breath; 2 × Ruscus Israeli; 1 × Brown Craft Paper Wrap; 1 × raffia string; 1 × Leather Fern; 1 × Chrysanthemum button Yellow</t>
        </is>
      </c>
      <c r="J268" s="30" t="inlineStr">
        <is>
          <t>1 × Mini Carnations Hot Pink; 1 × Chrysanthemum button Yellow; 1 × Leather Fern; 1 × raffia string; 1 × Brown Craft Paper Wrap; 2 × Ruscus Israeli; 1 × Baby's Breath; 1 × Eryngium; 1 × Limonium Pink; 3 × Roses Red</t>
        </is>
      </c>
      <c r="K268" s="30" t="inlineStr">
        <is>
          <t>N</t>
        </is>
      </c>
      <c r="L268" s="30" t="n"/>
      <c r="M268" s="30" t="inlineStr">
        <is>
          <t>A hand-arranged bouquet of 3 red roses, wrapped in brown craft paper and tied with raffia. Chosen for an anniversary or a thank-you, it says you were thinking of them.</t>
        </is>
      </c>
      <c r="N268" s="30">
        <f>LEN(TRIM(SUBSTITUTE(M268,CHAR(10)," ")))-LEN(SUBSTITUTE(TRIM(SUBSTITUTE(M268,CHAR(10)," "))," ",""))+1</f>
        <v/>
      </c>
      <c r="O268" s="30" t="inlineStr">
        <is>
          <t>&lt;p&gt;A hand-arranged bouquet of 3 red roses, wrapped in brown craft paper and tied with raffia. Chosen for an anniversary or a thank-you, it says you were thinking of them.&lt;/p&gt;</t>
        </is>
      </c>
      <c r="P268" s="29" t="inlineStr">
        <is>
          <t>ok</t>
        </is>
      </c>
      <c r="Q268" s="30" t="inlineStr">
        <is>
          <t>Bunches Mixed Collection I brings together 3 red roses, wrapped in brown craft paper and tied with raffia. It suits an anniversary or a thank-you.
Red tones say love and devotion. We hand-arrange each one at Aussie Blooms so it looks the way you pictured it, ready for a Sunday lunch.</t>
        </is>
      </c>
      <c r="R268" s="30" t="inlineStr">
        <is>
          <t>&lt;p&gt;Bunches Mixed Collection I brings together 3 red roses, wrapped in brown craft paper and tied with raffia. It suits an anniversary or a thank-you.&lt;/p&gt;&lt;p&gt;Red tones say love and devotion. We hand-arrange each one at Aussie Blooms so it looks the way you pictured it, ready for a Sunday lunch.&lt;/p&gt;</t>
        </is>
      </c>
      <c r="S268" s="29" t="inlineStr">
        <is>
          <t>ok</t>
        </is>
      </c>
      <c r="T268" s="30" t="inlineStr">
        <is>
          <t>In this bunch: 3 red roses, wrapped in brown craft paper and tied with raffia. Some things need no speech. Put these on the table and the message is delivered.</t>
        </is>
      </c>
      <c r="U268" s="30" t="inlineStr">
        <is>
          <t>&lt;p&gt;In this bunch: 3 red roses, wrapped in brown craft paper and tied with raffia. Some things need no speech. Put these on the table and the message is delivered.&lt;/p&gt;</t>
        </is>
      </c>
      <c r="V268" s="47" t="inlineStr">
        <is>
          <t>delivery promise</t>
        </is>
      </c>
      <c r="W268" s="30" t="n"/>
      <c r="X268" s="30" t="inlineStr">
        <is>
          <t>n/a (Mel's: mason jar products only)</t>
        </is>
      </c>
      <c r="Y268" s="30" t="n"/>
      <c r="Z268" s="48" t="inlineStr">
        <is>
          <t>-</t>
        </is>
      </c>
      <c r="AA268" t="n">
        <v>62</v>
      </c>
      <c r="AB268" s="44" t="n">
        <v>34189.41</v>
      </c>
      <c r="AC268" t="n">
        <v>779</v>
      </c>
      <c r="AD268" s="45" t="n">
        <v>0.00391731877287879</v>
      </c>
      <c r="AE268" s="45" t="n">
        <v>0.009758025069233399</v>
      </c>
      <c r="AF268" t="n">
        <v>25</v>
      </c>
    </row>
    <row r="269" ht="109.5" customHeight="1" s="24">
      <c r="A269" s="30" t="inlineStr">
        <is>
          <t>RBC-03B</t>
        </is>
      </c>
      <c r="B269" s="30" t="inlineStr">
        <is>
          <t>Bunches Mixed Collection II</t>
        </is>
      </c>
      <c r="C269" s="30" t="inlineStr">
        <is>
          <t>Bouquets</t>
        </is>
      </c>
      <c r="D269" s="43" t="inlineStr">
        <is>
          <t>READY TO REVIEW</t>
        </is>
      </c>
      <c r="E269" s="30" t="inlineStr">
        <is>
          <t>Send this full and hearty handcrafted and hand-tied "Bunch" of fresh cut, colourful, seasonal flowers heavily accented with delicate fillers. Featuring a combination of fresh cut flowers carefully contrasted with exotic fillers to produce a trendy mix of textures and colours . A hand-tied stream of rustic raffia completes the arrangement. The result... a breath-taking contemporary bouquet. Perfect for virtually any occasion. Ideal for Birthdays, Get Well, Just Because and Thinking of You. Approximately 45cm tall x 30cm wide.</t>
        </is>
      </c>
      <c r="F269" s="30" t="inlineStr">
        <is>
          <t>Shopify (28 Sep)</t>
        </is>
      </c>
      <c r="G269" s="30" t="inlineStr">
        <is>
          <t>4 × Roses Red; 2 × Carnations Purple; 1 × Limonium pink; 1 × Mini Carnations hot pink; 1 × Eryngium; 1 × Baby's Breath; 2 × Ruscus Israeli; 1 × Brown Craft Paper Wrap; 1 × raffia string; 1 × Leather Fern; 1 × Carnations red; 2 × Ruscus Israeli; 1 × Chrysnthemum Button yellow; 1 × Carnations purple</t>
        </is>
      </c>
      <c r="H269" s="30" t="inlineStr">
        <is>
          <t>4 × Roses Red; 1 × Limonium Pink; 1 × Mini Carnations Hot Pink; 1 × Eryngium; 1 × Baby's Breath; 2 × Ruscus Israeli; 1 × Brown Craft Paper Wrap; 1 × raffia string; 1 × Leather Fern; 1 × Chrysanthemum button Yellow</t>
        </is>
      </c>
      <c r="I269" s="31" t="inlineStr">
        <is>
          <t>4 × Roses Red; 1 × Limonium Pink; 1 × Mini Carnations Hot Pink; 1 × Eryngium; 1 × Baby's Breath; 2 × Ruscus Israeli; 1 × Brown Craft Paper Wrap; 1 × raffia string; 1 × Leather Fern; 1 × Chrysanthemum button Yellow</t>
        </is>
      </c>
      <c r="J269" s="30" t="inlineStr">
        <is>
          <t>1 × Mini Carnations Hot Pink; 1 × Chrysanthemum button Yellow; 1 × Leather Fern; 1 × raffia string; 1 × Brown Craft Paper Wrap; 2 × Ruscus Israeli; 1 × Baby's Breath; 1 × Eryngium; 1 × Limonium Pink; 4 × Roses Red</t>
        </is>
      </c>
      <c r="K269" s="30" t="inlineStr">
        <is>
          <t>N</t>
        </is>
      </c>
      <c r="L269" s="30" t="n"/>
      <c r="M269" s="30" t="inlineStr">
        <is>
          <t>A florist-designed bouquet of 4 red roses, wrapped in brown craft paper and tied with raffia. Chosen for an anniversary or a thank-you, it is a gift that says you care.</t>
        </is>
      </c>
      <c r="N269" s="30">
        <f>LEN(TRIM(SUBSTITUTE(M269,CHAR(10)," ")))-LEN(SUBSTITUTE(TRIM(SUBSTITUTE(M269,CHAR(10)," "))," ",""))+1</f>
        <v/>
      </c>
      <c r="O269" s="30" t="inlineStr">
        <is>
          <t>&lt;p&gt;A florist-designed bouquet of 4 red roses, wrapped in brown craft paper and tied with raffia. Chosen for an anniversary or a thank-you, it is a gift that says you care.&lt;/p&gt;</t>
        </is>
      </c>
      <c r="P269" s="29" t="inlineStr">
        <is>
          <t>ok</t>
        </is>
      </c>
      <c r="Q269" s="30" t="inlineStr">
        <is>
          <t>Bunches Mixed Collection II brings together 4 red roses, wrapped in brown craft paper and tied with raffia. It suits an anniversary or a thank-you.
Red tones say love and devotion. We hand-arrange each one at Aussie Blooms so it looks the way you pictured it, ready for the bedside table.</t>
        </is>
      </c>
      <c r="R269" s="30" t="inlineStr">
        <is>
          <t>&lt;p&gt;Bunches Mixed Collection II brings together 4 red roses, wrapped in brown craft paper and tied with raffia. It suits an anniversary or a thank-you.&lt;/p&gt;&lt;p&gt;Red tones say love and devotion. We hand-arrange each one at Aussie Blooms so it looks the way you pictured it, ready for the bedside table.&lt;/p&gt;</t>
        </is>
      </c>
      <c r="S269" s="29" t="inlineStr">
        <is>
          <t>ok</t>
        </is>
      </c>
      <c r="T269" s="30" t="inlineStr">
        <is>
          <t>Inside the bunch: 4 red roses, wrapped in brown craft paper and tied with raffia. Say it with flowers, and let the flowers do the talking.</t>
        </is>
      </c>
      <c r="U269" s="30" t="inlineStr">
        <is>
          <t>&lt;p&gt;Inside the bunch: 4 red roses, wrapped in brown craft paper and tied with raffia. Say it with flowers, and let the flowers do the talking.&lt;/p&gt;</t>
        </is>
      </c>
      <c r="V269" s="29" t="inlineStr">
        <is>
          <t>ok</t>
        </is>
      </c>
      <c r="W269" s="30" t="n"/>
      <c r="X269" s="30" t="inlineStr">
        <is>
          <t>n/a (Mel's: mason jar products only)</t>
        </is>
      </c>
      <c r="Y269" s="30" t="n"/>
      <c r="Z269" s="48" t="inlineStr">
        <is>
          <t>-</t>
        </is>
      </c>
      <c r="AA269" t="n">
        <v>190</v>
      </c>
      <c r="AB269" s="44" t="n">
        <v>2964.27</v>
      </c>
      <c r="AC269" t="n">
        <v>45</v>
      </c>
      <c r="AD269" s="45" t="n">
        <v>0.0003396370548331021</v>
      </c>
      <c r="AE269" s="45" t="n">
        <v>0.0008460345168862664</v>
      </c>
      <c r="AF269" t="n">
        <v>98</v>
      </c>
    </row>
    <row r="270" ht="109.5" customHeight="1" s="24">
      <c r="A270" s="30" t="inlineStr">
        <is>
          <t>RBC-03C</t>
        </is>
      </c>
      <c r="B270" s="30" t="inlineStr">
        <is>
          <t>Bunches Mixed Collection III</t>
        </is>
      </c>
      <c r="C270" s="30" t="inlineStr">
        <is>
          <t>Bouquets</t>
        </is>
      </c>
      <c r="D270" s="43" t="inlineStr">
        <is>
          <t>READY TO REVIEW</t>
        </is>
      </c>
      <c r="E270" s="30" t="n"/>
      <c r="F270" s="30" t="inlineStr">
        <is>
          <t>none</t>
        </is>
      </c>
      <c r="G270" s="30" t="inlineStr">
        <is>
          <t>5 × Roses Red; 2 × Carnations Purple; 1 × Limonium pink; 1 × Mini Carnations hot pink; 1 × Eryngium; 1 × Baby's Breath; 2 × Ruscus Israeli; 1 × Brown Craft Paper Wrap; 1 × raffia string; 1 × Leather Fern; 1 × Carnations red; 2 × Ruscus Israeli; 1 × Chrysnthemum Button yellow; 1 × Carnations purple</t>
        </is>
      </c>
      <c r="H270" s="30" t="inlineStr">
        <is>
          <t>5 × Roses Red; 1 × Limonium Pink; 1 × Mini Carnations Hot Pink; 1 × Eryngium; 1 × Baby's Breath; 2 × Ruscus Israeli; 1 × Brown Craft Paper Wrap; 1 × raffia string; 1 × Leather Fern; 1 × Chrysanthemum button Yellow</t>
        </is>
      </c>
      <c r="I270" s="31" t="inlineStr">
        <is>
          <t>5 × Roses Red; 1 × Limonium Pink; 1 × Mini Carnations Hot Pink; 1 × Eryngium; 1 × Baby's Breath; 2 × Ruscus Israeli; 1 × Brown Craft Paper Wrap; 1 × raffia string; 1 × Leather Fern; 1 × Chrysanthemum button Yellow</t>
        </is>
      </c>
      <c r="J270" s="30" t="inlineStr">
        <is>
          <t>1 × Mini Carnations Hot Pink; 1 × Chrysanthemum button Yellow; 1 × Leather Fern; 1 × raffia string; 1 × Brown Craft Paper Wrap; 2 × Ruscus Israeli; 1 × Baby's Breath; 1 × Eryngium; 1 × Limonium Pink; 5 × Roses Red</t>
        </is>
      </c>
      <c r="K270" s="30" t="inlineStr">
        <is>
          <t>N</t>
        </is>
      </c>
      <c r="L270" s="30" t="n"/>
      <c r="M270" s="30" t="inlineStr">
        <is>
          <t>A fresh arrangement of 5 red roses, wrapped in brown craft paper and tied with raffia. A lovely way to mark an anniversary or a thank-you, and a bright moment when the door opens.</t>
        </is>
      </c>
      <c r="N270" s="30">
        <f>LEN(TRIM(SUBSTITUTE(M270,CHAR(10)," ")))-LEN(SUBSTITUTE(TRIM(SUBSTITUTE(M270,CHAR(10)," "))," ",""))+1</f>
        <v/>
      </c>
      <c r="O270" s="30" t="inlineStr">
        <is>
          <t>&lt;p&gt;A fresh arrangement of 5 red roses, wrapped in brown craft paper and tied with raffia. A lovely way to mark an anniversary or a thank-you, and a bright moment when the door opens.&lt;/p&gt;</t>
        </is>
      </c>
      <c r="P270" s="29" t="inlineStr">
        <is>
          <t>ok</t>
        </is>
      </c>
      <c r="Q270" s="30" t="inlineStr">
        <is>
          <t>Bunches Mixed Collection III brings together 5 red roses, wrapped in brown craft paper and tied with raffia. It suits an anniversary or a thank-you.
Red tones say love and devotion. We hand-arrange each one at Aussie Blooms so it looks the way you pictured it, ready for a summer table.</t>
        </is>
      </c>
      <c r="R270" s="30" t="inlineStr">
        <is>
          <t>&lt;p&gt;Bunches Mixed Collection III brings together 5 red roses, wrapped in brown craft paper and tied with raffia. It suits an anniversary or a thank-you.&lt;/p&gt;&lt;p&gt;Red tones say love and devotion. We hand-arrange each one at Aussie Blooms so it looks the way you pictured it, ready for a summer table.&lt;/p&gt;</t>
        </is>
      </c>
      <c r="S270" s="29" t="inlineStr">
        <is>
          <t>ok</t>
        </is>
      </c>
      <c r="T270" s="30" t="inlineStr">
        <is>
          <t>The bunch holds: 5 red roses, wrapped in brown craft paper and tied with raffia. The classic, handed over without a single word of explanation.</t>
        </is>
      </c>
      <c r="U270" s="30" t="inlineStr">
        <is>
          <t>&lt;p&gt;The bunch holds: 5 red roses, wrapped in brown craft paper and tied with raffia. The classic, handed over without a single word of explanation.&lt;/p&gt;</t>
        </is>
      </c>
      <c r="V270" s="29" t="inlineStr">
        <is>
          <t>ok</t>
        </is>
      </c>
      <c r="W270" s="30" t="n"/>
      <c r="X270" s="30" t="inlineStr">
        <is>
          <t>n/a (Mel's: mason jar products only)</t>
        </is>
      </c>
      <c r="Y270" s="30" t="n"/>
      <c r="Z270" s="48" t="inlineStr">
        <is>
          <t>-</t>
        </is>
      </c>
      <c r="AA270" t="inlineStr">
        <is>
          <t>no sales</t>
        </is>
      </c>
      <c r="AB270" s="44" t="n">
        <v>0</v>
      </c>
      <c r="AC270" t="n">
        <v>0</v>
      </c>
      <c r="AD270" s="45" t="n">
        <v>0</v>
      </c>
      <c r="AE270" s="45" t="n">
        <v>0</v>
      </c>
      <c r="AF270" t="inlineStr">
        <is>
          <t>no sales</t>
        </is>
      </c>
    </row>
    <row r="271" ht="109.5" customHeight="1" s="24">
      <c r="A271" s="30" t="inlineStr">
        <is>
          <t>RBC-03D</t>
        </is>
      </c>
      <c r="B271" s="30" t="inlineStr">
        <is>
          <t>Bunches Mixed Collection IV</t>
        </is>
      </c>
      <c r="C271" s="30" t="inlineStr">
        <is>
          <t>Bouquets</t>
        </is>
      </c>
      <c r="D271" s="43" t="inlineStr">
        <is>
          <t>READY TO REVIEW</t>
        </is>
      </c>
      <c r="E271" s="30" t="inlineStr">
        <is>
          <t>Send this full and hearty handcrafted and hand-tied "Bunch" of fresh cut, colourful, seasonal flowers heavily accented with delicate fillers. Featuring a combination of fresh cut flowers carefully contrasted with exotic fillers to produce a trendy mix of textures and colours . A hand-tied stream of rustic raffia completes the arrangement. The result... a breath-taking contemporary bouquet. Perfect for virtually any occasion. Ideal for Birthdays, Get Well, Just Because and Thinking of You. Approximately 45cm tall x 40cm wide.</t>
        </is>
      </c>
      <c r="F271" s="30" t="inlineStr">
        <is>
          <t>Shopify (28 Sep)</t>
        </is>
      </c>
      <c r="G271" s="30" t="inlineStr">
        <is>
          <t>6 × Roses Red; 2 × Carnations Purple; 1 × Limonium pink; 1 × Mini Carnations hot pink; 1 × Eryngium; 1 × Baby's Breath; 2 × Ruscus Israeli; 1 × Brown Craft Paper Wrap; 1 × raffia string; 1 × Leather Fern; 1 × Carnations red; 2 × Ruscus Israeli; 1 × Chrysnthemum Button yellow; 1 × Carnations purple</t>
        </is>
      </c>
      <c r="H271" s="30" t="inlineStr">
        <is>
          <t>6 × Roses Red; 1 × Limonium Pink; 1 × Mini Carnations Hot Pink; 1 × Eryngium; 1 × Baby's Breath; 2 × Ruscus Israeli; 1 × Brown Craft Paper Wrap; 1 × raffia string; 1 × Leather Fern; 1 × Chrysanthemum button Yellow</t>
        </is>
      </c>
      <c r="I271" s="31" t="inlineStr">
        <is>
          <t>6 × Roses Red; 1 × Limonium Pink; 1 × Mini Carnations Hot Pink; 1 × Eryngium; 1 × Baby's Breath; 2 × Ruscus Israeli; 1 × Brown Craft Paper Wrap; 1 × raffia string; 1 × Leather Fern; 1 × Chrysanthemum button Yellow</t>
        </is>
      </c>
      <c r="J271" s="30" t="inlineStr">
        <is>
          <t>1 × Mini Carnations Hot Pink; 1 × Chrysanthemum button Yellow; 1 × Leather Fern; 1 × raffia string; 1 × Brown Craft Paper Wrap; 2 × Ruscus Israeli; 1 × Baby's Breath; 1 × Eryngium; 1 × Limonium Pink; 6 × Roses Red</t>
        </is>
      </c>
      <c r="K271" s="30" t="inlineStr">
        <is>
          <t>N</t>
        </is>
      </c>
      <c r="L271" s="30" t="n"/>
      <c r="M271" s="30" t="inlineStr">
        <is>
          <t>A florist-designed bouquet of 6 red roses, wrapped in brown craft paper and tied with raffia. Chosen for an anniversary or a thank-you, it is a gift that says you care.</t>
        </is>
      </c>
      <c r="N271" s="30">
        <f>LEN(TRIM(SUBSTITUTE(M271,CHAR(10)," ")))-LEN(SUBSTITUTE(TRIM(SUBSTITUTE(M271,CHAR(10)," "))," ",""))+1</f>
        <v/>
      </c>
      <c r="O271" s="30" t="inlineStr">
        <is>
          <t>&lt;p&gt;A florist-designed bouquet of 6 red roses, wrapped in brown craft paper and tied with raffia. Chosen for an anniversary or a thank-you, it is a gift that says you care.&lt;/p&gt;</t>
        </is>
      </c>
      <c r="P271" s="29" t="inlineStr">
        <is>
          <t>ok</t>
        </is>
      </c>
      <c r="Q271" s="30" t="inlineStr">
        <is>
          <t>Bunches Mixed Collection IV brings together 6 red roses, wrapped in brown craft paper and tied with raffia. It suits an anniversary or a thank-you.
Red tones say love and devotion. We hand-arrange each one at Aussie Blooms so it looks the way you pictured it, ready for the kitchen bench.</t>
        </is>
      </c>
      <c r="R271" s="30" t="inlineStr">
        <is>
          <t>&lt;p&gt;Bunches Mixed Collection IV brings together 6 red roses, wrapped in brown craft paper and tied with raffia. It suits an anniversary or a thank-you.&lt;/p&gt;&lt;p&gt;Red tones say love and devotion. We hand-arrange each one at Aussie Blooms so it looks the way you pictured it, ready for the kitchen bench.&lt;/p&gt;</t>
        </is>
      </c>
      <c r="S271" s="29" t="inlineStr">
        <is>
          <t>ok</t>
        </is>
      </c>
      <c r="T271" s="30" t="inlineStr">
        <is>
          <t>Inside the bunch: 6 red roses, wrapped in brown craft paper and tied with raffia. Say it with flowers, and let the flowers do the talking.</t>
        </is>
      </c>
      <c r="U271" s="30" t="inlineStr">
        <is>
          <t>&lt;p&gt;Inside the bunch: 6 red roses, wrapped in brown craft paper and tied with raffia. Say it with flowers, and let the flowers do the talking.&lt;/p&gt;</t>
        </is>
      </c>
      <c r="V271" s="29" t="inlineStr">
        <is>
          <t>ok</t>
        </is>
      </c>
      <c r="W271" s="30" t="n"/>
      <c r="X271" s="30" t="inlineStr">
        <is>
          <t>n/a (Mel's: mason jar products only)</t>
        </is>
      </c>
      <c r="Y271" s="30" t="n"/>
      <c r="Z271" s="48" t="inlineStr">
        <is>
          <t>-</t>
        </is>
      </c>
      <c r="AA271" t="n">
        <v>156</v>
      </c>
      <c r="AB271" s="44" t="n">
        <v>5844.63</v>
      </c>
      <c r="AC271" t="n">
        <v>87</v>
      </c>
      <c r="AD271" s="45" t="n">
        <v>0.0006696599566804621</v>
      </c>
      <c r="AE271" s="45" t="n">
        <v>0.001668120217938642</v>
      </c>
      <c r="AF271" t="n">
        <v>76</v>
      </c>
    </row>
    <row r="272" ht="109.5" customHeight="1" s="24">
      <c r="A272" s="30" t="inlineStr">
        <is>
          <t>RBC-04A</t>
        </is>
      </c>
      <c r="B272" s="30" t="inlineStr">
        <is>
          <t>Bunches Autumn Collection I</t>
        </is>
      </c>
      <c r="C272" s="30" t="inlineStr">
        <is>
          <t>Bouquets</t>
        </is>
      </c>
      <c r="D272" s="43" t="inlineStr">
        <is>
          <t>READY TO REVIEW</t>
        </is>
      </c>
      <c r="E272" s="30" t="n"/>
      <c r="F272" s="30" t="inlineStr">
        <is>
          <t>none</t>
        </is>
      </c>
      <c r="G272" s="30" t="inlineStr">
        <is>
          <t>1 × Roses Orange; 2 × Mini Carnations red; 1 × Baby's Breath; 1 × Carnations Orange; 2 × Ruscus Israeli; 1 × raffia string; 1 × Brown Craft Paper Wrap; 2 × Chrysnthemum Button yellow; 1 × Leather Fern; 1 × Eryngium; 1 × Gerbera Daisies red; 2 × Mini Carnations Orange; 1 × Alstroemeria Red</t>
        </is>
      </c>
      <c r="H272" s="30" t="inlineStr">
        <is>
          <t>1 × Roses Orange; 2 × Mini Carnations Red; 1 × Baby's Breath; 1 × Carnation Orange; 2 × Ruscus Israeli; 1 × raffia string; 1 × Brown Craft Paper Wrap; 2 × Chrysanthemum button Yellow; 1 × Leather Fern; 1 × Eryngium; 1 × Gerbera Daisies Red; 2 × Mini Carnations Orange; 1 × Alstroemeria Red</t>
        </is>
      </c>
      <c r="I272" s="31" t="inlineStr">
        <is>
          <t>1 × Roses Orange; 2 × Mini Carnations Red; 1 × Baby's Breath; 1 × Carnation Orange; 2 × Ruscus Israeli; 1 × raffia string; 1 × Brown Craft Paper Wrap; 2 × Chrysanthemum button Yellow; 1 × Leather Fern; 1 × Eryngium; 1 × Gerbera Daisies Red; 2 × Mini Carnations Orange; 1 × Alstroemeria Red</t>
        </is>
      </c>
      <c r="J272" s="30" t="inlineStr">
        <is>
          <t>1 × Carnation Orange; 1 × Alstroemeria Red; 2 × Mini Carnations Orange; 1 × Gerbera Daisies Red; 1 × Eryngium; 1 × Leather Fern; 2 × Chrysanthemum button Yellow; 1 × Brown Craft Paper Wrap; 1 × raffia string; 2 × Ruscus Israeli; 1 × Baby's Breath; 2 × Mini Carnations Red; 1 × Roses Orange</t>
        </is>
      </c>
      <c r="K272" s="30" t="inlineStr">
        <is>
          <t>N</t>
        </is>
      </c>
      <c r="L272" s="30" t="n"/>
      <c r="M272" s="30" t="inlineStr">
        <is>
          <t>A fresh arrangement of 1 orange carnation, 1 orange rose, 1 red alstroemeria and 1 red gerbera, tied with raffia and wrapped in brown craft paper. A warm gift for a birthday, a thank-you or a just-because moment.</t>
        </is>
      </c>
      <c r="N272" s="30">
        <f>LEN(TRIM(SUBSTITUTE(M272,CHAR(10)," ")))-LEN(SUBSTITUTE(TRIM(SUBSTITUTE(M272,CHAR(10)," "))," ",""))+1</f>
        <v/>
      </c>
      <c r="O272" s="30" t="inlineStr">
        <is>
          <t>&lt;p&gt;A fresh arrangement of 1 orange carnation, 1 orange rose, 1 red alstroemeria and 1 red gerbera, tied with raffia and wrapped in brown craft paper. A warm gift for a birthday, a thank-you or a just-because moment.&lt;/p&gt;</t>
        </is>
      </c>
      <c r="P272" s="29" t="inlineStr">
        <is>
          <t>ok</t>
        </is>
      </c>
      <c r="Q272" s="30" t="inlineStr">
        <is>
          <t>Bunches Autumn Collection I brings together 1 orange carnation, 1 orange rose, 1 red alstroemeria and 1 red gerbera, tied with raffia and wrapped in brown craft paper. It suits a birthday, a thank-you or a just-because moment.
Orange tones say warmth and energy. We hand-arrange each one at Aussie Blooms so it looks the way you pictured it, ready for a summer table.</t>
        </is>
      </c>
      <c r="R272" s="30" t="inlineStr">
        <is>
          <t>&lt;p&gt;Bunches Autumn Collection I brings together 1 orange carnation, 1 orange rose, 1 red alstroemeria and 1 red gerbera, tied with raffia and wrapped in brown craft paper. It suits a birthday, a thank-you or a just-because moment.&lt;/p&gt;&lt;p&gt;Orange tones say warmth and energy. We hand-arrange each one at Aussie Blooms so it looks the way you pictured it, ready for a summer table.&lt;/p&gt;</t>
        </is>
      </c>
      <c r="S272" s="29" t="inlineStr">
        <is>
          <t>ok</t>
        </is>
      </c>
      <c r="T272" s="30" t="inlineStr">
        <is>
          <t>The bunch holds: 1 orange carnation, 1 orange rose, 1 red alstroemeria and 1 red gerbera, tied with raffia and wrapped in brown craft paper. Enough colour to turn an ordinary bench into the best spot in the house.</t>
        </is>
      </c>
      <c r="U272" s="30" t="inlineStr">
        <is>
          <t>&lt;p&gt;The bunch holds: 1 orange carnation, 1 orange rose, 1 red alstroemeria and 1 red gerbera, tied with raffia and wrapped in brown craft paper. Enough colour to turn an ordinary bench into the best spot in the house.&lt;/p&gt;</t>
        </is>
      </c>
      <c r="V272" s="29" t="inlineStr">
        <is>
          <t>ok</t>
        </is>
      </c>
      <c r="W272" s="30" t="n"/>
      <c r="X272" s="30" t="inlineStr">
        <is>
          <t>n/a (Mel's: mason jar products only)</t>
        </is>
      </c>
      <c r="Y272" s="30" t="n"/>
      <c r="Z272" s="48" t="inlineStr">
        <is>
          <t>-</t>
        </is>
      </c>
      <c r="AA272" t="inlineStr">
        <is>
          <t>no sales</t>
        </is>
      </c>
      <c r="AB272" s="44" t="n">
        <v>0</v>
      </c>
      <c r="AC272" t="n">
        <v>0</v>
      </c>
      <c r="AD272" s="45" t="n">
        <v>0</v>
      </c>
      <c r="AE272" s="45" t="n">
        <v>0</v>
      </c>
      <c r="AF272" t="inlineStr">
        <is>
          <t>no sales</t>
        </is>
      </c>
    </row>
    <row r="273" ht="109.5" customHeight="1" s="24">
      <c r="A273" s="30" t="inlineStr">
        <is>
          <t>RBC-04B</t>
        </is>
      </c>
      <c r="B273" s="30" t="inlineStr">
        <is>
          <t>Bunches Autumn Collection II</t>
        </is>
      </c>
      <c r="C273" s="30" t="inlineStr">
        <is>
          <t>Bouquets</t>
        </is>
      </c>
      <c r="D273" s="43" t="inlineStr">
        <is>
          <t>READY TO REVIEW</t>
        </is>
      </c>
      <c r="E273" s="30" t="n"/>
      <c r="F273" s="30" t="inlineStr">
        <is>
          <t>none</t>
        </is>
      </c>
      <c r="G273" s="30" t="inlineStr">
        <is>
          <t>2 × Roses Orange; 2 × Mini Carnations red; 1 × Baby's Breath; 1 × Carnations Orange; 2 × Ruscus Israeli; 1 × raffia string; 1 × Brown Craft Paper Wrap; 2 × Chrysnthemum Button yellow; 1 × Leather Fern; 1 × Eryngium; 1 × Gerbera Daisies red; 2 × Mini Carnations Orange; 1 × Alstroemeria Red</t>
        </is>
      </c>
      <c r="H273" s="30" t="inlineStr">
        <is>
          <t>2 × Roses Orange; 2 × Mini Carnations Red; 1 × Baby's Breath; 1 × Carnation Orange; 2 × Ruscus Israeli; 1 × raffia string; 1 × Brown Craft Paper Wrap; 2 × Chrysanthemum button Yellow; 1 × Leather Fern; 1 × Eryngium; 1 × Gerbera Daisies Red; 2 × Mini Carnations Orange; 1 × Alstroemeria Red</t>
        </is>
      </c>
      <c r="I273" s="31" t="inlineStr">
        <is>
          <t>2 × Roses Orange; 2 × Mini Carnations Red; 1 × Baby's Breath; 1 × Carnation Orange; 2 × Ruscus Israeli; 1 × raffia string; 1 × Brown Craft Paper Wrap; 2 × Chrysanthemum button Yellow; 1 × Leather Fern; 1 × Eryngium; 1 × Gerbera Daisies Red; 2 × Mini Carnations Orange; 1 × Alstroemeria Red</t>
        </is>
      </c>
      <c r="J273" s="30" t="inlineStr">
        <is>
          <t>1 × Carnation Orange; 1 × Alstroemeria Red; 2 × Mini Carnations Orange; 1 × Gerbera Daisies Red; 1 × Eryngium; 1 × Leather Fern; 2 × Chrysanthemum button Yellow; 1 × Brown Craft Paper Wrap; 1 × raffia string; 2 × Ruscus Israeli; 1 × Baby's Breath; 2 × Mini Carnations Red; 2 × Roses Orange</t>
        </is>
      </c>
      <c r="K273" s="30" t="inlineStr">
        <is>
          <t>N</t>
        </is>
      </c>
      <c r="L273" s="30" t="n"/>
      <c r="M273" s="30" t="inlineStr">
        <is>
          <t>A fresh arrangement of 2 orange roses, 1 orange carnation, 1 red alstroemeria and 1 red gerbera, tied with raffia and wrapped in brown craft paper. A thoughtful choice for a birthday, a thank-you or a just-because moment.</t>
        </is>
      </c>
      <c r="N273" s="30">
        <f>LEN(TRIM(SUBSTITUTE(M273,CHAR(10)," ")))-LEN(SUBSTITUTE(TRIM(SUBSTITUTE(M273,CHAR(10)," "))," ",""))+1</f>
        <v/>
      </c>
      <c r="O273" s="30" t="inlineStr">
        <is>
          <t>&lt;p&gt;A fresh arrangement of 2 orange roses, 1 orange carnation, 1 red alstroemeria and 1 red gerbera, tied with raffia and wrapped in brown craft paper. A thoughtful choice for a birthday, a thank-you or a just-because moment.&lt;/p&gt;</t>
        </is>
      </c>
      <c r="P273" s="29" t="inlineStr">
        <is>
          <t>ok</t>
        </is>
      </c>
      <c r="Q273" s="30" t="inlineStr">
        <is>
          <t>Bunches Autumn Collection II brings together 2 orange roses, 1 orange carnation, 1 red alstroemeria and 1 red gerbera, tied with raffia and wrapped in brown craft paper. It suits a birthday, a thank-you or a just-because moment.
Orange tones say warmth and energy. We hand-arrange each one at Aussie Blooms so it looks the way you pictured it, ready for a Sunday lunch.</t>
        </is>
      </c>
      <c r="R273" s="30" t="inlineStr">
        <is>
          <t>&lt;p&gt;Bunches Autumn Collection II brings together 2 orange roses, 1 orange carnation, 1 red alstroemeria and 1 red gerbera, tied with raffia and wrapped in brown craft paper. It suits a birthday, a thank-you or a just-because moment.&lt;/p&gt;&lt;p&gt;Orange tones say warmth and energy. We hand-arrange each one at Aussie Blooms so it looks the way you pictured it, ready for a Sunday lunch.&lt;/p&gt;</t>
        </is>
      </c>
      <c r="S273" s="29" t="inlineStr">
        <is>
          <t>ok</t>
        </is>
      </c>
      <c r="T273" s="30" t="inlineStr">
        <is>
          <t>The bunch holds: 2 orange roses, 1 orange carnation, 1 red alstroemeria and 1 red gerbera, tied with raffia and wrapped in brown craft paper. Enough colour to turn an ordinary bench into the best spot in the house.</t>
        </is>
      </c>
      <c r="U273" s="30" t="inlineStr">
        <is>
          <t>&lt;p&gt;The bunch holds: 2 orange roses, 1 orange carnation, 1 red alstroemeria and 1 red gerbera, tied with raffia and wrapped in brown craft paper. Enough colour to turn an ordinary bench into the best spot in the house.&lt;/p&gt;</t>
        </is>
      </c>
      <c r="V273" s="29" t="inlineStr">
        <is>
          <t>ok</t>
        </is>
      </c>
      <c r="W273" s="30" t="n"/>
      <c r="X273" s="30" t="inlineStr">
        <is>
          <t>n/a (Mel's: mason jar products only)</t>
        </is>
      </c>
      <c r="Y273" s="30" t="n"/>
      <c r="Z273" s="48" t="inlineStr">
        <is>
          <t>-</t>
        </is>
      </c>
      <c r="AA273" t="inlineStr">
        <is>
          <t>no sales</t>
        </is>
      </c>
      <c r="AB273" s="44" t="n">
        <v>0</v>
      </c>
      <c r="AC273" t="n">
        <v>0</v>
      </c>
      <c r="AD273" s="45" t="n">
        <v>0</v>
      </c>
      <c r="AE273" s="45" t="n">
        <v>0</v>
      </c>
      <c r="AF273" t="inlineStr">
        <is>
          <t>no sales</t>
        </is>
      </c>
    </row>
    <row r="274" ht="109.5" customHeight="1" s="24">
      <c r="A274" s="30" t="inlineStr">
        <is>
          <t>RBC-04C</t>
        </is>
      </c>
      <c r="B274" s="30" t="inlineStr">
        <is>
          <t>Bunches Autumn Collection III</t>
        </is>
      </c>
      <c r="C274" s="30" t="inlineStr">
        <is>
          <t>Bouquets</t>
        </is>
      </c>
      <c r="D274" s="43" t="inlineStr">
        <is>
          <t>READY TO REVIEW</t>
        </is>
      </c>
      <c r="E274" s="30" t="n"/>
      <c r="F274" s="30" t="inlineStr">
        <is>
          <t>none</t>
        </is>
      </c>
      <c r="G274" s="30" t="inlineStr">
        <is>
          <t>3 × Roses Orange; 2 × Mini Carnations red; 1 × Baby's Breath; 1 × Carnations Orange; 2 × Ruscus Israeli; 1 × raffia string; 1 × Brown Craft Paper Wrap; 2 × Chrysnthemum Button yellow; 1 × Leather Fern; 1 × Eryngium; 1 × Gerbera Daisies red; 2 × Mini Carnations Orange; 1 × Alstroemeria Red</t>
        </is>
      </c>
      <c r="H274" s="30" t="inlineStr">
        <is>
          <t>3 × Roses Orange; 2 × Mini Carnations Red; 1 × Baby's Breath; 1 × Carnation Orange; 2 × Ruscus Israeli; 1 × raffia string; 1 × Brown Craft Paper Wrap; 2 × Chrysanthemum button Yellow; 1 × Leather Fern; 1 × Eryngium; 1 × Gerbera Daisies Red; 2 × Mini Carnations Orange; 1 × Alstroemeria Red</t>
        </is>
      </c>
      <c r="I274" s="31" t="inlineStr">
        <is>
          <t>3 × Roses Orange; 2 × Mini Carnations Red; 1 × Baby's Breath; 1 × Carnation Orange; 2 × Ruscus Israeli; 1 × raffia string; 1 × Brown Craft Paper Wrap; 2 × Chrysanthemum button Yellow; 1 × Leather Fern; 1 × Eryngium; 1 × Gerbera Daisies Red; 2 × Mini Carnations Orange; 1 × Alstroemeria Red</t>
        </is>
      </c>
      <c r="J274" s="30" t="inlineStr">
        <is>
          <t>1 × Carnation Orange; 1 × Alstroemeria Red; 2 × Mini Carnations Orange; 1 × Gerbera Daisies Red; 1 × Eryngium; 1 × Leather Fern; 2 × Chrysanthemum button Yellow; 1 × Brown Craft Paper Wrap; 1 × raffia string; 2 × Ruscus Israeli; 1 × Baby's Breath; 2 × Mini Carnations Red; 3 × Roses Orange</t>
        </is>
      </c>
      <c r="K274" s="30" t="inlineStr">
        <is>
          <t>N</t>
        </is>
      </c>
      <c r="L274" s="30" t="n"/>
      <c r="M274" s="30" t="inlineStr">
        <is>
          <t>A florist-designed bouquet of 3 orange roses, 1 orange carnation, 1 red alstroemeria and 1 red gerbera, tied with raffia and wrapped in brown craft paper. A warm gift for a birthday, a thank-you or a just-because moment.</t>
        </is>
      </c>
      <c r="N274" s="30">
        <f>LEN(TRIM(SUBSTITUTE(M274,CHAR(10)," ")))-LEN(SUBSTITUTE(TRIM(SUBSTITUTE(M274,CHAR(10)," "))," ",""))+1</f>
        <v/>
      </c>
      <c r="O274" s="30" t="inlineStr">
        <is>
          <t>&lt;p&gt;A florist-designed bouquet of 3 orange roses, 1 orange carnation, 1 red alstroemeria and 1 red gerbera, tied with raffia and wrapped in brown craft paper. A warm gift for a birthday, a thank-you or a just-because moment.&lt;/p&gt;</t>
        </is>
      </c>
      <c r="P274" s="29" t="inlineStr">
        <is>
          <t>ok</t>
        </is>
      </c>
      <c r="Q274" s="30" t="inlineStr">
        <is>
          <t>Bunches Autumn Collection III brings together 3 orange roses, 1 orange carnation, 1 red alstroemeria and 1 red gerbera, tied with raffia and wrapped in brown craft paper. It suits a birthday, a thank-you or a just-because moment.
Orange tones say warmth and energy. We hand-arrange each one at Aussie Blooms so it looks the way you pictured it, ready for a Sunday lunch.</t>
        </is>
      </c>
      <c r="R274" s="30" t="inlineStr">
        <is>
          <t>&lt;p&gt;Bunches Autumn Collection III brings together 3 orange roses, 1 orange carnation, 1 red alstroemeria and 1 red gerbera, tied with raffia and wrapped in brown craft paper. It suits a birthday, a thank-you or a just-because moment.&lt;/p&gt;&lt;p&gt;Orange tones say warmth and energy. We hand-arrange each one at Aussie Blooms so it looks the way you pictured it, ready for a Sunday lunch.&lt;/p&gt;</t>
        </is>
      </c>
      <c r="S274" s="29" t="inlineStr">
        <is>
          <t>ok</t>
        </is>
      </c>
      <c r="T274" s="30" t="inlineStr">
        <is>
          <t>Inside the bunch: 3 orange roses, 1 orange carnation, 1 red alstroemeria and 1 red gerbera, tied with raffia and wrapped in brown craft paper. Bright on purpose, and hard to walk past without smiling.</t>
        </is>
      </c>
      <c r="U274" s="30" t="inlineStr">
        <is>
          <t>&lt;p&gt;Inside the bunch: 3 orange roses, 1 orange carnation, 1 red alstroemeria and 1 red gerbera, tied with raffia and wrapped in brown craft paper. Bright on purpose, and hard to walk past without smiling.&lt;/p&gt;</t>
        </is>
      </c>
      <c r="V274" s="29" t="inlineStr">
        <is>
          <t>ok</t>
        </is>
      </c>
      <c r="W274" s="30" t="n"/>
      <c r="X274" s="30" t="inlineStr">
        <is>
          <t>n/a (Mel's: mason jar products only)</t>
        </is>
      </c>
      <c r="Y274" s="30" t="n"/>
      <c r="Z274" s="48" t="inlineStr">
        <is>
          <t>-</t>
        </is>
      </c>
      <c r="AA274" t="inlineStr">
        <is>
          <t>no sales</t>
        </is>
      </c>
      <c r="AB274" s="44" t="n">
        <v>0</v>
      </c>
      <c r="AC274" t="n">
        <v>0</v>
      </c>
      <c r="AD274" s="45" t="n">
        <v>0</v>
      </c>
      <c r="AE274" s="45" t="n">
        <v>0</v>
      </c>
      <c r="AF274" t="inlineStr">
        <is>
          <t>no sales</t>
        </is>
      </c>
    </row>
    <row r="275" ht="109.5" customHeight="1" s="24">
      <c r="A275" s="30" t="inlineStr">
        <is>
          <t>RBC-04D</t>
        </is>
      </c>
      <c r="B275" s="30" t="inlineStr">
        <is>
          <t>Bunches Autumn Collection IV</t>
        </is>
      </c>
      <c r="C275" s="30" t="inlineStr">
        <is>
          <t>Bouquets</t>
        </is>
      </c>
      <c r="D275" s="43" t="inlineStr">
        <is>
          <t>READY TO REVIEW</t>
        </is>
      </c>
      <c r="E275" s="30" t="n"/>
      <c r="F275" s="30" t="inlineStr">
        <is>
          <t>none</t>
        </is>
      </c>
      <c r="G275" s="30" t="inlineStr">
        <is>
          <t>4 × Roses Orange; 2 × Mini Carnations red; 1 × Baby's Breath; 1 × Carnations Orange; 2 × Ruscus Israeli; 1 × raffia string; 1 × Brown Craft Paper Wrap; 2 × Chrysnthemum Button yellow; 1 × Leather Fern; 1 × Eryngium; 1 × Gerbera Daisies red; 2 × Mini Carnations Orange; 1 × Alstroemeria Red</t>
        </is>
      </c>
      <c r="H275" s="30" t="inlineStr">
        <is>
          <t>4 × Roses Orange; 2 × Mini Carnations Red; 1 × Baby's Breath; 1 × Carnation Orange; 2 × Ruscus Israeli; 1 × raffia string; 1 × Brown Craft Paper Wrap; 2 × Chrysanthemum button Yellow; 1 × Leather Fern; 1 × Eryngium; 1 × Gerbera Daisies Red; 2 × Mini Carnations Orange; 1 × Alstroemeria Red</t>
        </is>
      </c>
      <c r="I275" s="31" t="inlineStr">
        <is>
          <t>4 × Roses Orange; 2 × Mini Carnations Red; 1 × Baby's Breath; 1 × Carnation Orange; 2 × Ruscus Israeli; 1 × raffia string; 1 × Brown Craft Paper Wrap; 2 × Chrysanthemum button Yellow; 1 × Leather Fern; 1 × Eryngium; 1 × Gerbera Daisies Red; 2 × Mini Carnations Orange; 1 × Alstroemeria Red</t>
        </is>
      </c>
      <c r="J275" s="30" t="inlineStr">
        <is>
          <t>1 × Carnation Orange; 1 × Alstroemeria Red; 2 × Mini Carnations Orange; 1 × Gerbera Daisies Red; 1 × Eryngium; 1 × Leather Fern; 2 × Chrysanthemum button Yellow; 1 × Brown Craft Paper Wrap; 1 × raffia string; 2 × Ruscus Israeli; 1 × Baby's Breath; 2 × Mini Carnations Red; 4 × Roses Orange</t>
        </is>
      </c>
      <c r="K275" s="30" t="inlineStr">
        <is>
          <t>N</t>
        </is>
      </c>
      <c r="L275" s="30" t="n"/>
      <c r="M275" s="30" t="inlineStr">
        <is>
          <t>A hand-arranged bouquet of 4 orange roses, 1 orange carnation, 1 red alstroemeria and 1 red gerbera, tied with raffia and wrapped in brown craft paper. A thoughtful choice for a birthday, a thank-you or a just-because moment.</t>
        </is>
      </c>
      <c r="N275" s="30">
        <f>LEN(TRIM(SUBSTITUTE(M275,CHAR(10)," ")))-LEN(SUBSTITUTE(TRIM(SUBSTITUTE(M275,CHAR(10)," "))," ",""))+1</f>
        <v/>
      </c>
      <c r="O275" s="30" t="inlineStr">
        <is>
          <t>&lt;p&gt;A hand-arranged bouquet of 4 orange roses, 1 orange carnation, 1 red alstroemeria and 1 red gerbera, tied with raffia and wrapped in brown craft paper. A thoughtful choice for a birthday, a thank-you or a just-because moment.&lt;/p&gt;</t>
        </is>
      </c>
      <c r="P275" s="29" t="inlineStr">
        <is>
          <t>ok</t>
        </is>
      </c>
      <c r="Q275" s="30" t="inlineStr">
        <is>
          <t>Bunches Autumn Collection IV brings together 4 orange roses, 1 orange carnation, 1 red alstroemeria and 1 red gerbera, tied with raffia and wrapped in brown craft paper. It suits a birthday, a thank-you or a just-because moment.
Orange tones say warmth and energy. We hand-arrange each one at Aussie Blooms so it looks the way you pictured it, ready for a summer table.</t>
        </is>
      </c>
      <c r="R275" s="30" t="inlineStr">
        <is>
          <t>&lt;p&gt;Bunches Autumn Collection IV brings together 4 orange roses, 1 orange carnation, 1 red alstroemeria and 1 red gerbera, tied with raffia and wrapped in brown craft paper. It suits a birthday, a thank-you or a just-because moment.&lt;/p&gt;&lt;p&gt;Orange tones say warmth and energy. We hand-arrange each one at Aussie Blooms so it looks the way you pictured it, ready for a summer table.&lt;/p&gt;</t>
        </is>
      </c>
      <c r="S275" s="29" t="inlineStr">
        <is>
          <t>ok</t>
        </is>
      </c>
      <c r="T275" s="30" t="inlineStr">
        <is>
          <t>In this bunch: 4 orange roses, 1 orange carnation, 1 red alstroemeria and 1 red gerbera, tied with raffia and wrapped in brown craft paper. Brings the colour in before anyone has said hello.</t>
        </is>
      </c>
      <c r="U275" s="30" t="inlineStr">
        <is>
          <t>&lt;p&gt;In this bunch: 4 orange roses, 1 orange carnation, 1 red alstroemeria and 1 red gerbera, tied with raffia and wrapped in brown craft paper. Brings the colour in before anyone has said hello.&lt;/p&gt;</t>
        </is>
      </c>
      <c r="V275" s="29" t="inlineStr">
        <is>
          <t>ok</t>
        </is>
      </c>
      <c r="W275" s="30" t="n"/>
      <c r="X275" s="30" t="inlineStr">
        <is>
          <t>n/a (Mel's: mason jar products only)</t>
        </is>
      </c>
      <c r="Y275" s="30" t="n"/>
      <c r="Z275" s="48" t="inlineStr">
        <is>
          <t>-</t>
        </is>
      </c>
      <c r="AA275" t="inlineStr">
        <is>
          <t>no sales</t>
        </is>
      </c>
      <c r="AB275" s="44" t="n">
        <v>0</v>
      </c>
      <c r="AC275" t="n">
        <v>0</v>
      </c>
      <c r="AD275" s="45" t="n">
        <v>0</v>
      </c>
      <c r="AE275" s="45" t="n">
        <v>0</v>
      </c>
      <c r="AF275" t="inlineStr">
        <is>
          <t>no sales</t>
        </is>
      </c>
    </row>
    <row r="276" ht="109.5" customHeight="1" s="24">
      <c r="A276" s="30" t="inlineStr">
        <is>
          <t>GF10-30</t>
        </is>
      </c>
      <c r="B276" s="30" t="inlineStr">
        <is>
          <t>Harmony Blooms</t>
        </is>
      </c>
      <c r="C276" s="30" t="inlineStr">
        <is>
          <t>Bouquets</t>
        </is>
      </c>
      <c r="D276" s="43" t="inlineStr">
        <is>
          <t>READY TO REVIEW</t>
        </is>
      </c>
      <c r="E276" s="30" t="inlineStr">
        <is>
          <t>Lush roses and delicate alstroemeria come together in perfect balance, creating a graceful display of colour and texture. A versatile bouquet that suits an anniversary, a birthday or a heartfelt congratulations.</t>
        </is>
      </c>
      <c r="F276" s="30" t="inlineStr">
        <is>
          <t>Shopify (28 Sep)</t>
        </is>
      </c>
      <c r="G276" s="30" t="inlineStr">
        <is>
          <t>1 × Roses Spray Pink; 1 × Roses Yellow; 3 × Roses Red; 1 × Baby's Breath; 2 × Ruscus Israeli; 1 × Alstroemeria Yellow; 1 × Alstroemeria Pink</t>
        </is>
      </c>
      <c r="H276" s="30" t="inlineStr">
        <is>
          <t>1 × Roses Spray Pink; 1 × Roses Yellow; 3 × Roses Red; 1 × Baby's Breath; 2 × Ruscus Israeli; 1 × Alstroemeria Yellow; 1 × Alstroemeria Pink</t>
        </is>
      </c>
      <c r="I276" s="30" t="inlineStr">
        <is>
          <t>1 × Roses Spray Pink; 1 × Roses Yellow; 3 × Roses Red; 1 × Baby's Breath; 2 × Ruscus Israeli; 1 × Alstroemeria Yellow; 1 × Alstroemeria Pink</t>
        </is>
      </c>
      <c r="J276" s="30" t="inlineStr">
        <is>
          <t>1 × Baby's Breath; 1 × Alstroemeria Pink; 1 × Alstroemeria Yellow; 2 × Ruscus Israeli; 3 × Roses Red; 1 × Roses Yellow; 1 × Roses Spray Pink</t>
        </is>
      </c>
      <c r="K276" s="30" t="inlineStr">
        <is>
          <t>Y</t>
        </is>
      </c>
      <c r="L276" s="30" t="n"/>
      <c r="M276" s="30" t="inlineStr">
        <is>
          <t>A hand-arranged bouquet of 3 red roses, 1 pink alstroemeria, 1 pink spray rose, 1 yellow alstroemeria and 1 yellow rose. A lovely way to mark an anniversary or a thank-you.</t>
        </is>
      </c>
      <c r="N276" s="30">
        <f>LEN(TRIM(SUBSTITUTE(M276,CHAR(10)," ")))-LEN(SUBSTITUTE(TRIM(SUBSTITUTE(M276,CHAR(10)," "))," ",""))+1</f>
        <v/>
      </c>
      <c r="O276" s="30" t="inlineStr">
        <is>
          <t>&lt;p&gt;A hand-arranged bouquet of 3 red roses, 1 pink alstroemeria, 1 pink spray rose, 1 yellow alstroemeria and 1 yellow rose. A lovely way to mark an anniversary or a thank-you.&lt;/p&gt;</t>
        </is>
      </c>
      <c r="P276" s="29" t="inlineStr">
        <is>
          <t>ok</t>
        </is>
      </c>
      <c r="Q276" s="30" t="inlineStr">
        <is>
          <t>Harmony Blooms brings together 3 red roses, 1 pink alstroemeria, 1 pink spray rose, 1 yellow alstroemeria and 1 yellow rose. It suits an anniversary or a thank-you.
Red tones say love and devotion. We hand-arrange each one at Aussie Blooms so it looks the way you pictured it, ready for a Sunday lunch.</t>
        </is>
      </c>
      <c r="R276" s="30" t="inlineStr">
        <is>
          <t>&lt;p&gt;Harmony Blooms brings together 3 red roses, 1 pink alstroemeria, 1 pink spray rose, 1 yellow alstroemeria and 1 yellow rose. It suits an anniversary or a thank-you.&lt;/p&gt;&lt;p&gt;Red tones say love and devotion. We hand-arrange each one at Aussie Blooms so it looks the way you pictured it, ready for a Sunday lunch.&lt;/p&gt;</t>
        </is>
      </c>
      <c r="S276" s="29" t="inlineStr">
        <is>
          <t>ok</t>
        </is>
      </c>
      <c r="T276" s="30" t="inlineStr">
        <is>
          <t>In this bunch: 3 red roses, 1 pink alstroemeria, 1 pink spray rose, 1 yellow alstroemeria and 1 yellow rose. Some things need no speech. Put these on the table and the message is delivered.</t>
        </is>
      </c>
      <c r="U276" s="30" t="inlineStr">
        <is>
          <t>&lt;p&gt;In this bunch: 3 red roses, 1 pink alstroemeria, 1 pink spray rose, 1 yellow alstroemeria and 1 yellow rose. Some things need no speech. Put these on the table and the message is delivered.&lt;/p&gt;</t>
        </is>
      </c>
      <c r="V276" s="47" t="inlineStr">
        <is>
          <t>delivery promise</t>
        </is>
      </c>
      <c r="W276" s="30" t="n"/>
      <c r="X276" s="30" t="inlineStr">
        <is>
          <t>n/a (Mel's: mason jar products only)</t>
        </is>
      </c>
      <c r="Y276" s="30" t="n"/>
      <c r="Z276" s="48" t="inlineStr">
        <is>
          <t>-</t>
        </is>
      </c>
      <c r="AA276" t="n">
        <v>184</v>
      </c>
      <c r="AB276" s="44" t="n">
        <v>3350.68</v>
      </c>
      <c r="AC276" t="n">
        <v>50</v>
      </c>
      <c r="AD276" s="45" t="n">
        <v>0.0003839107391999307</v>
      </c>
      <c r="AE276" s="45" t="n">
        <v>0.000956320083879159</v>
      </c>
      <c r="AF276" t="n">
        <v>94</v>
      </c>
    </row>
    <row r="277" ht="109.5" customHeight="1" s="24">
      <c r="A277" s="30" t="inlineStr">
        <is>
          <t>GF16-105</t>
        </is>
      </c>
      <c r="B277" s="30" t="inlineStr">
        <is>
          <t>Sunset Serenade</t>
        </is>
      </c>
      <c r="C277" s="30" t="inlineStr">
        <is>
          <t>Bouquets</t>
        </is>
      </c>
      <c r="D277" s="43" t="inlineStr">
        <is>
          <t>READY TO REVIEW</t>
        </is>
      </c>
      <c r="E277" s="30" t="inlineStr">
        <is>
          <t>Warm alstroemeria and richly toned roses come together in this sunset-inspired bouquet, glowing with golden, romantic colour. Evocative and elegant, it's a heartfelt way to bring warmth and beauty to any moment or treasured someone.</t>
        </is>
      </c>
      <c r="F277" s="30" t="inlineStr">
        <is>
          <t>Shopify (28 Sep)</t>
        </is>
      </c>
      <c r="G277" s="30" t="inlineStr">
        <is>
          <t>2 × Roses Cream; 2 × Roses Peach; 1 × Limonium White; 2 × Ruscus Israeli; 2 × Alstroemeria Pink</t>
        </is>
      </c>
      <c r="H277" s="30" t="inlineStr">
        <is>
          <t>2 × Roses Cream; 2 × Roses Peach; 1 × Limonium White; 2 × Ruscus Israeli; 2 × Alstroemeria Pink</t>
        </is>
      </c>
      <c r="I277" s="30" t="inlineStr">
        <is>
          <t>2 × Roses Cream; 2 × Roses Peach; 1 × Limonium White; 2 × Ruscus Israeli; 2 × Alstroemeria Pink</t>
        </is>
      </c>
      <c r="J277" s="30" t="inlineStr">
        <is>
          <t>1 × Limonium White; 2 × Alstroemeria Pink; 2 × Ruscus Israeli; 2 × Roses Peach; 2 × Roses Cream</t>
        </is>
      </c>
      <c r="K277" s="30" t="inlineStr">
        <is>
          <t>Y</t>
        </is>
      </c>
      <c r="L277" s="30" t="n"/>
      <c r="M277" s="30" t="inlineStr">
        <is>
          <t>A fresh arrangement of 2 cream roses, 2 peach roses and 2 pink alstroemeria. A lovely way to mark a birthday, a thank-you or a just-because moment, and a bright moment when the door opens.</t>
        </is>
      </c>
      <c r="N277" s="30">
        <f>LEN(TRIM(SUBSTITUTE(M277,CHAR(10)," ")))-LEN(SUBSTITUTE(TRIM(SUBSTITUTE(M277,CHAR(10)," "))," ",""))+1</f>
        <v/>
      </c>
      <c r="O277" s="30" t="inlineStr">
        <is>
          <t>&lt;p&gt;A fresh arrangement of 2 cream roses, 2 peach roses and 2 pink alstroemeria. A lovely way to mark a birthday, a thank-you or a just-because moment, and a bright moment when the door opens.&lt;/p&gt;</t>
        </is>
      </c>
      <c r="P277" s="29" t="inlineStr">
        <is>
          <t>ok</t>
        </is>
      </c>
      <c r="Q277" s="30" t="inlineStr">
        <is>
          <t>Sunset Serenade brings together 2 cream roses, 2 peach roses and 2 pink alstroemeria. It suits a birthday, a thank-you or a just-because moment.
Cream tones say quiet warmth. We hand-arrange each one at Aussie Blooms so it looks the way you pictured it, ready for the bedside table.</t>
        </is>
      </c>
      <c r="R277" s="30" t="inlineStr">
        <is>
          <t>&lt;p&gt;Sunset Serenade brings together 2 cream roses, 2 peach roses and 2 pink alstroemeria. It suits a birthday, a thank-you or a just-because moment.&lt;/p&gt;&lt;p&gt;Cream tones say quiet warmth. We hand-arrange each one at Aussie Blooms so it looks the way you pictured it, ready for the bedside table.&lt;/p&gt;</t>
        </is>
      </c>
      <c r="S277" s="29" t="inlineStr">
        <is>
          <t>ok</t>
        </is>
      </c>
      <c r="T277" s="30" t="inlineStr">
        <is>
          <t>The bunch holds: 2 cream roses, 2 peach roses and 2 pink alstroemeria. Gentle, easy on the eye, and ready for any table you give it.</t>
        </is>
      </c>
      <c r="U277" s="30" t="inlineStr">
        <is>
          <t>&lt;p&gt;The bunch holds: 2 cream roses, 2 peach roses and 2 pink alstroemeria. Gentle, easy on the eye, and ready for any table you give it.&lt;/p&gt;</t>
        </is>
      </c>
      <c r="V277" s="29" t="inlineStr">
        <is>
          <t>ok</t>
        </is>
      </c>
      <c r="W277" s="30" t="n"/>
      <c r="X277" s="30" t="inlineStr">
        <is>
          <t>n/a (Mel's: mason jar products only)</t>
        </is>
      </c>
      <c r="Y277" s="30" t="n"/>
      <c r="Z277" s="48" t="inlineStr">
        <is>
          <t>-</t>
        </is>
      </c>
      <c r="AA277" t="n">
        <v>43</v>
      </c>
      <c r="AB277" s="44" t="n">
        <v>50872.75</v>
      </c>
      <c r="AC277" t="n">
        <v>898</v>
      </c>
      <c r="AD277" s="45" t="n">
        <v>0.00582884520683362</v>
      </c>
      <c r="AE277" s="45" t="n">
        <v>0.01451962961165002</v>
      </c>
      <c r="AF277" t="n">
        <v>15</v>
      </c>
    </row>
    <row r="278" ht="109.5" customHeight="1" s="24">
      <c r="A278" s="30" t="inlineStr">
        <is>
          <t>GF16-100</t>
        </is>
      </c>
      <c r="B278" s="30" t="inlineStr">
        <is>
          <t>Blushing Elegance</t>
        </is>
      </c>
      <c r="C278" s="30" t="inlineStr">
        <is>
          <t>Bouquets</t>
        </is>
      </c>
      <c r="D278" s="43" t="inlineStr">
        <is>
          <t>READY TO REVIEW</t>
        </is>
      </c>
      <c r="E278" s="30" t="inlineStr">
        <is>
          <t>A breathtaking abundance of roses and delicate alstroemeria, blushing with soft, romantic colour and elegant texture. Lavish and refined, this generous bouquet is a stunning way to mark an anniversary, celebrate a birthday, or send heartfelt congratulations.</t>
        </is>
      </c>
      <c r="F278" s="30" t="inlineStr">
        <is>
          <t>Shopify (28 Sep)</t>
        </is>
      </c>
      <c r="G278" s="30" t="inlineStr">
        <is>
          <t>2 × Roses White; 4 × Roses Spray White; 4 × Roses Orange; 1 × Baby's Breath; 2 × Ruscus Israeli; 2 × Alstroemeria Pink</t>
        </is>
      </c>
      <c r="H278" s="30" t="inlineStr">
        <is>
          <t>2 × Roses White; 4 × Roses Spray White; 4 × Roses Orange; 1 × Baby's Breath; 2 × Ruscus Israeli; 2 × Alstroemeria Pink</t>
        </is>
      </c>
      <c r="I278" s="30" t="inlineStr">
        <is>
          <t>2 × Roses White; 4 × Roses Spray White; 4 × Roses Orange; 1 × Baby's Breath; 2 × Ruscus Israeli; 2 × Alstroemeria Pink</t>
        </is>
      </c>
      <c r="J278" s="30" t="inlineStr">
        <is>
          <t>4 × Roses Orange; 2 × Alstroemeria Pink; 2 × Ruscus Israeli; 1 × Baby's Breath; 4 × Roses Spray White; 2 × Roses White</t>
        </is>
      </c>
      <c r="K278" s="30" t="inlineStr">
        <is>
          <t>Y</t>
        </is>
      </c>
      <c r="L278" s="30" t="n"/>
      <c r="M278" s="30" t="inlineStr">
        <is>
          <t>A florist-designed bouquet of 4 orange roses, 4 white spray roses, 2 pink alstroemeria and 2 white roses. Chosen for a birthday, a thank-you or a just-because moment, it says you were thinking of them.</t>
        </is>
      </c>
      <c r="N278" s="30">
        <f>LEN(TRIM(SUBSTITUTE(M278,CHAR(10)," ")))-LEN(SUBSTITUTE(TRIM(SUBSTITUTE(M278,CHAR(10)," "))," ",""))+1</f>
        <v/>
      </c>
      <c r="O278" s="30" t="inlineStr">
        <is>
          <t>&lt;p&gt;A florist-designed bouquet of 4 orange roses, 4 white spray roses, 2 pink alstroemeria and 2 white roses. Chosen for a birthday, a thank-you or a just-because moment, it says you were thinking of them.&lt;/p&gt;</t>
        </is>
      </c>
      <c r="P278" s="29" t="inlineStr">
        <is>
          <t>ok</t>
        </is>
      </c>
      <c r="Q278" s="30" t="inlineStr">
        <is>
          <t>Blushing Elegance brings together 4 orange roses, 4 white spray roses, 2 pink alstroemeria and 2 white roses. It suits a birthday, a thank-you or a just-because moment.
White tones say calm and a fresh start. We hand-arrange each one at Aussie Blooms so it looks the way you pictured it, ready for a summer table.</t>
        </is>
      </c>
      <c r="R278" s="30" t="inlineStr">
        <is>
          <t>&lt;p&gt;Blushing Elegance brings together 4 orange roses, 4 white spray roses, 2 pink alstroemeria and 2 white roses. It suits a birthday, a thank-you or a just-because moment.&lt;/p&gt;&lt;p&gt;White tones say calm and a fresh start. We hand-arrange each one at Aussie Blooms so it looks the way you pictured it, ready for a summer table.&lt;/p&gt;</t>
        </is>
      </c>
      <c r="S278" s="29" t="inlineStr">
        <is>
          <t>ok</t>
        </is>
      </c>
      <c r="T278" s="30" t="inlineStr">
        <is>
          <t>Inside the bunch: 4 orange roses, 4 white spray roses, 2 pink alstroemeria and 2 white roses. Bright on purpose, and hard to walk past without smiling.</t>
        </is>
      </c>
      <c r="U278" s="30" t="inlineStr">
        <is>
          <t>&lt;p&gt;Inside the bunch: 4 orange roses, 4 white spray roses, 2 pink alstroemeria and 2 white roses. Bright on purpose, and hard to walk past without smiling.&lt;/p&gt;</t>
        </is>
      </c>
      <c r="V278" s="29" t="inlineStr">
        <is>
          <t>ok</t>
        </is>
      </c>
      <c r="W278" s="30" t="n"/>
      <c r="X278" s="30" t="inlineStr">
        <is>
          <t>n/a (Mel's: mason jar products only)</t>
        </is>
      </c>
      <c r="Y278" s="30" t="n"/>
      <c r="Z278" s="48" t="inlineStr">
        <is>
          <t>-</t>
        </is>
      </c>
      <c r="AA278" t="n">
        <v>16</v>
      </c>
      <c r="AB278" s="44" t="n">
        <v>131886.69</v>
      </c>
      <c r="AC278" t="n">
        <v>1281</v>
      </c>
      <c r="AD278" s="45" t="n">
        <v>0.01511117643240539</v>
      </c>
      <c r="AE278" s="45" t="n">
        <v>0.03764187879575031</v>
      </c>
      <c r="AF278" t="n">
        <v>5</v>
      </c>
    </row>
    <row r="279" ht="109.5" customHeight="1" s="24">
      <c r="A279" s="30" t="inlineStr">
        <is>
          <t>AUGF16-60</t>
        </is>
      </c>
      <c r="B279" s="30" t="inlineStr">
        <is>
          <t>Sunshine Bliss</t>
        </is>
      </c>
      <c r="C279" s="30" t="inlineStr">
        <is>
          <t>Bouquets</t>
        </is>
      </c>
      <c r="D279" s="43" t="inlineStr">
        <is>
          <t>READY TO REVIEW</t>
        </is>
      </c>
      <c r="E279" s="30" t="inlineStr">
        <is>
          <t>Twenty-three roses paired with seventeen alstroemeria in a sunny, uplifting bouquet brimming with warmth. Sunshine Bliss is a heartfelt way to celebrate an anniversary or birthday, or to send your warmest congratulations.</t>
        </is>
      </c>
      <c r="F279" s="30" t="inlineStr">
        <is>
          <t>Shopify (28 Sep)</t>
        </is>
      </c>
      <c r="G279" s="30" t="inlineStr">
        <is>
          <t>3 × Roses White; 2 × Roses Orange; 1 × Baby's Breath; 2 × Ruscus Israeli; 2 × Alstroemeria Purple; 2 × Alstroemeria Pink</t>
        </is>
      </c>
      <c r="H279" s="30" t="inlineStr">
        <is>
          <t>3 × Roses White; 2 × Roses Orange; 1 × Baby's Breath; 2 × Ruscus Israeli; 2 × Alstroemeria Purple; 2 × Alstroemeria Pink</t>
        </is>
      </c>
      <c r="I279" s="30" t="inlineStr">
        <is>
          <t>3 × Roses White; 2 × Roses Orange; 1 × Baby's Breath; 2 × Ruscus Israeli; 2 × Alstroemeria Purple; 2 × Alstroemeria Pink</t>
        </is>
      </c>
      <c r="J279" s="30" t="inlineStr">
        <is>
          <t>1 × Baby's Breath; 2 × Alstroemeria Pink; 2 × Alstroemeria Purple; 2 × Ruscus Israeli; 2 × Roses Orange; 3 × Roses White</t>
        </is>
      </c>
      <c r="K279" s="30" t="inlineStr">
        <is>
          <t>Y</t>
        </is>
      </c>
      <c r="L279" s="30" t="n"/>
      <c r="M279" s="30" t="inlineStr">
        <is>
          <t>A fresh arrangement of 3 white roses, 2 orange roses, 2 pink alstroemeria and 2 purple alstroemeria. A lovely way to mark a get-well wish or a thank-you, and a bright moment when the door opens.</t>
        </is>
      </c>
      <c r="N279" s="30">
        <f>LEN(TRIM(SUBSTITUTE(M279,CHAR(10)," ")))-LEN(SUBSTITUTE(TRIM(SUBSTITUTE(M279,CHAR(10)," "))," ",""))+1</f>
        <v/>
      </c>
      <c r="O279" s="30" t="inlineStr">
        <is>
          <t>&lt;p&gt;A fresh arrangement of 3 white roses, 2 orange roses, 2 pink alstroemeria and 2 purple alstroemeria. A lovely way to mark a get-well wish or a thank-you, and a bright moment when the door opens.&lt;/p&gt;</t>
        </is>
      </c>
      <c r="P279" s="29" t="inlineStr">
        <is>
          <t>ok</t>
        </is>
      </c>
      <c r="Q279" s="30" t="inlineStr">
        <is>
          <t>Sunshine Bliss brings together 3 white roses, 2 orange roses, 2 pink alstroemeria and 2 purple alstroemeria. It suits a get-well wish or a thank-you.
White tones say calm and a fresh start. We hand-arrange each one at Aussie Blooms so it looks the way you pictured it, ready for the kitchen bench.</t>
        </is>
      </c>
      <c r="R279" s="30" t="inlineStr">
        <is>
          <t>&lt;p&gt;Sunshine Bliss brings together 3 white roses, 2 orange roses, 2 pink alstroemeria and 2 purple alstroemeria. It suits a get-well wish or a thank-you.&lt;/p&gt;&lt;p&gt;White tones say calm and a fresh start. We hand-arrange each one at Aussie Blooms so it looks the way you pictured it, ready for the kitchen bench.&lt;/p&gt;</t>
        </is>
      </c>
      <c r="S279" s="29" t="inlineStr">
        <is>
          <t>ok</t>
        </is>
      </c>
      <c r="T279" s="30" t="inlineStr">
        <is>
          <t>The bunch holds: 3 white roses, 2 orange roses, 2 pink alstroemeria and 2 purple alstroemeria. Enough colour to turn an ordinary bench into the best spot in the house.</t>
        </is>
      </c>
      <c r="U279" s="30" t="inlineStr">
        <is>
          <t>&lt;p&gt;The bunch holds: 3 white roses, 2 orange roses, 2 pink alstroemeria and 2 purple alstroemeria. Enough colour to turn an ordinary bench into the best spot in the house.&lt;/p&gt;</t>
        </is>
      </c>
      <c r="V279" s="29" t="inlineStr">
        <is>
          <t>ok</t>
        </is>
      </c>
      <c r="W279" s="30" t="n"/>
      <c r="X279" s="30" t="inlineStr">
        <is>
          <t>n/a (Mel's: mason jar products only)</t>
        </is>
      </c>
      <c r="Y279" s="30" t="n"/>
      <c r="Z279" s="48" t="inlineStr">
        <is>
          <t>-</t>
        </is>
      </c>
      <c r="AA279" t="n">
        <v>216</v>
      </c>
      <c r="AB279" s="44" t="n">
        <v>1764.79</v>
      </c>
      <c r="AC279" t="n">
        <v>23</v>
      </c>
      <c r="AD279" s="45" t="n">
        <v>0.0002022045081160015</v>
      </c>
      <c r="AE279" s="45" t="n">
        <v>0.0005036906041368525</v>
      </c>
      <c r="AF279" t="n">
        <v>118</v>
      </c>
    </row>
    <row r="280" ht="109.5" customHeight="1" s="24">
      <c r="A280" s="30" t="inlineStr">
        <is>
          <t>CS112-07</t>
        </is>
      </c>
      <c r="B280" s="30" t="inlineStr">
        <is>
          <t>One Dozen Assorted Roses, Vase &amp; Card Combo</t>
        </is>
      </c>
      <c r="C280" s="30" t="inlineStr">
        <is>
          <t>Bouquets</t>
        </is>
      </c>
      <c r="D280" s="43" t="inlineStr">
        <is>
          <t>READY TO REVIEW</t>
        </is>
      </c>
      <c r="E280" s="30" t="inlineStr">
        <is>
          <t>One dozen assorted roses arranged in a complete package with a stylish vase and a full size card, ready to delight from the moment it arrives. Colourful, generous and beautifully presented, it is the ideal choice for an anniversary, a birthday or a heartfelt just-because surprise.</t>
        </is>
      </c>
      <c r="F280" s="30" t="inlineStr">
        <is>
          <t>Shopify (28 Sep)</t>
        </is>
      </c>
      <c r="G280" s="30" t="inlineStr">
        <is>
          <t>12 × Roses Assorted; 1 × Baby's Breath; 2 × Ruscus Israeli; 1 × Glass Vase Clear; 1 × Greeting Card</t>
        </is>
      </c>
      <c r="H280" s="30" t="inlineStr">
        <is>
          <t>12 × Roses Assorted; 1 × Baby's Breath; 2 × Ruscus Israeli; 1 × Glass Vase Clear; 1 × Greeting Card</t>
        </is>
      </c>
      <c r="I280" s="30" t="inlineStr">
        <is>
          <t>12 × Roses Assorted; 1 × Baby's Breath; 2 × Ruscus Israeli; 1 × Glass Vase Clear; 1 × Greeting Card</t>
        </is>
      </c>
      <c r="J280" s="30" t="inlineStr">
        <is>
          <t>2 × Ruscus Israeli; 1 × Greeting Card; 1 × Glass Vase Clear; 1 × Baby's Breath; 12 × Roses Assorted</t>
        </is>
      </c>
      <c r="K280" s="30" t="inlineStr">
        <is>
          <t>Y</t>
        </is>
      </c>
      <c r="L280" s="30" t="n"/>
      <c r="M280" s="30" t="inlineStr">
        <is>
          <t>A florist-designed bouquet of 12 assorted-colour roses in a clear glass vase, plus a greeting card. A warm gift for a birthday, a thank-you or a just-because moment, with a vase to keep once the flowers are gone.</t>
        </is>
      </c>
      <c r="N280" s="30">
        <f>LEN(TRIM(SUBSTITUTE(M280,CHAR(10)," ")))-LEN(SUBSTITUTE(TRIM(SUBSTITUTE(M280,CHAR(10)," "))," ",""))+1</f>
        <v/>
      </c>
      <c r="O280" s="30" t="inlineStr">
        <is>
          <t>&lt;p&gt;A florist-designed bouquet of 12 assorted-colour roses in a clear glass vase, plus a greeting card. A warm gift for a birthday, a thank-you or a just-because moment, with a vase to keep once the flowers are gone.&lt;/p&gt;</t>
        </is>
      </c>
      <c r="P280" s="29" t="inlineStr">
        <is>
          <t>ok</t>
        </is>
      </c>
      <c r="Q280" s="30" t="inlineStr">
        <is>
          <t>One Dozen Assorted Roses, Vase &amp; Card Combo brings together 12 assorted-colour roses, arranged in a clear glass vase, plus a greeting card. It suits a birthday, a thank-you or a just-because moment.
Mixed colours say thoughtfulness. We hand-arrange each one at Aussie Blooms so it looks the way you pictured it, ready for the kitchen bench.</t>
        </is>
      </c>
      <c r="R280" s="30" t="inlineStr">
        <is>
          <t>&lt;p&gt;One Dozen Assorted Roses, Vase &amp;amp; Card Combo brings together 12 assorted-colour roses, arranged in a clear glass vase, plus a greeting card. It suits a birthday, a thank-you or a just-because moment.&lt;/p&gt;&lt;p&gt;Mixed colours say thoughtfulness. We hand-arrange each one at Aussie Blooms so it looks the way you pictured it, ready for the kitchen bench.&lt;/p&gt;</t>
        </is>
      </c>
      <c r="S280" s="29" t="inlineStr">
        <is>
          <t>ok</t>
        </is>
      </c>
      <c r="T280" s="30" t="inlineStr">
        <is>
          <t>Inside the bunch: 12 assorted-colour roses in a clear glass vase, plus a greeting card. Made for the moment someone opens the door and smiles.</t>
        </is>
      </c>
      <c r="U280" s="30" t="inlineStr">
        <is>
          <t>&lt;p&gt;Inside the bunch: 12 assorted-colour roses in a clear glass vase, plus a greeting card. Made for the moment someone opens the door and smiles.&lt;/p&gt;</t>
        </is>
      </c>
      <c r="V280" s="29" t="inlineStr">
        <is>
          <t>ok</t>
        </is>
      </c>
      <c r="W280" s="30" t="n"/>
      <c r="X280" s="30" t="inlineStr">
        <is>
          <t>n/a (Mel's: mason jar products only)</t>
        </is>
      </c>
      <c r="Y280" s="30" t="n"/>
      <c r="Z280" s="48" t="inlineStr">
        <is>
          <t>-</t>
        </is>
      </c>
      <c r="AA280" t="n">
        <v>203</v>
      </c>
      <c r="AB280" s="44" t="n">
        <v>2427.99</v>
      </c>
      <c r="AC280" t="n">
        <v>21</v>
      </c>
      <c r="AD280" s="45" t="n">
        <v>0.0002781911481001897</v>
      </c>
      <c r="AE280" s="45" t="n">
        <v>0.000692973014091868</v>
      </c>
      <c r="AF280" t="n">
        <v>109</v>
      </c>
    </row>
    <row r="281" ht="109.5" customHeight="1" s="24">
      <c r="A281" s="30" t="inlineStr">
        <is>
          <t>LF22-10</t>
        </is>
      </c>
      <c r="B281" s="30" t="inlineStr">
        <is>
          <t>Shades of Pink</t>
        </is>
      </c>
      <c r="C281" s="30" t="inlineStr">
        <is>
          <t>Bouquets</t>
        </is>
      </c>
      <c r="D281" s="43" t="inlineStr">
        <is>
          <t>READY TO REVIEW</t>
        </is>
      </c>
      <c r="E281" s="30" t="n"/>
      <c r="F281" s="30" t="inlineStr">
        <is>
          <t>none</t>
        </is>
      </c>
      <c r="G281" s="30" t="inlineStr">
        <is>
          <t>3 × Gerbera Daisy Hot Pink; 3 × Gerbera Daisies Light Pink; 2 × Ruscus Israeli; 3 × Alstroemeria Pink</t>
        </is>
      </c>
      <c r="H281" s="30" t="inlineStr">
        <is>
          <t>3 × Gerbera Daisies Light Pink; 2 × Ruscus Israeli; 3 × Alstroemeria Pink</t>
        </is>
      </c>
      <c r="I281" s="31" t="inlineStr">
        <is>
          <t>3 × Gerbera Daisies Light Pink; 2 × Ruscus Israeli; 3 × Alstroemeria Pink</t>
        </is>
      </c>
      <c r="J281" s="30" t="inlineStr">
        <is>
          <t>3 × Alstroemeria Pink; 2 × Ruscus Israeli; 3 × Gerbera Daisies Light Pink</t>
        </is>
      </c>
      <c r="K281" s="30" t="inlineStr">
        <is>
          <t>N</t>
        </is>
      </c>
      <c r="L281" s="30" t="n"/>
      <c r="M281" s="30" t="inlineStr">
        <is>
          <t>A florist-designed bouquet of 3 light pink gerberas and 3 pink alstroemeria. Chosen for a birthday, a thank-you or a just-because moment, it is a gift that says you care.</t>
        </is>
      </c>
      <c r="N281" s="30">
        <f>LEN(TRIM(SUBSTITUTE(M281,CHAR(10)," ")))-LEN(SUBSTITUTE(TRIM(SUBSTITUTE(M281,CHAR(10)," "))," ",""))+1</f>
        <v/>
      </c>
      <c r="O281" s="30" t="inlineStr">
        <is>
          <t>&lt;p&gt;A florist-designed bouquet of 3 light pink gerberas and 3 pink alstroemeria. Chosen for a birthday, a thank-you or a just-because moment, it is a gift that says you care.&lt;/p&gt;</t>
        </is>
      </c>
      <c r="P281" s="29" t="inlineStr">
        <is>
          <t>ok</t>
        </is>
      </c>
      <c r="Q281" s="30" t="inlineStr">
        <is>
          <t>Shades of Pink brings together 3 light pink gerberas and 3 pink alstroemeria. It suits a birthday, a thank-you or a just-because moment.
Light pink tones say tenderness. We hand-arrange each one at Aussie Blooms so it looks the way you pictured it, ready for the kitchen bench.</t>
        </is>
      </c>
      <c r="R281" s="30" t="inlineStr">
        <is>
          <t>&lt;p&gt;Shades of Pink brings together 3 light pink gerberas and 3 pink alstroemeria. It suits a birthday, a thank-you or a just-because moment.&lt;/p&gt;&lt;p&gt;Light pink tones say tenderness. We hand-arrange each one at Aussie Blooms so it looks the way you pictured it, ready for the kitchen bench.&lt;/p&gt;</t>
        </is>
      </c>
      <c r="S281" s="29" t="inlineStr">
        <is>
          <t>ok</t>
        </is>
      </c>
      <c r="T281" s="30" t="inlineStr">
        <is>
          <t>Inside the bunch: 3 light pink gerberas and 3 pink alstroemeria. Calm colour for the kind of day that deserves a pause.</t>
        </is>
      </c>
      <c r="U281" s="30" t="inlineStr">
        <is>
          <t>&lt;p&gt;Inside the bunch: 3 light pink gerberas and 3 pink alstroemeria. Calm colour for the kind of day that deserves a pause.&lt;/p&gt;</t>
        </is>
      </c>
      <c r="V281" s="29" t="inlineStr">
        <is>
          <t>ok</t>
        </is>
      </c>
      <c r="W281" s="30" t="n"/>
      <c r="X281" s="30" t="inlineStr">
        <is>
          <t>n/a (Mel's: mason jar products only)</t>
        </is>
      </c>
      <c r="Y281" s="30" t="n"/>
      <c r="Z281" s="48" t="inlineStr">
        <is>
          <t>-</t>
        </is>
      </c>
      <c r="AA281" t="inlineStr">
        <is>
          <t>no sales</t>
        </is>
      </c>
      <c r="AB281" s="44" t="n">
        <v>0</v>
      </c>
      <c r="AC281" t="n">
        <v>0</v>
      </c>
      <c r="AD281" s="45" t="n">
        <v>0</v>
      </c>
      <c r="AE281" s="45" t="n">
        <v>0</v>
      </c>
      <c r="AF281" t="inlineStr">
        <is>
          <t>no sales</t>
        </is>
      </c>
    </row>
    <row r="282" ht="109.5" customHeight="1" s="24">
      <c r="A282" s="30" t="inlineStr">
        <is>
          <t>AUSSR-02</t>
        </is>
      </c>
      <c r="B282" s="30" t="inlineStr">
        <is>
          <t>Snowdrop Solo</t>
        </is>
      </c>
      <c r="C282" s="30" t="inlineStr">
        <is>
          <t>Bouquets</t>
        </is>
      </c>
      <c r="D282" s="43" t="inlineStr">
        <is>
          <t>READY TO REVIEW</t>
        </is>
      </c>
      <c r="E282" s="30" t="inlineStr">
        <is>
          <t>Snowdrop Solo lets seven elegant roses speak for themselves, simple, pure and quietly captivating. A timeless choice for an anniversary, a birthday or simply because someone deserves to feel adored.</t>
        </is>
      </c>
      <c r="F282" s="30" t="inlineStr">
        <is>
          <t>Shopify (28 Sep)</t>
        </is>
      </c>
      <c r="G282" s="30" t="inlineStr">
        <is>
          <t>1 × Roses White; 1 × Baby's Breath; 1 × Ruscus Israeli; 1 × Greeting Card</t>
        </is>
      </c>
      <c r="H282" s="30" t="inlineStr">
        <is>
          <t>1 × Roses White; 1 × Baby's Breath; 1 × Ruscus Israeli; 1 × Greeting Card</t>
        </is>
      </c>
      <c r="I282" s="30" t="inlineStr">
        <is>
          <t>1 × Roses White; 1 × Baby's Breath; 1 × Ruscus Israeli; 1 × Greeting Card</t>
        </is>
      </c>
      <c r="J282" s="30" t="inlineStr">
        <is>
          <t>1 × Roses White; 1 × Greeting Card; 1 × Ruscus Israeli; 1 × Baby's Breath</t>
        </is>
      </c>
      <c r="K282" s="30" t="inlineStr">
        <is>
          <t>Y</t>
        </is>
      </c>
      <c r="L282" s="30" t="n"/>
      <c r="M282" s="30" t="inlineStr">
        <is>
          <t>A fresh arrangement of 1 white rose, plus a greeting card. A lovely way to mark a birthday, a thank-you or a just-because moment, and a bright moment when the door opens.</t>
        </is>
      </c>
      <c r="N282" s="30">
        <f>LEN(TRIM(SUBSTITUTE(M282,CHAR(10)," ")))-LEN(SUBSTITUTE(TRIM(SUBSTITUTE(M282,CHAR(10)," "))," ",""))+1</f>
        <v/>
      </c>
      <c r="O282" s="30" t="inlineStr">
        <is>
          <t>&lt;p&gt;A fresh arrangement of 1 white rose, plus a greeting card. A lovely way to mark a birthday, a thank-you or a just-because moment, and a bright moment when the door opens.&lt;/p&gt;</t>
        </is>
      </c>
      <c r="P282" s="29" t="inlineStr">
        <is>
          <t>ok</t>
        </is>
      </c>
      <c r="Q282" s="30" t="inlineStr">
        <is>
          <t>Snowdrop Solo brings together 1 white rose, plus a greeting card. It suits a birthday, a thank-you or a just-because moment.
White tones say calm and a fresh start. We hand-arrange each one at Aussie Blooms so it looks the way you pictured it, ready for a summer table.</t>
        </is>
      </c>
      <c r="R282" s="30" t="inlineStr">
        <is>
          <t>&lt;p&gt;Snowdrop Solo brings together 1 white rose, plus a greeting card. It suits a birthday, a thank-you or a just-because moment.&lt;/p&gt;&lt;p&gt;White tones say calm and a fresh start. We hand-arrange each one at Aussie Blooms so it looks the way you pictured it, ready for a summer table.&lt;/p&gt;</t>
        </is>
      </c>
      <c r="S282" s="29" t="inlineStr">
        <is>
          <t>ok</t>
        </is>
      </c>
      <c r="T282" s="30" t="inlineStr">
        <is>
          <t>The bunch holds: 1 white rose, plus a greeting card. Gentle, easy on the eye, and ready for any table you give it.</t>
        </is>
      </c>
      <c r="U282" s="30" t="inlineStr">
        <is>
          <t>&lt;p&gt;The bunch holds: 1 white rose, plus a greeting card. Gentle, easy on the eye, and ready for any table you give it.&lt;/p&gt;</t>
        </is>
      </c>
      <c r="V282" s="29" t="inlineStr">
        <is>
          <t>ok</t>
        </is>
      </c>
      <c r="W282" s="30" t="n"/>
      <c r="X282" s="30" t="inlineStr">
        <is>
          <t>n/a (Mel's: mason jar products only)</t>
        </is>
      </c>
      <c r="Y282" s="30" t="n"/>
      <c r="Z282" s="48" t="inlineStr">
        <is>
          <t>-</t>
        </is>
      </c>
      <c r="AA282" t="n">
        <v>217</v>
      </c>
      <c r="AB282" s="44" t="n">
        <v>1731.83</v>
      </c>
      <c r="AC282" t="n">
        <v>77</v>
      </c>
      <c r="AD282" s="45" t="n">
        <v>0.0001984280514075037</v>
      </c>
      <c r="AE282" s="45" t="n">
        <v>0.0004942834658948667</v>
      </c>
      <c r="AF282" t="n">
        <v>119</v>
      </c>
    </row>
    <row r="283" ht="109.5" customHeight="1" s="24">
      <c r="A283" s="30" t="inlineStr">
        <is>
          <t>AUSSR-03</t>
        </is>
      </c>
      <c r="B283" s="30" t="inlineStr">
        <is>
          <t>Sunny Smile</t>
        </is>
      </c>
      <c r="C283" s="30" t="inlineStr">
        <is>
          <t>Bouquets</t>
        </is>
      </c>
      <c r="D283" s="43" t="inlineStr">
        <is>
          <t>READY TO REVIEW</t>
        </is>
      </c>
      <c r="E283" s="30" t="inlineStr">
        <is>
          <t>Sunny Smile brings seven cheerful roses together in a bright, uplifting bouquet that radiates warmth. Perfect for an anniversary, a birthday or a just-because moment that brightens someone's whole day.</t>
        </is>
      </c>
      <c r="F283" s="30" t="inlineStr">
        <is>
          <t>Shopify (28 Sep)</t>
        </is>
      </c>
      <c r="G283" s="30" t="inlineStr">
        <is>
          <t>1 × Roses Yellow; 1 × Baby's Breath; 1 × Ruscus Israeli; 1 × Greeting Card</t>
        </is>
      </c>
      <c r="H283" s="30" t="inlineStr">
        <is>
          <t>1 × Roses Yellow; 1 × Baby's Breath; 1 × Ruscus Israeli; 1 × Greeting Card</t>
        </is>
      </c>
      <c r="I283" s="30" t="inlineStr">
        <is>
          <t>1 × Roses Yellow; 1 × Baby's Breath; 1 × Ruscus Israeli; 1 × Greeting Card</t>
        </is>
      </c>
      <c r="J283" s="30" t="inlineStr">
        <is>
          <t>1 × Roses Yellow; 1 × Greeting Card; 1 × Ruscus Israeli; 1 × Baby's Breath</t>
        </is>
      </c>
      <c r="K283" s="30" t="inlineStr">
        <is>
          <t>Y</t>
        </is>
      </c>
      <c r="L283" s="30" t="n"/>
      <c r="M283" s="30" t="inlineStr">
        <is>
          <t>A fresh arrangement of 1 yellow rose, plus a greeting card. A lovely way to mark a get-well wish or a thank-you, and a bright moment when the door opens.</t>
        </is>
      </c>
      <c r="N283" s="30">
        <f>LEN(TRIM(SUBSTITUTE(M283,CHAR(10)," ")))-LEN(SUBSTITUTE(TRIM(SUBSTITUTE(M283,CHAR(10)," "))," ",""))+1</f>
        <v/>
      </c>
      <c r="O283" s="30" t="inlineStr">
        <is>
          <t>&lt;p&gt;A fresh arrangement of 1 yellow rose, plus a greeting card. A lovely way to mark a get-well wish or a thank-you, and a bright moment when the door opens.&lt;/p&gt;</t>
        </is>
      </c>
      <c r="P283" s="29" t="inlineStr">
        <is>
          <t>ok</t>
        </is>
      </c>
      <c r="Q283" s="30" t="inlineStr">
        <is>
          <t>Sunny Smile brings together 1 yellow rose, plus a greeting card. It suits a get-well wish or a thank-you.
Yellow tones say friendship and cheer. We hand-arrange each one at Aussie Blooms so it looks the way you pictured it, ready for the bedside table.</t>
        </is>
      </c>
      <c r="R283" s="30" t="inlineStr">
        <is>
          <t>&lt;p&gt;Sunny Smile brings together 1 yellow rose, plus a greeting card. It suits a get-well wish or a thank-you.&lt;/p&gt;&lt;p&gt;Yellow tones say friendship and cheer. We hand-arrange each one at Aussie Blooms so it looks the way you pictured it, ready for the bedside table.&lt;/p&gt;</t>
        </is>
      </c>
      <c r="S283" s="29" t="inlineStr">
        <is>
          <t>ok</t>
        </is>
      </c>
      <c r="T283" s="30" t="inlineStr">
        <is>
          <t>The bunch holds: 1 yellow rose, plus a greeting card. Enough colour to turn an ordinary bench into the best spot in the house.</t>
        </is>
      </c>
      <c r="U283" s="30" t="inlineStr">
        <is>
          <t>&lt;p&gt;The bunch holds: 1 yellow rose, plus a greeting card. Enough colour to turn an ordinary bench into the best spot in the house.&lt;/p&gt;</t>
        </is>
      </c>
      <c r="V283" s="29" t="inlineStr">
        <is>
          <t>ok</t>
        </is>
      </c>
      <c r="W283" s="30" t="n"/>
      <c r="X283" s="30" t="inlineStr">
        <is>
          <t>n/a (Mel's: mason jar products only)</t>
        </is>
      </c>
      <c r="Y283" s="30" t="n"/>
      <c r="Z283" s="48" t="inlineStr">
        <is>
          <t>-</t>
        </is>
      </c>
      <c r="AA283" t="n">
        <v>145</v>
      </c>
      <c r="AB283" s="44" t="n">
        <v>6683.71</v>
      </c>
      <c r="AC283" t="n">
        <v>283</v>
      </c>
      <c r="AD283" s="45" t="n">
        <v>0.0007657990804216545</v>
      </c>
      <c r="AE283" s="45" t="n">
        <v>0.001907602382651847</v>
      </c>
      <c r="AF283" t="n">
        <v>68</v>
      </c>
    </row>
    <row r="284" ht="109.5" customHeight="1" s="24">
      <c r="A284" s="30" t="inlineStr">
        <is>
          <t>AUSTRT-02</t>
        </is>
      </c>
      <c r="B284" s="30" t="inlineStr">
        <is>
          <t>Ivory Grace Trio</t>
        </is>
      </c>
      <c r="C284" s="30" t="inlineStr">
        <is>
          <t>Bouquets</t>
        </is>
      </c>
      <c r="D284" s="43" t="inlineStr">
        <is>
          <t>READY TO REVIEW</t>
        </is>
      </c>
      <c r="E284" s="30" t="inlineStr">
        <is>
          <t>Seventeen creamy ivory roses, arranged with timeless elegance, make the Ivory Grace Trio quietly unforgettable. Pure and refined, it is a graceful choice for a birthday, a heartfelt congratulations, or wishing someone a gentle return to health.</t>
        </is>
      </c>
      <c r="F284" s="30" t="inlineStr">
        <is>
          <t>Shopify (28 Sep)</t>
        </is>
      </c>
      <c r="G284" s="30" t="inlineStr">
        <is>
          <t>3 × Roses Cream; 1 × Baby's Breath; 1 × Ruscus Israeli; 1 × Mason Jar</t>
        </is>
      </c>
      <c r="H284" s="30" t="inlineStr">
        <is>
          <t>3 × Roses Cream; 1 × Baby's Breath; 1 × Ruscus Israeli; 1 × Mason Jar</t>
        </is>
      </c>
      <c r="I284" s="30" t="inlineStr">
        <is>
          <t>3 × Roses Cream; 1 × Baby's Breath; 1 × Ruscus Israeli; 1 × Mason Jar</t>
        </is>
      </c>
      <c r="J284" s="30" t="inlineStr">
        <is>
          <t>1 × Ruscus Israeli; 1 × Mason Jar; 1 × Baby's Breath; 3 × Roses Cream</t>
        </is>
      </c>
      <c r="K284" s="30" t="inlineStr">
        <is>
          <t>Y</t>
        </is>
      </c>
      <c r="L284" s="30" t="n"/>
      <c r="M284" s="30" t="inlineStr">
        <is>
          <t>A hand-arranged mason jar bouquet of 3 cream roses. A warm gift for a birthday, a thank-you or a just-because moment, with a mason jar to keep once the flowers are gone.</t>
        </is>
      </c>
      <c r="N284" s="30">
        <f>LEN(TRIM(SUBSTITUTE(M284,CHAR(10)," ")))-LEN(SUBSTITUTE(TRIM(SUBSTITUTE(M284,CHAR(10)," "))," ",""))+1</f>
        <v/>
      </c>
      <c r="O284" s="30" t="inlineStr">
        <is>
          <t>&lt;p&gt;A hand-arranged mason jar bouquet of 3 cream roses. A warm gift for a birthday, a thank-you or a just-because moment, with a mason jar to keep once the flowers are gone.&lt;/p&gt;</t>
        </is>
      </c>
      <c r="P284" s="29" t="inlineStr">
        <is>
          <t>ok</t>
        </is>
      </c>
      <c r="Q284" s="30" t="inlineStr">
        <is>
          <t>Ivory Grace Trio brings together 3 cream roses, presented in a mason jar you can keep. It suits a birthday, a thank-you or a just-because moment.
Cream tones say quiet warmth. We hand-arrange each one at Aussie Blooms so it looks the way you pictured it, ready for a Sunday lunch. Stems can vary with the season, while the cream palette stays.</t>
        </is>
      </c>
      <c r="R284" s="30" t="inlineStr">
        <is>
          <t>&lt;p&gt;Ivory Grace Trio brings together 3 cream roses, presented in a mason jar you can keep. It suits a birthday, a thank-you or a just-because moment.&lt;/p&gt;&lt;p&gt;Cream tones say quiet warmth. We hand-arrange each one at Aussie Blooms so it looks the way you pictured it, ready for a Sunday lunch. Stems can vary with the season, while the cream palette stays.&lt;/p&gt;</t>
        </is>
      </c>
      <c r="S284" s="29" t="inlineStr">
        <is>
          <t>ok</t>
        </is>
      </c>
      <c r="T284" s="30" t="inlineStr">
        <is>
          <t>Inside the jar: 3 cream roses. Calm colour for the kind of day that deserves a pause.</t>
        </is>
      </c>
      <c r="U284" s="30" t="inlineStr">
        <is>
          <t>&lt;p&gt;Inside the jar: 3 cream roses. Calm colour for the kind of day that deserves a pause.&lt;/p&gt;</t>
        </is>
      </c>
      <c r="V284" s="29" t="inlineStr">
        <is>
          <t>ok</t>
        </is>
      </c>
      <c r="W284" s="30" t="n"/>
      <c r="X284" s="30" t="inlineStr">
        <is>
          <t>n/a (Mel's: mason jar products only)</t>
        </is>
      </c>
      <c r="Y284" s="30" t="n"/>
      <c r="Z284" s="48" t="inlineStr">
        <is>
          <t>-</t>
        </is>
      </c>
      <c r="AA284" t="n">
        <v>91</v>
      </c>
      <c r="AB284" s="44" t="n">
        <v>17715.92</v>
      </c>
      <c r="AC284" t="n">
        <v>489</v>
      </c>
      <c r="AD284" s="45" t="n">
        <v>0.002029836314660557</v>
      </c>
      <c r="AE284" s="45" t="n">
        <v>0.005056313972207573</v>
      </c>
      <c r="AF284" t="n">
        <v>40</v>
      </c>
    </row>
    <row r="285" ht="109.5" customHeight="1" s="24">
      <c r="A285" s="30" t="inlineStr">
        <is>
          <t>AUSTRT-03</t>
        </is>
      </c>
      <c r="B285" s="30" t="inlineStr">
        <is>
          <t>Blushing Rose Trio</t>
        </is>
      </c>
      <c r="C285" s="30" t="inlineStr">
        <is>
          <t>Bouquets</t>
        </is>
      </c>
      <c r="D285" s="43" t="inlineStr">
        <is>
          <t>READY TO REVIEW</t>
        </is>
      </c>
      <c r="E285" s="30" t="inlineStr">
        <is>
          <t>Seventeen elegant roses arranged in a simple, graceful trio of classic blooms. Understated yet heartfelt, it's a beautiful choice for a birthday, a warm congratulations, or sending well wishes to someone on the mend.</t>
        </is>
      </c>
      <c r="F285" s="30" t="inlineStr">
        <is>
          <t>Shopify (28 Sep)</t>
        </is>
      </c>
      <c r="G285" s="30" t="inlineStr">
        <is>
          <t>3 × Roses light pink; 1 × Baby's Breath; 1 × Ruscus Israeli; 1 × Mason Jar</t>
        </is>
      </c>
      <c r="H285" s="30" t="inlineStr">
        <is>
          <t>3 × Roses light pink; 1 × Baby's Breath; 1 × Ruscus Israeli; 1 × Mason Jar</t>
        </is>
      </c>
      <c r="I285" s="30" t="inlineStr">
        <is>
          <t>3 × Roses light pink; 1 × Baby's Breath; 1 × Ruscus Israeli; 1 × Mason Jar</t>
        </is>
      </c>
      <c r="J285" s="30" t="inlineStr">
        <is>
          <t>1 × Ruscus Israeli; 1 × Mason Jar; 1 × Baby's Breath; 3 × Roses light pink</t>
        </is>
      </c>
      <c r="K285" s="30" t="inlineStr">
        <is>
          <t>Y</t>
        </is>
      </c>
      <c r="L285" s="30" t="n"/>
      <c r="M285" s="30" t="inlineStr">
        <is>
          <t>A mason jar arrangement of 3 light pink roses. A lovely way to mark a birthday, a thank-you or a just-because moment, and the mason jar stays useful long after.</t>
        </is>
      </c>
      <c r="N285" s="30">
        <f>LEN(TRIM(SUBSTITUTE(M285,CHAR(10)," ")))-LEN(SUBSTITUTE(TRIM(SUBSTITUTE(M285,CHAR(10)," "))," ",""))+1</f>
        <v/>
      </c>
      <c r="O285" s="30" t="inlineStr">
        <is>
          <t>&lt;p&gt;A mason jar arrangement of 3 light pink roses. A lovely way to mark a birthday, a thank-you or a just-because moment, and the mason jar stays useful long after.&lt;/p&gt;</t>
        </is>
      </c>
      <c r="P285" s="29" t="inlineStr">
        <is>
          <t>ok</t>
        </is>
      </c>
      <c r="Q285" s="30" t="inlineStr">
        <is>
          <t>Blushing Rose Trio brings together 3 light pink roses, presented in a mason jar you can keep. It suits a birthday, a thank-you or a just-because moment.
Light pink tones say tenderness. We hand-arrange each one at Aussie Blooms so it looks the way you pictured it, ready for the bedside table. Stems can vary with the season, while the light pink palette stays.</t>
        </is>
      </c>
      <c r="R285" s="30" t="inlineStr">
        <is>
          <t>&lt;p&gt;Blushing Rose Trio brings together 3 light pink roses, presented in a mason jar you can keep. It suits a birthday, a thank-you or a just-because moment.&lt;/p&gt;&lt;p&gt;Light pink tones say tenderness. We hand-arrange each one at Aussie Blooms so it looks the way you pictured it, ready for the bedside table. Stems can vary with the season, while the light pink palette stays.&lt;/p&gt;</t>
        </is>
      </c>
      <c r="S285" s="29" t="inlineStr">
        <is>
          <t>ok</t>
        </is>
      </c>
      <c r="T285" s="30" t="inlineStr">
        <is>
          <t>The jar holds: 3 light pink roses. Gentle, easy on the eye, and ready for any table you give it.</t>
        </is>
      </c>
      <c r="U285" s="30" t="inlineStr">
        <is>
          <t>&lt;p&gt;The jar holds: 3 light pink roses. Gentle, easy on the eye, and ready for any table you give it.&lt;/p&gt;</t>
        </is>
      </c>
      <c r="V285" s="29" t="inlineStr">
        <is>
          <t>ok</t>
        </is>
      </c>
      <c r="W285" s="30" t="n"/>
      <c r="X285" s="30" t="inlineStr">
        <is>
          <t>n/a (Mel's: mason jar products only)</t>
        </is>
      </c>
      <c r="Y285" s="30" t="n"/>
      <c r="Z285" s="48" t="inlineStr">
        <is>
          <t>-</t>
        </is>
      </c>
      <c r="AA285" t="n">
        <v>51</v>
      </c>
      <c r="AB285" s="44" t="n">
        <v>43344.15</v>
      </c>
      <c r="AC285" t="n">
        <v>1229</v>
      </c>
      <c r="AD285" s="45" t="n">
        <v>0.004966241654245219</v>
      </c>
      <c r="AE285" s="45" t="n">
        <v>0.01237088768407346</v>
      </c>
      <c r="AF285" t="n">
        <v>20</v>
      </c>
    </row>
    <row r="286" ht="109.5" customHeight="1" s="24">
      <c r="A286" s="30" t="inlineStr">
        <is>
          <t>AUSGRT-02</t>
        </is>
      </c>
      <c r="B286" s="30" t="inlineStr">
        <is>
          <t>White Cloud Gerbera Trio</t>
        </is>
      </c>
      <c r="C286" s="30" t="inlineStr">
        <is>
          <t>Bouquets</t>
        </is>
      </c>
      <c r="D286" s="43" t="inlineStr">
        <is>
          <t>READY TO REVIEW</t>
        </is>
      </c>
      <c r="E286" s="30" t="inlineStr">
        <is>
          <t>A trio of crisp white gerberas, fresh and uplifting in their simple beauty. Clean, modern and effortlessly cheerful, this bright bouquet is a lovely way to mark an anniversary, celebrate a birthday or say congratulations.</t>
        </is>
      </c>
      <c r="F286" s="30" t="inlineStr">
        <is>
          <t>Shopify (28 Sep)</t>
        </is>
      </c>
      <c r="G286" s="30" t="inlineStr">
        <is>
          <t>3 × Gerbera Daisies White; 1 × Ruscus Israeli</t>
        </is>
      </c>
      <c r="H286" s="30" t="inlineStr">
        <is>
          <t>3 × Gerbera Daisies White; 1 × Ruscus Israeli</t>
        </is>
      </c>
      <c r="I286" s="30" t="inlineStr">
        <is>
          <t>3 × Gerbera Daisies White; 1 × Ruscus Israeli</t>
        </is>
      </c>
      <c r="J286" s="30" t="inlineStr">
        <is>
          <t>3 × Gerbera Daisies White; 1 × Ruscus Israeli</t>
        </is>
      </c>
      <c r="K286" s="30" t="inlineStr">
        <is>
          <t>Y</t>
        </is>
      </c>
      <c r="L286" s="30" t="n"/>
      <c r="M286" s="30" t="inlineStr">
        <is>
          <t>A florist-designed bouquet of 3 white gerberas. Chosen for a birthday, a thank-you or a just-because moment, it says you were thinking of them.</t>
        </is>
      </c>
      <c r="N286" s="30">
        <f>LEN(TRIM(SUBSTITUTE(M286,CHAR(10)," ")))-LEN(SUBSTITUTE(TRIM(SUBSTITUTE(M286,CHAR(10)," "))," ",""))+1</f>
        <v/>
      </c>
      <c r="O286" s="30" t="inlineStr">
        <is>
          <t>&lt;p&gt;A florist-designed bouquet of 3 white gerberas. Chosen for a birthday, a thank-you or a just-because moment, it says you were thinking of them.&lt;/p&gt;</t>
        </is>
      </c>
      <c r="P286" s="29" t="inlineStr">
        <is>
          <t>ok</t>
        </is>
      </c>
      <c r="Q286" s="30" t="inlineStr">
        <is>
          <t>White Cloud Gerbera Trio brings together 3 white gerberas. It suits a birthday, a thank-you or a just-because moment.
White tones say calm and a fresh start. We hand-arrange each one at Aussie Blooms so it looks the way you pictured it, ready for the bedside table.</t>
        </is>
      </c>
      <c r="R286" s="30" t="inlineStr">
        <is>
          <t>&lt;p&gt;White Cloud Gerbera Trio brings together 3 white gerberas. It suits a birthday, a thank-you or a just-because moment.&lt;/p&gt;&lt;p&gt;White tones say calm and a fresh start. We hand-arrange each one at Aussie Blooms so it looks the way you pictured it, ready for the bedside table.&lt;/p&gt;</t>
        </is>
      </c>
      <c r="S286" s="29" t="inlineStr">
        <is>
          <t>ok</t>
        </is>
      </c>
      <c r="T286" s="30" t="inlineStr">
        <is>
          <t>Inside the bunch: 3 white gerberas. Calm colour for the kind of day that deserves a pause.</t>
        </is>
      </c>
      <c r="U286" s="30" t="inlineStr">
        <is>
          <t>&lt;p&gt;Inside the bunch: 3 white gerberas. Calm colour for the kind of day that deserves a pause.&lt;/p&gt;</t>
        </is>
      </c>
      <c r="V286" s="29" t="inlineStr">
        <is>
          <t>ok</t>
        </is>
      </c>
      <c r="W286" s="30" t="n"/>
      <c r="X286" s="30" t="inlineStr">
        <is>
          <t>n/a (Mel's: mason jar products only)</t>
        </is>
      </c>
      <c r="Y286" s="30" t="n"/>
      <c r="Z286" s="48" t="inlineStr">
        <is>
          <t>-</t>
        </is>
      </c>
      <c r="AA286" t="n">
        <v>233</v>
      </c>
      <c r="AB286" s="44" t="n">
        <v>549.8200000000001</v>
      </c>
      <c r="AC286" t="n">
        <v>15</v>
      </c>
      <c r="AD286" s="45" t="n">
        <v>6.299670593040992e-05</v>
      </c>
      <c r="AE286" s="45" t="n">
        <v>0.000156924537263612</v>
      </c>
      <c r="AF286" t="n">
        <v>127</v>
      </c>
    </row>
    <row r="287" ht="109.5" customHeight="1" s="24">
      <c r="A287" s="30" t="inlineStr">
        <is>
          <t>AUSGRT-03</t>
        </is>
      </c>
      <c r="B287" s="30" t="inlineStr">
        <is>
          <t>Pink Pop Gerbera Trio</t>
        </is>
      </c>
      <c r="C287" s="30" t="inlineStr">
        <is>
          <t>Bouquets</t>
        </is>
      </c>
      <c r="D287" s="43" t="inlineStr">
        <is>
          <t>READY TO REVIEW</t>
        </is>
      </c>
      <c r="E287" s="30" t="inlineStr">
        <is>
          <t>Seventeen pretty gerberas in playful shades of pink, gathered into a fresh, fuss-free trio. Bright and uplifting, this little posy is a lovely way to mark an anniversary, celebrate a birthday, or send heartfelt congratulations.</t>
        </is>
      </c>
      <c r="F287" s="30" t="inlineStr">
        <is>
          <t>Shopify (28 Sep)</t>
        </is>
      </c>
      <c r="G287" s="30" t="inlineStr">
        <is>
          <t>3 × Gerbera Daisies Pink; 1 × Ruscus Israeli</t>
        </is>
      </c>
      <c r="H287" s="30" t="inlineStr">
        <is>
          <t>3 × Gerbera Daisies Pink; 1 × Ruscus Israeli</t>
        </is>
      </c>
      <c r="I287" s="30" t="inlineStr">
        <is>
          <t>3 × Gerbera Daisies Pink; 1 × Ruscus Israeli</t>
        </is>
      </c>
      <c r="J287" s="30" t="inlineStr">
        <is>
          <t>3 × Gerbera Daisies Pink; 1 × Ruscus Israeli</t>
        </is>
      </c>
      <c r="K287" s="30" t="inlineStr">
        <is>
          <t>Y</t>
        </is>
      </c>
      <c r="L287" s="30" t="n"/>
      <c r="M287" s="30" t="inlineStr">
        <is>
          <t>A hand-arranged bouquet of 3 pink gerberas. A lovely way to mark a birthday, a thank-you or a just-because moment, and a bright moment when the door opens.</t>
        </is>
      </c>
      <c r="N287" s="30">
        <f>LEN(TRIM(SUBSTITUTE(M287,CHAR(10)," ")))-LEN(SUBSTITUTE(TRIM(SUBSTITUTE(M287,CHAR(10)," "))," ",""))+1</f>
        <v/>
      </c>
      <c r="O287" s="30" t="inlineStr">
        <is>
          <t>&lt;p&gt;A hand-arranged bouquet of 3 pink gerberas. A lovely way to mark a birthday, a thank-you or a just-because moment, and a bright moment when the door opens.&lt;/p&gt;</t>
        </is>
      </c>
      <c r="P287" s="29" t="inlineStr">
        <is>
          <t>ok</t>
        </is>
      </c>
      <c r="Q287" s="30" t="inlineStr">
        <is>
          <t>Pink Pop Gerbera Trio brings together 3 pink gerberas. It suits a birthday, a thank-you or a just-because moment.
Pink tones say affection. We hand-arrange each one at Aussie Blooms so it looks the way you pictured it, ready for the bedside table.</t>
        </is>
      </c>
      <c r="R287" s="30" t="inlineStr">
        <is>
          <t>&lt;p&gt;Pink Pop Gerbera Trio brings together 3 pink gerberas. It suits a birthday, a thank-you or a just-because moment.&lt;/p&gt;&lt;p&gt;Pink tones say affection. We hand-arrange each one at Aussie Blooms so it looks the way you pictured it, ready for the bedside table.&lt;/p&gt;</t>
        </is>
      </c>
      <c r="S287" s="29" t="inlineStr">
        <is>
          <t>ok</t>
        </is>
      </c>
      <c r="T287" s="30" t="inlineStr">
        <is>
          <t>In this bunch: 3 pink gerberas. Soft colours that make a quiet room feel looked after.</t>
        </is>
      </c>
      <c r="U287" s="30" t="inlineStr">
        <is>
          <t>&lt;p&gt;In this bunch: 3 pink gerberas. Soft colours that make a quiet room feel looked after.&lt;/p&gt;</t>
        </is>
      </c>
      <c r="V287" s="29" t="inlineStr">
        <is>
          <t>ok</t>
        </is>
      </c>
      <c r="W287" s="30" t="n"/>
      <c r="X287" s="30" t="inlineStr">
        <is>
          <t>n/a (Mel's: mason jar products only)</t>
        </is>
      </c>
      <c r="Y287" s="30" t="n"/>
      <c r="Z287" s="48" t="inlineStr">
        <is>
          <t>-</t>
        </is>
      </c>
      <c r="AA287" t="n">
        <v>198</v>
      </c>
      <c r="AB287" s="44" t="n">
        <v>2620.03</v>
      </c>
      <c r="AC287" t="n">
        <v>68</v>
      </c>
      <c r="AD287" s="45" t="n">
        <v>0.0003001948518523154</v>
      </c>
      <c r="AE287" s="45" t="n">
        <v>0.0007477841502995646</v>
      </c>
      <c r="AF287" t="n">
        <v>105</v>
      </c>
    </row>
    <row r="288" ht="109.5" customHeight="1" s="24">
      <c r="A288" s="30" t="inlineStr">
        <is>
          <t>AUSGRT-04</t>
        </is>
      </c>
      <c r="B288" s="30" t="inlineStr">
        <is>
          <t>Sunshine Gerbera Trio</t>
        </is>
      </c>
      <c r="C288" s="30" t="inlineStr">
        <is>
          <t>Bouquets</t>
        </is>
      </c>
      <c r="D288" s="43" t="inlineStr">
        <is>
          <t>READY TO REVIEW</t>
        </is>
      </c>
      <c r="E288" s="30" t="n"/>
      <c r="F288" s="30" t="inlineStr">
        <is>
          <t>none</t>
        </is>
      </c>
      <c r="G288" s="30" t="inlineStr">
        <is>
          <t>3 × Gerbera Daisies Yellow; 1 × Ruscus Israeli</t>
        </is>
      </c>
      <c r="H288" s="30" t="inlineStr">
        <is>
          <t>3 × Gerbera Daisies Yellow; 1 × Ruscus Israeli</t>
        </is>
      </c>
      <c r="I288" s="30" t="inlineStr">
        <is>
          <t>3 × Gerbera Daisies Yellow; 1 × Ruscus Israeli</t>
        </is>
      </c>
      <c r="J288" s="30" t="inlineStr">
        <is>
          <t>3 × Gerbera Daisies Yellow; 1 × Ruscus Israeli</t>
        </is>
      </c>
      <c r="K288" s="30" t="inlineStr">
        <is>
          <t>N</t>
        </is>
      </c>
      <c r="L288" s="30" t="n"/>
      <c r="M288" s="30" t="inlineStr">
        <is>
          <t>A florist-designed bouquet of 3 yellow gerberas. Chosen for a get-well wish or a thank-you, it says you were thinking of them.</t>
        </is>
      </c>
      <c r="N288" s="30">
        <f>LEN(TRIM(SUBSTITUTE(M288,CHAR(10)," ")))-LEN(SUBSTITUTE(TRIM(SUBSTITUTE(M288,CHAR(10)," "))," ",""))+1</f>
        <v/>
      </c>
      <c r="O288" s="30" t="inlineStr">
        <is>
          <t>&lt;p&gt;A florist-designed bouquet of 3 yellow gerberas. Chosen for a get-well wish or a thank-you, it says you were thinking of them.&lt;/p&gt;</t>
        </is>
      </c>
      <c r="P288" s="29" t="inlineStr">
        <is>
          <t>ok</t>
        </is>
      </c>
      <c r="Q288" s="30" t="inlineStr">
        <is>
          <t>Sunshine Gerbera Trio brings together 3 yellow gerberas. It suits a get-well wish or a thank-you.
Yellow tones say friendship and cheer. We hand-arrange each one at Aussie Blooms so it looks the way you pictured it, ready for a summer table.</t>
        </is>
      </c>
      <c r="R288" s="30" t="inlineStr">
        <is>
          <t>&lt;p&gt;Sunshine Gerbera Trio brings together 3 yellow gerberas. It suits a get-well wish or a thank-you.&lt;/p&gt;&lt;p&gt;Yellow tones say friendship and cheer. We hand-arrange each one at Aussie Blooms so it looks the way you pictured it, ready for a summer table.&lt;/p&gt;</t>
        </is>
      </c>
      <c r="S288" s="29" t="inlineStr">
        <is>
          <t>ok</t>
        </is>
      </c>
      <c r="T288" s="30" t="inlineStr">
        <is>
          <t>Inside the bunch: 3 yellow gerberas. Bright on purpose, and hard to walk past without smiling.</t>
        </is>
      </c>
      <c r="U288" s="30" t="inlineStr">
        <is>
          <t>&lt;p&gt;Inside the bunch: 3 yellow gerberas. Bright on purpose, and hard to walk past without smiling.&lt;/p&gt;</t>
        </is>
      </c>
      <c r="V288" s="29" t="inlineStr">
        <is>
          <t>ok</t>
        </is>
      </c>
      <c r="W288" s="30" t="n"/>
      <c r="X288" s="30" t="inlineStr">
        <is>
          <t>n/a (Mel's: mason jar products only)</t>
        </is>
      </c>
      <c r="Y288" s="30" t="n"/>
      <c r="Z288" s="48" t="inlineStr">
        <is>
          <t>-</t>
        </is>
      </c>
      <c r="AA288" t="n">
        <v>236</v>
      </c>
      <c r="AB288" s="44" t="n">
        <v>454.5</v>
      </c>
      <c r="AC288" t="n">
        <v>10</v>
      </c>
      <c r="AD288" s="45" t="n">
        <v>5.207522979406225e-05</v>
      </c>
      <c r="AE288" s="45" t="n">
        <v>0.0001297191847992281</v>
      </c>
      <c r="AF288" t="n">
        <v>129</v>
      </c>
    </row>
    <row r="289" ht="109.5" customHeight="1" s="24">
      <c r="A289" s="30" t="inlineStr">
        <is>
          <t>AUSGRT-05</t>
        </is>
      </c>
      <c r="B289" s="30" t="inlineStr">
        <is>
          <t>Crimson Gerbera Trio</t>
        </is>
      </c>
      <c r="C289" s="30" t="inlineStr">
        <is>
          <t>Bouquets</t>
        </is>
      </c>
      <c r="D289" s="43" t="inlineStr">
        <is>
          <t>READY TO REVIEW</t>
        </is>
      </c>
      <c r="E289" s="30" t="n"/>
      <c r="F289" s="30" t="inlineStr">
        <is>
          <t>none</t>
        </is>
      </c>
      <c r="G289" s="30" t="inlineStr">
        <is>
          <t>3 × Gerbera Daisies Red; 1 × Ruscus Israeli</t>
        </is>
      </c>
      <c r="H289" s="30" t="inlineStr">
        <is>
          <t>3 × Gerbera Daisies Red; 1 × Ruscus Israeli</t>
        </is>
      </c>
      <c r="I289" s="30" t="inlineStr">
        <is>
          <t>3 × Gerbera Daisies Red; 1 × Ruscus Israeli</t>
        </is>
      </c>
      <c r="J289" s="30" t="inlineStr">
        <is>
          <t>3 × Gerbera Daisies Red; 1 × Ruscus Israeli</t>
        </is>
      </c>
      <c r="K289" s="30" t="inlineStr">
        <is>
          <t>N</t>
        </is>
      </c>
      <c r="L289" s="30" t="n"/>
      <c r="M289" s="30" t="inlineStr">
        <is>
          <t>A fresh arrangement of 3 red gerberas. Chosen for an anniversary or a thank-you, it is a gift that says you care.</t>
        </is>
      </c>
      <c r="N289" s="30">
        <f>LEN(TRIM(SUBSTITUTE(M289,CHAR(10)," ")))-LEN(SUBSTITUTE(TRIM(SUBSTITUTE(M289,CHAR(10)," "))," ",""))+1</f>
        <v/>
      </c>
      <c r="O289" s="30" t="inlineStr">
        <is>
          <t>&lt;p&gt;A fresh arrangement of 3 red gerberas. Chosen for an anniversary or a thank-you, it is a gift that says you care.&lt;/p&gt;</t>
        </is>
      </c>
      <c r="P289" s="29" t="inlineStr">
        <is>
          <t>ok</t>
        </is>
      </c>
      <c r="Q289" s="30" t="inlineStr">
        <is>
          <t>Crimson Gerbera Trio brings together 3 red gerberas. It suits an anniversary or a thank-you.
Red tones say love and devotion. We hand-arrange each one at Aussie Blooms so it looks the way you pictured it, ready for a summer table.</t>
        </is>
      </c>
      <c r="R289" s="30" t="inlineStr">
        <is>
          <t>&lt;p&gt;Crimson Gerbera Trio brings together 3 red gerberas. It suits an anniversary or a thank-you.&lt;/p&gt;&lt;p&gt;Red tones say love and devotion. We hand-arrange each one at Aussie Blooms so it looks the way you pictured it, ready for a summer table.&lt;/p&gt;</t>
        </is>
      </c>
      <c r="S289" s="29" t="inlineStr">
        <is>
          <t>ok</t>
        </is>
      </c>
      <c r="T289" s="30" t="inlineStr">
        <is>
          <t>The bunch holds: 3 red gerberas. A simple good turn for a birthday, a thank-you or no reason at all.</t>
        </is>
      </c>
      <c r="U289" s="30" t="inlineStr">
        <is>
          <t>&lt;p&gt;The bunch holds: 3 red gerberas. A simple good turn for a birthday, a thank-you or no reason at all.&lt;/p&gt;</t>
        </is>
      </c>
      <c r="V289" s="29" t="inlineStr">
        <is>
          <t>ok</t>
        </is>
      </c>
      <c r="W289" s="30" t="n"/>
      <c r="X289" s="30" t="inlineStr">
        <is>
          <t>n/a (Mel's: mason jar products only)</t>
        </is>
      </c>
      <c r="Y289" s="30" t="n"/>
      <c r="Z289" s="48" t="inlineStr">
        <is>
          <t>-</t>
        </is>
      </c>
      <c r="AA289" t="n">
        <v>243</v>
      </c>
      <c r="AB289" s="44" t="n">
        <v>204.75</v>
      </c>
      <c r="AC289" t="n">
        <v>5</v>
      </c>
      <c r="AD289" s="45" t="n">
        <v>2.345963322405775e-05</v>
      </c>
      <c r="AE289" s="45" t="n">
        <v>5.843785057787011e-05</v>
      </c>
      <c r="AF289" t="n">
        <v>135</v>
      </c>
    </row>
    <row r="290" ht="109.5" customHeight="1" s="24">
      <c r="A290" s="30" t="inlineStr">
        <is>
          <t>AUSGF16-110</t>
        </is>
      </c>
      <c r="B290" s="30" t="inlineStr">
        <is>
          <t>Pastel Harmony</t>
        </is>
      </c>
      <c r="C290" s="30" t="inlineStr">
        <is>
          <t>Bouquets</t>
        </is>
      </c>
      <c r="D290" s="43" t="inlineStr">
        <is>
          <t>READY TO REVIEW</t>
        </is>
      </c>
      <c r="E290" s="30" t="inlineStr">
        <is>
          <t>Pastel Harmony gathers a generous flush of roses with soft alstroemeria and a touch of chrysanthemum, all in dreamy, gentle hues. This graceful bouquet is a beautiful way to mark an anniversary, celebrate a birthday or send heartfelt congratulations.</t>
        </is>
      </c>
      <c r="F290" s="30" t="inlineStr">
        <is>
          <t>Shopify (28 Sep)</t>
        </is>
      </c>
      <c r="G290" s="30" t="inlineStr">
        <is>
          <t>3 × Roses Purple; 3 × Roses Peach; 3 × Roses White; 1 × Baby's Breath; 2 × Ruscus Israeli; 1 × Alstroemeria Pink</t>
        </is>
      </c>
      <c r="H290" s="30" t="inlineStr">
        <is>
          <t>3 × Roses Purple; 3 × Roses Peach; 3 × Roses White; 1 × Baby's Breath; 2 × Ruscus Israeli; 1 × Alstroemeria Pink</t>
        </is>
      </c>
      <c r="I290" s="30" t="inlineStr">
        <is>
          <t>3 × Roses Purple; 3 × Roses Peach; 3 × Roses White; 1 × Baby's Breath; 2 × Ruscus Israeli; 1 × Alstroemeria Pink</t>
        </is>
      </c>
      <c r="J290" s="30" t="inlineStr">
        <is>
          <t>3 × Roses White; 1 × Alstroemeria Pink; 2 × Ruscus Israeli; 1 × Baby's Breath; 3 × Roses Peach; 3 × Roses Purple</t>
        </is>
      </c>
      <c r="K290" s="30" t="inlineStr">
        <is>
          <t>Y</t>
        </is>
      </c>
      <c r="L290" s="30" t="n"/>
      <c r="M290" s="30" t="inlineStr">
        <is>
          <t>A hand-arranged bouquet of 3 peach roses, 3 purple roses, 3 white roses and 1 pink alstroemeria. Chosen for a birthday, a thank-you or a just-because moment, it says you were thinking of them.</t>
        </is>
      </c>
      <c r="N290" s="30">
        <f>LEN(TRIM(SUBSTITUTE(M290,CHAR(10)," ")))-LEN(SUBSTITUTE(TRIM(SUBSTITUTE(M290,CHAR(10)," "))," ",""))+1</f>
        <v/>
      </c>
      <c r="O290" s="30" t="inlineStr">
        <is>
          <t>&lt;p&gt;A hand-arranged bouquet of 3 peach roses, 3 purple roses, 3 white roses and 1 pink alstroemeria. Chosen for a birthday, a thank-you or a just-because moment, it says you were thinking of them.&lt;/p&gt;</t>
        </is>
      </c>
      <c r="P290" s="29" t="inlineStr">
        <is>
          <t>ok</t>
        </is>
      </c>
      <c r="Q290" s="30" t="inlineStr">
        <is>
          <t>Pastel Harmony brings together 3 peach roses, 3 purple roses, 3 white roses and 1 pink alstroemeria. It suits a birthday, a thank-you or a just-because moment.
Peach tones say warmth and gentle affection. We hand-arrange each one at Aussie Blooms so it looks the way you pictured it, ready for the kitchen bench.</t>
        </is>
      </c>
      <c r="R290" s="30" t="inlineStr">
        <is>
          <t>&lt;p&gt;Pastel Harmony brings together 3 peach roses, 3 purple roses, 3 white roses and 1 pink alstroemeria. It suits a birthday, a thank-you or a just-because moment.&lt;/p&gt;&lt;p&gt;Peach tones say warmth and gentle affection. We hand-arrange each one at Aussie Blooms so it looks the way you pictured it, ready for the kitchen bench.&lt;/p&gt;</t>
        </is>
      </c>
      <c r="S290" s="29" t="inlineStr">
        <is>
          <t>ok</t>
        </is>
      </c>
      <c r="T290" s="30" t="inlineStr">
        <is>
          <t>In this bunch: 3 peach roses, 3 purple roses, 3 white roses and 1 pink alstroemeria. Soft colours that make a quiet room feel looked after.</t>
        </is>
      </c>
      <c r="U290" s="30" t="inlineStr">
        <is>
          <t>&lt;p&gt;In this bunch: 3 peach roses, 3 purple roses, 3 white roses and 1 pink alstroemeria. Soft colours that make a quiet room feel looked after.&lt;/p&gt;</t>
        </is>
      </c>
      <c r="V290" s="29" t="inlineStr">
        <is>
          <t>ok</t>
        </is>
      </c>
      <c r="W290" s="30" t="n"/>
      <c r="X290" s="30" t="inlineStr">
        <is>
          <t>n/a (Mel's: mason jar products only)</t>
        </is>
      </c>
      <c r="Y290" s="30" t="n"/>
      <c r="Z290" s="48" t="inlineStr">
        <is>
          <t>-</t>
        </is>
      </c>
      <c r="AA290" t="n">
        <v>8</v>
      </c>
      <c r="AB290" s="44" t="n">
        <v>228603.21</v>
      </c>
      <c r="AC290" t="n">
        <v>2216</v>
      </c>
      <c r="AD290" s="45" t="n">
        <v>0.0261926617040385</v>
      </c>
      <c r="AE290" s="45" t="n">
        <v>0.06524581336282938</v>
      </c>
      <c r="AF290" t="n">
        <v>3</v>
      </c>
    </row>
    <row r="291" ht="109.5" customHeight="1" s="24">
      <c r="A291" s="30" t="inlineStr">
        <is>
          <t>AUSGF16-115</t>
        </is>
      </c>
      <c r="B291" s="30" t="inlineStr">
        <is>
          <t>Delicate Elegance</t>
        </is>
      </c>
      <c r="C291" s="30" t="inlineStr">
        <is>
          <t>Bouquets</t>
        </is>
      </c>
      <c r="D291" s="43" t="inlineStr">
        <is>
          <t>READY TO REVIEW</t>
        </is>
      </c>
      <c r="E291" s="30" t="inlineStr">
        <is>
          <t>Delicate Elegance is a graceful floral gift for sympathy, thanks, birthdays, and thoughtful personal notes. Choose it when you want the arrangement to feel composed, soft, and easy to receive. 
 Gentle colours and refined styling suit quieter occasions. 
 A good fit for homes, workplaces, and support messages. 
 The balanced design feels polished without being showy. 
 Add a card message and check the available delivery date before payment.</t>
        </is>
      </c>
      <c r="F291" s="30" t="inlineStr">
        <is>
          <t>Shopify (28 Sep)</t>
        </is>
      </c>
      <c r="G291" s="30" t="inlineStr">
        <is>
          <t>2 × Roses Peach; 4 × Roses White; 1 × Baby's Breath; 2 × Ruscus Israeli; 1 × Alstroemeria White; 2 × Alstroemeria Pink</t>
        </is>
      </c>
      <c r="H291" s="30" t="inlineStr">
        <is>
          <t>2 × Roses Peach; 4 × Roses White; 1 × Baby's Breath; 2 × Ruscus Israeli; 1 × Alstroemeria White; 2 × Alstroemeria Pink</t>
        </is>
      </c>
      <c r="I291" s="30" t="inlineStr">
        <is>
          <t>2 × Roses Peach; 4 × Roses White; 1 × Baby's Breath; 2 × Ruscus Israeli; 1 × Alstroemeria White; 2 × Alstroemeria Pink</t>
        </is>
      </c>
      <c r="J291" s="30" t="inlineStr">
        <is>
          <t>1 × Baby's Breath; 2 × Alstroemeria Pink; 1 × Alstroemeria White; 2 × Ruscus Israeli; 4 × Roses White; 2 × Roses Peach</t>
        </is>
      </c>
      <c r="K291" s="30" t="inlineStr">
        <is>
          <t>Y</t>
        </is>
      </c>
      <c r="L291" s="30" t="n"/>
      <c r="M291" s="30" t="inlineStr">
        <is>
          <t>A fresh arrangement of 4 white roses, 2 peach roses, 2 pink alstroemeria and 1 white alstroemeria. A lovely way to mark a birthday, a thank-you or a just-because moment.</t>
        </is>
      </c>
      <c r="N291" s="30">
        <f>LEN(TRIM(SUBSTITUTE(M291,CHAR(10)," ")))-LEN(SUBSTITUTE(TRIM(SUBSTITUTE(M291,CHAR(10)," "))," ",""))+1</f>
        <v/>
      </c>
      <c r="O291" s="30" t="inlineStr">
        <is>
          <t>&lt;p&gt;A fresh arrangement of 4 white roses, 2 peach roses, 2 pink alstroemeria and 1 white alstroemeria. A lovely way to mark a birthday, a thank-you or a just-because moment.&lt;/p&gt;</t>
        </is>
      </c>
      <c r="P291" s="29" t="inlineStr">
        <is>
          <t>ok</t>
        </is>
      </c>
      <c r="Q291" s="30" t="inlineStr">
        <is>
          <t>Delicate Elegance brings together 4 white roses, 2 peach roses, 2 pink alstroemeria and 1 white alstroemeria. It suits a birthday, a thank-you or a just-because moment.
White tones say calm and a fresh start. We hand-arrange each one at Aussie Blooms so it looks the way you pictured it, ready for a Sunday lunch.</t>
        </is>
      </c>
      <c r="R291" s="30" t="inlineStr">
        <is>
          <t>&lt;p&gt;Delicate Elegance brings together 4 white roses, 2 peach roses, 2 pink alstroemeria and 1 white alstroemeria. It suits a birthday, a thank-you or a just-because moment.&lt;/p&gt;&lt;p&gt;White tones say calm and a fresh start. We hand-arrange each one at Aussie Blooms so it looks the way you pictured it, ready for a Sunday lunch.&lt;/p&gt;</t>
        </is>
      </c>
      <c r="S291" s="29" t="inlineStr">
        <is>
          <t>ok</t>
        </is>
      </c>
      <c r="T291" s="30" t="inlineStr">
        <is>
          <t>The bunch holds: 4 white roses, 2 peach roses, 2 pink alstroemeria and 1 white alstroemeria. Gentle, easy on the eye, and ready for any table you give it.</t>
        </is>
      </c>
      <c r="U291" s="30" t="inlineStr">
        <is>
          <t>&lt;p&gt;The bunch holds: 4 white roses, 2 peach roses, 2 pink alstroemeria and 1 white alstroemeria. Gentle, easy on the eye, and ready for any table you give it.&lt;/p&gt;</t>
        </is>
      </c>
      <c r="V291" s="29" t="inlineStr">
        <is>
          <t>ok</t>
        </is>
      </c>
      <c r="W291" s="30" t="n"/>
      <c r="X291" s="30" t="inlineStr">
        <is>
          <t>n/a (Mel's: mason jar products only)</t>
        </is>
      </c>
      <c r="Y291" s="30" t="n"/>
      <c r="Z291" s="48" t="inlineStr">
        <is>
          <t>-</t>
        </is>
      </c>
      <c r="AA291" t="n">
        <v>1</v>
      </c>
      <c r="AB291" s="44" t="n">
        <v>733473.61</v>
      </c>
      <c r="AC291" t="n">
        <v>11996</v>
      </c>
      <c r="AD291" s="45" t="n">
        <v>0.08403917850914126</v>
      </c>
      <c r="AE291" s="45" t="n">
        <v>0.2093412505429911</v>
      </c>
      <c r="AF291" t="n">
        <v>1</v>
      </c>
    </row>
    <row r="292" ht="109.5" customHeight="1" s="24">
      <c r="A292" s="30" t="inlineStr">
        <is>
          <t>AUBLXNZ-03</t>
        </is>
      </c>
      <c r="B292" s="30" t="inlineStr">
        <is>
          <t>Blossom Harmony</t>
        </is>
      </c>
      <c r="C292" s="30" t="inlineStr">
        <is>
          <t>Bouquets</t>
        </is>
      </c>
      <c r="D292" s="43" t="inlineStr">
        <is>
          <t>READY TO REVIEW</t>
        </is>
      </c>
      <c r="E292" s="30" t="n"/>
      <c r="F292" s="30" t="inlineStr">
        <is>
          <t>none</t>
        </is>
      </c>
      <c r="G292" s="30" t="inlineStr">
        <is>
          <t>5 × Roses light pink; 2 × Roses Purple; 3 × Gerbera Daisies assorted; 3 × Ruscus Israeli; 2 × Alstroemeria White</t>
        </is>
      </c>
      <c r="H292" s="30" t="inlineStr">
        <is>
          <t>5 × Roses light pink; 2 × Roses Purple; 3 × Gerbera Daisies assorted; 3 × Ruscus Israeli; 2 × Alstroemeria White</t>
        </is>
      </c>
      <c r="I292" s="30" t="inlineStr">
        <is>
          <t>5 × Roses light pink; 2 × Roses Purple; 3 × Gerbera Daisies assorted; 3 × Ruscus Israeli; 2 × Alstroemeria White</t>
        </is>
      </c>
      <c r="J292" s="30" t="inlineStr">
        <is>
          <t>3 × Gerbera Daisies assorted; 2 × Alstroemeria White; 3 × Ruscus Israeli; 2 × Roses Purple; 5 × Roses light pink</t>
        </is>
      </c>
      <c r="K292" s="30" t="inlineStr">
        <is>
          <t>Y</t>
        </is>
      </c>
      <c r="L292" s="30" t="n"/>
      <c r="M292" s="30" t="inlineStr">
        <is>
          <t>A fresh arrangement of 5 light pink roses, 3 assorted-colour gerberas, 2 purple roses and 2 white alstroemeria. A thoughtful choice for a birthday, a thank-you or a just-because moment.</t>
        </is>
      </c>
      <c r="N292" s="30">
        <f>LEN(TRIM(SUBSTITUTE(M292,CHAR(10)," ")))-LEN(SUBSTITUTE(TRIM(SUBSTITUTE(M292,CHAR(10)," "))," ",""))+1</f>
        <v/>
      </c>
      <c r="O292" s="30" t="inlineStr">
        <is>
          <t>&lt;p&gt;A fresh arrangement of 5 light pink roses, 3 assorted-colour gerberas, 2 purple roses and 2 white alstroemeria. A thoughtful choice for a birthday, a thank-you or a just-because moment.&lt;/p&gt;</t>
        </is>
      </c>
      <c r="P292" s="29" t="inlineStr">
        <is>
          <t>ok</t>
        </is>
      </c>
      <c r="Q292" s="30" t="inlineStr">
        <is>
          <t>Blossom Harmony brings together 5 light pink roses, 3 assorted-colour gerberas, 2 purple roses and 2 white alstroemeria. It suits a birthday, a thank-you or a just-because moment.
Light pink tones say tenderness. We hand-arrange each one at Aussie Blooms so it looks the way you pictured it, ready for the kitchen bench.</t>
        </is>
      </c>
      <c r="R292" s="30" t="inlineStr">
        <is>
          <t>&lt;p&gt;Blossom Harmony brings together 5 light pink roses, 3 assorted-colour gerberas, 2 purple roses and 2 white alstroemeria. It suits a birthday, a thank-you or a just-because moment.&lt;/p&gt;&lt;p&gt;Light pink tones say tenderness. We hand-arrange each one at Aussie Blooms so it looks the way you pictured it, ready for the kitchen bench.&lt;/p&gt;</t>
        </is>
      </c>
      <c r="S292" s="29" t="inlineStr">
        <is>
          <t>ok</t>
        </is>
      </c>
      <c r="T292" s="30" t="inlineStr">
        <is>
          <t>The bunch holds: 5 light pink roses, 3 assorted-colour gerberas, 2 purple roses and 2 white alstroemeria. Gentle, easy on the eye, and ready for any table you give it.</t>
        </is>
      </c>
      <c r="U292" s="30" t="inlineStr">
        <is>
          <t>&lt;p&gt;The bunch holds: 5 light pink roses, 3 assorted-colour gerberas, 2 purple roses and 2 white alstroemeria. Gentle, easy on the eye, and ready for any table you give it.&lt;/p&gt;</t>
        </is>
      </c>
      <c r="V292" s="29" t="inlineStr">
        <is>
          <t>ok</t>
        </is>
      </c>
      <c r="W292" s="30" t="n"/>
      <c r="X292" s="30" t="inlineStr">
        <is>
          <t>n/a (Mel's: mason jar products only)</t>
        </is>
      </c>
      <c r="Y292" s="30" t="n"/>
      <c r="Z292" s="48" t="inlineStr">
        <is>
          <t>-</t>
        </is>
      </c>
      <c r="AA292" t="n">
        <v>55</v>
      </c>
      <c r="AB292" s="44" t="n">
        <v>40183.4</v>
      </c>
      <c r="AC292" t="n">
        <v>377</v>
      </c>
      <c r="AD292" s="45" t="n">
        <v>0.004604091944789265</v>
      </c>
      <c r="AE292" s="45" t="n">
        <v>0.01146877423643852</v>
      </c>
      <c r="AF292" t="n">
        <v>23</v>
      </c>
    </row>
    <row r="293" ht="109.5" customHeight="1" s="24">
      <c r="A293" s="30" t="inlineStr">
        <is>
          <t>AUBLXNZ-04</t>
        </is>
      </c>
      <c r="B293" s="30" t="inlineStr">
        <is>
          <t>Roses &amp; Alstroemeria Medley</t>
        </is>
      </c>
      <c r="C293" s="30" t="inlineStr">
        <is>
          <t>Bouquets</t>
        </is>
      </c>
      <c r="D293" s="43" t="inlineStr">
        <is>
          <t>READY TO REVIEW</t>
        </is>
      </c>
      <c r="E293" s="30" t="n"/>
      <c r="F293" s="30" t="inlineStr">
        <is>
          <t>none</t>
        </is>
      </c>
      <c r="G293" s="30" t="inlineStr">
        <is>
          <t>2 × Roses Red; 2 × Roses Pink; 2 × Roses White; 1 × Baby's Breath; 2 × Ruscus Israeli; 2 × Alstroemeria White</t>
        </is>
      </c>
      <c r="H293" s="30" t="inlineStr">
        <is>
          <t>2 × Alstroemeria White; 2 × Roses Red; 1 × Baby's Breath; 2 × Ruscus Israeli; 2 × Roses Pink; 1 × Roses light pink; 2 × Roses White</t>
        </is>
      </c>
      <c r="I293" s="31" t="inlineStr">
        <is>
          <t>2 × Alstroemeria White; 2 × Roses Red; 1 × Baby's Breath; 2 × Ruscus Israeli; 2 × Roses Pink; 1 × Roses light pink; 2 × Roses White</t>
        </is>
      </c>
      <c r="J293" s="30" t="inlineStr">
        <is>
          <t>2 × Alstroemeria White; 2 × Roses Red; 1 × Baby's Breath; 2 × Ruscus Israeli; 2 × Roses Pink; 1 × Roses light pink; 2 × Roses White</t>
        </is>
      </c>
      <c r="K293" s="30" t="inlineStr">
        <is>
          <t>Y</t>
        </is>
      </c>
      <c r="L293" s="30" t="n"/>
      <c r="M293" s="30" t="inlineStr">
        <is>
          <t>A hand-arranged bouquet of 2 pink roses, 2 red roses, 2 white alstroemeria, 2 white roses and 1 light pink rose. A lovely way to mark an anniversary or a thank-you.</t>
        </is>
      </c>
      <c r="N293" s="30">
        <f>LEN(TRIM(SUBSTITUTE(M293,CHAR(10)," ")))-LEN(SUBSTITUTE(TRIM(SUBSTITUTE(M293,CHAR(10)," "))," ",""))+1</f>
        <v/>
      </c>
      <c r="O293" s="30" t="inlineStr">
        <is>
          <t>&lt;p&gt;A hand-arranged bouquet of 2 pink roses, 2 red roses, 2 white alstroemeria, 2 white roses and 1 light pink rose. A lovely way to mark an anniversary or a thank-you.&lt;/p&gt;</t>
        </is>
      </c>
      <c r="P293" s="29" t="inlineStr">
        <is>
          <t>ok</t>
        </is>
      </c>
      <c r="Q293" s="30" t="inlineStr">
        <is>
          <t>Roses &amp; Alstroemeria Medley brings together 2 pink roses, 2 red roses, 2 white alstroemeria, 2 white roses and 1 light pink rose. It suits an anniversary or a thank-you.
White tones say calm and a fresh start. We hand-arrange each one at Aussie Blooms so it looks the way you pictured it, ready for a summer table.</t>
        </is>
      </c>
      <c r="R293" s="30" t="inlineStr">
        <is>
          <t>&lt;p&gt;Roses &amp;amp; Alstroemeria Medley brings together 2 pink roses, 2 red roses, 2 white alstroemeria, 2 white roses and 1 light pink rose. It suits an anniversary or a thank-you.&lt;/p&gt;&lt;p&gt;White tones say calm and a fresh start. We hand-arrange each one at Aussie Blooms so it looks the way you pictured it, ready for a summer table.&lt;/p&gt;</t>
        </is>
      </c>
      <c r="S293" s="29" t="inlineStr">
        <is>
          <t>ok</t>
        </is>
      </c>
      <c r="T293" s="30" t="inlineStr">
        <is>
          <t>In this bunch: 2 pink roses, 2 red roses, 2 white alstroemeria, 2 white roses and 1 light pink rose. Some things need no speech. Put these on the table and the message is delivered.</t>
        </is>
      </c>
      <c r="U293" s="30" t="inlineStr">
        <is>
          <t>&lt;p&gt;In this bunch: 2 pink roses, 2 red roses, 2 white alstroemeria, 2 white roses and 1 light pink rose. Some things need no speech. Put these on the table and the message is delivered.&lt;/p&gt;</t>
        </is>
      </c>
      <c r="V293" s="47" t="inlineStr">
        <is>
          <t>delivery promise</t>
        </is>
      </c>
      <c r="W293" s="30" t="n"/>
      <c r="X293" s="30" t="inlineStr">
        <is>
          <t>n/a (Mel's: mason jar products only)</t>
        </is>
      </c>
      <c r="Y293" s="30" t="n"/>
      <c r="Z293" s="48" t="inlineStr">
        <is>
          <t>-</t>
        </is>
      </c>
      <c r="AA293" t="n">
        <v>79</v>
      </c>
      <c r="AB293" s="44" t="n">
        <v>23725.64</v>
      </c>
      <c r="AC293" t="n">
        <v>273</v>
      </c>
      <c r="AD293" s="45" t="n">
        <v>0.002718411782202849</v>
      </c>
      <c r="AE293" s="45" t="n">
        <v>0.006771552650472959</v>
      </c>
      <c r="AF293" t="n">
        <v>33</v>
      </c>
    </row>
    <row r="294" ht="109.5" customHeight="1" s="24">
      <c r="A294" s="30" t="inlineStr">
        <is>
          <t>AUGF16-82</t>
        </is>
      </c>
      <c r="B294" s="30" t="inlineStr">
        <is>
          <t>Just Because</t>
        </is>
      </c>
      <c r="C294" s="30" t="inlineStr">
        <is>
          <t>Bouquets</t>
        </is>
      </c>
      <c r="D294" s="43" t="inlineStr">
        <is>
          <t>READY TO REVIEW</t>
        </is>
      </c>
      <c r="E294" s="30" t="inlineStr">
        <is>
          <t>Two dozen roses joined by alstroemeria and cheerful gerberas give Just Because its joyful, generous spirit. Sometimes no occasion is needed at all, though it shines equally for an anniversary or birthday when you simply want to say you care.</t>
        </is>
      </c>
      <c r="F294" s="30" t="inlineStr">
        <is>
          <t>Shopify (28 Sep)</t>
        </is>
      </c>
      <c r="G294" s="30" t="inlineStr">
        <is>
          <t>3 × Roses Red; 2 × Roses light pink; 2 × Gerbera Daisies Pink; 2 × Ruscus Israeli; 1 × Alstroemeria Yellow</t>
        </is>
      </c>
      <c r="H294" s="30" t="inlineStr">
        <is>
          <t>3 × Roses Red; 2 × Roses light pink; 2 × Gerbera Daisies Pink; 2 × Ruscus Israeli; 2 × Alstroemeria Yellow</t>
        </is>
      </c>
      <c r="I294" s="31" t="inlineStr">
        <is>
          <t>3 × Roses Red; 2 × Roses light pink; 2 × Gerbera Daisies Pink; 2 × Ruscus Israeli; 2 × Alstroemeria Yellow</t>
        </is>
      </c>
      <c r="J294" s="30" t="inlineStr">
        <is>
          <t>2 × Ruscus Israeli; 2 × Roses light pink; 2 × Alstroemeria Yellow; 2 × Gerbera Daisies Pink; 3 × Roses Red</t>
        </is>
      </c>
      <c r="K294" s="30" t="inlineStr">
        <is>
          <t>Y</t>
        </is>
      </c>
      <c r="L294" s="30" t="n"/>
      <c r="M294" s="30" t="inlineStr">
        <is>
          <t>A florist-designed bouquet of 3 red roses, 2 light pink roses, 2 pink gerberas and 2 yellow alstroemeria. Chosen for an anniversary or a just-because moment, it is a gift that says you care.</t>
        </is>
      </c>
      <c r="N294" s="30">
        <f>LEN(TRIM(SUBSTITUTE(M294,CHAR(10)," ")))-LEN(SUBSTITUTE(TRIM(SUBSTITUTE(M294,CHAR(10)," "))," ",""))+1</f>
        <v/>
      </c>
      <c r="O294" s="30" t="inlineStr">
        <is>
          <t>&lt;p&gt;A florist-designed bouquet of 3 red roses, 2 light pink roses, 2 pink gerberas and 2 yellow alstroemeria. Chosen for an anniversary or a just-because moment, it is a gift that says you care.&lt;/p&gt;</t>
        </is>
      </c>
      <c r="P294" s="29" t="inlineStr">
        <is>
          <t>ok</t>
        </is>
      </c>
      <c r="Q294" s="30" t="inlineStr">
        <is>
          <t>Just Because brings together 3 red roses, 2 light pink roses, 2 pink gerberas and 2 yellow alstroemeria. It suits an anniversary or a just-because moment.
Red tones say love and devotion. We hand-arrange each one at Aussie Blooms so it looks the way you pictured it, ready for the kitchen bench.</t>
        </is>
      </c>
      <c r="R294" s="30" t="inlineStr">
        <is>
          <t>&lt;p&gt;Just Because brings together 3 red roses, 2 light pink roses, 2 pink gerberas and 2 yellow alstroemeria. It suits an anniversary or a just-because moment.&lt;/p&gt;&lt;p&gt;Red tones say love and devotion. We hand-arrange each one at Aussie Blooms so it looks the way you pictured it, ready for the kitchen bench.&lt;/p&gt;</t>
        </is>
      </c>
      <c r="S294" s="29" t="inlineStr">
        <is>
          <t>ok</t>
        </is>
      </c>
      <c r="T294" s="30" t="inlineStr">
        <is>
          <t>Inside the bunch: 3 red roses, 2 light pink roses, 2 pink gerberas and 2 yellow alstroemeria. Say it with flowers, and let the flowers do the talking.</t>
        </is>
      </c>
      <c r="U294" s="30" t="inlineStr">
        <is>
          <t>&lt;p&gt;Inside the bunch: 3 red roses, 2 light pink roses, 2 pink gerberas and 2 yellow alstroemeria. Say it with flowers, and let the flowers do the talking.&lt;/p&gt;</t>
        </is>
      </c>
      <c r="V294" s="29" t="inlineStr">
        <is>
          <t>ok</t>
        </is>
      </c>
      <c r="W294" s="30" t="n"/>
      <c r="X294" s="30" t="inlineStr">
        <is>
          <t>n/a (Mel's: mason jar products only)</t>
        </is>
      </c>
      <c r="Y294" s="30" t="n"/>
      <c r="Z294" s="48" t="inlineStr">
        <is>
          <t>-</t>
        </is>
      </c>
      <c r="AA294" t="n">
        <v>175</v>
      </c>
      <c r="AB294" s="44" t="n">
        <v>3697.16</v>
      </c>
      <c r="AC294" t="n">
        <v>40</v>
      </c>
      <c r="AD294" s="45" t="n">
        <v>0.0004236093654244559</v>
      </c>
      <c r="AE294" s="45" t="n">
        <v>0.001055209199719063</v>
      </c>
      <c r="AF294" t="n">
        <v>86</v>
      </c>
    </row>
    <row r="295" ht="109.5" customHeight="1" s="24">
      <c r="A295" s="30" t="inlineStr">
        <is>
          <t>AUGF16-83</t>
        </is>
      </c>
      <c r="B295" s="30" t="inlineStr">
        <is>
          <t>Simply Sweet</t>
        </is>
      </c>
      <c r="C295" s="30" t="inlineStr">
        <is>
          <t>Bouquets</t>
        </is>
      </c>
      <c r="D295" s="43" t="inlineStr">
        <is>
          <t>READY TO REVIEW</t>
        </is>
      </c>
      <c r="E295" s="30" t="inlineStr">
        <is>
          <t>Sometimes life's simplest pleasures deliver life's most poignant feelings. Take this sweet bouquet. Soft colours, beautiful flowers - Simple? You bet. Special? For sure! Light coloured roses, alstroemeria, light coloured miniature carnations, daisy spray chrysanthemums and limonium make for a gorgeous arrangement. Sweeter than sweet! Vase not included, but they are available! Make their birthday unforgettable with a beautiful arrangement.</t>
        </is>
      </c>
      <c r="F295" s="30" t="inlineStr">
        <is>
          <t>Shopify (28 Sep)</t>
        </is>
      </c>
      <c r="G295" s="30" t="inlineStr">
        <is>
          <t>2 × Roses Peach; 2 × Roses Pink; 1 × Roses Orange; 1 × Roses Purple; 2 × Gerbera Daisies Orange; 2 × Ruscus Israeli</t>
        </is>
      </c>
      <c r="H295" s="30" t="inlineStr">
        <is>
          <t>2 × Roses Peach; 2 × Roses Pink; 1 × Roses Orange; 1 × Roses Purple; 2 × Gerbera Daisies Orange; 2 × Ruscus Israeli</t>
        </is>
      </c>
      <c r="I295" s="30" t="inlineStr">
        <is>
          <t>2 × Roses Peach; 2 × Roses Pink; 1 × Roses Orange; 1 × Roses Purple; 2 × Gerbera Daisies Orange; 2 × Ruscus Israeli</t>
        </is>
      </c>
      <c r="J295" s="30" t="inlineStr">
        <is>
          <t>1 × Roses Orange; 2 × Ruscus Israeli; 2 × Gerbera Daisies Orange; 1 × Roses Purple; 2 × Roses Pink; 2 × Roses Peach</t>
        </is>
      </c>
      <c r="K295" s="30" t="inlineStr">
        <is>
          <t>Y</t>
        </is>
      </c>
      <c r="L295" s="30" t="n"/>
      <c r="M295" s="30" t="inlineStr">
        <is>
          <t>A fresh arrangement of 2 orange gerberas, 2 peach roses, 2 pink roses, 1 orange rose and 1 purple rose. A thoughtful choice for a birthday, a thank-you or a just-because moment.</t>
        </is>
      </c>
      <c r="N295" s="30">
        <f>LEN(TRIM(SUBSTITUTE(M295,CHAR(10)," ")))-LEN(SUBSTITUTE(TRIM(SUBSTITUTE(M295,CHAR(10)," "))," ",""))+1</f>
        <v/>
      </c>
      <c r="O295" s="30" t="inlineStr">
        <is>
          <t>&lt;p&gt;A fresh arrangement of 2 orange gerberas, 2 peach roses, 2 pink roses, 1 orange rose and 1 purple rose. A thoughtful choice for a birthday, a thank-you or a just-because moment.&lt;/p&gt;</t>
        </is>
      </c>
      <c r="P295" s="29" t="inlineStr">
        <is>
          <t>ok</t>
        </is>
      </c>
      <c r="Q295" s="30" t="inlineStr">
        <is>
          <t>Simply Sweet brings together 2 orange gerberas, 2 peach roses, 2 pink roses, 1 orange rose and 1 purple rose. It suits a birthday, a thank-you or a just-because moment.
Orange tones say warmth and energy. We hand-arrange each one at Aussie Blooms so it looks the way you pictured it, ready for the kitchen bench.</t>
        </is>
      </c>
      <c r="R295" s="30" t="inlineStr">
        <is>
          <t>&lt;p&gt;Simply Sweet brings together 2 orange gerberas, 2 peach roses, 2 pink roses, 1 orange rose and 1 purple rose. It suits a birthday, a thank-you or a just-because moment.&lt;/p&gt;&lt;p&gt;Orange tones say warmth and energy. We hand-arrange each one at Aussie Blooms so it looks the way you pictured it, ready for the kitchen bench.&lt;/p&gt;</t>
        </is>
      </c>
      <c r="S295" s="29" t="inlineStr">
        <is>
          <t>ok</t>
        </is>
      </c>
      <c r="T295" s="30" t="inlineStr">
        <is>
          <t>The bunch holds: 2 orange gerberas, 2 peach roses, 2 pink roses, 1 orange rose and 1 purple rose. Enough colour to turn an ordinary bench into the best spot in the house.</t>
        </is>
      </c>
      <c r="U295" s="30" t="inlineStr">
        <is>
          <t>&lt;p&gt;The bunch holds: 2 orange gerberas, 2 peach roses, 2 pink roses, 1 orange rose and 1 purple rose. Enough colour to turn an ordinary bench into the best spot in the house.&lt;/p&gt;</t>
        </is>
      </c>
      <c r="V295" s="29" t="inlineStr">
        <is>
          <t>ok</t>
        </is>
      </c>
      <c r="W295" s="30" t="n"/>
      <c r="X295" s="30" t="inlineStr">
        <is>
          <t>n/a (Mel's: mason jar products only)</t>
        </is>
      </c>
      <c r="Y295" s="30" t="n"/>
      <c r="Z295" s="48" t="inlineStr">
        <is>
          <t>-</t>
        </is>
      </c>
      <c r="AA295" t="n">
        <v>98</v>
      </c>
      <c r="AB295" s="44" t="n">
        <v>15971.35</v>
      </c>
      <c r="AC295" t="n">
        <v>197</v>
      </c>
      <c r="AD295" s="45" t="n">
        <v>0.001829948552741335</v>
      </c>
      <c r="AE295" s="45" t="n">
        <v>0.004558394373387862</v>
      </c>
      <c r="AF295" t="n">
        <v>45</v>
      </c>
    </row>
    <row r="296" ht="109.5" customHeight="1" s="24">
      <c r="A296" s="30" t="inlineStr">
        <is>
          <t>AULF11-53</t>
        </is>
      </c>
      <c r="B296" s="30" t="inlineStr">
        <is>
          <t>One Dozen Long Stem White Roses</t>
        </is>
      </c>
      <c r="C296" s="30" t="inlineStr">
        <is>
          <t>Bouquets</t>
        </is>
      </c>
      <c r="D296" s="43" t="inlineStr">
        <is>
          <t>READY TO REVIEW</t>
        </is>
      </c>
      <c r="E296" s="30" t="inlineStr">
        <is>
          <t>A dozen long-stem white roses, pure and elegant, arranged to let their timeless beauty speak for itself. Whether marking an anniversary, a birthday, or offering quiet sympathy, these classic blooms convey grace and sincerity in equal measure.</t>
        </is>
      </c>
      <c r="F296" s="30" t="inlineStr">
        <is>
          <t>Shopify (28 Sep)</t>
        </is>
      </c>
      <c r="G296" s="30" t="inlineStr">
        <is>
          <t>12 × Roses White; 2 × Baby's Breath; 3 × Ruscus Israeli</t>
        </is>
      </c>
      <c r="H296" s="30" t="inlineStr">
        <is>
          <t>12 × Roses White; 2 × Baby's Breath; 3 × Ruscus Israeli</t>
        </is>
      </c>
      <c r="I296" s="30" t="inlineStr">
        <is>
          <t>12 × Roses White; 2 × Baby's Breath; 3 × Ruscus Israeli</t>
        </is>
      </c>
      <c r="J296" s="30" t="inlineStr">
        <is>
          <t>3 × Ruscus Israeli; 2 × Baby's Breath; 12 × Roses White</t>
        </is>
      </c>
      <c r="K296" s="30" t="inlineStr">
        <is>
          <t>Y</t>
        </is>
      </c>
      <c r="L296" s="30" t="n"/>
      <c r="M296" s="30" t="inlineStr">
        <is>
          <t>A hand-arranged bouquet of 12 white roses. A lovely way to mark a birthday, a thank-you or a just-because moment, and a bright moment when the door opens.</t>
        </is>
      </c>
      <c r="N296" s="30">
        <f>LEN(TRIM(SUBSTITUTE(M296,CHAR(10)," ")))-LEN(SUBSTITUTE(TRIM(SUBSTITUTE(M296,CHAR(10)," "))," ",""))+1</f>
        <v/>
      </c>
      <c r="O296" s="30" t="inlineStr">
        <is>
          <t>&lt;p&gt;A hand-arranged bouquet of 12 white roses. A lovely way to mark a birthday, a thank-you or a just-because moment, and a bright moment when the door opens.&lt;/p&gt;</t>
        </is>
      </c>
      <c r="P296" s="29" t="inlineStr">
        <is>
          <t>ok</t>
        </is>
      </c>
      <c r="Q296" s="30" t="inlineStr">
        <is>
          <t>One Dozen Long Stem White Roses brings together 12 white roses. It suits a birthday, a thank-you or a just-because moment.
White tones say calm and a fresh start. We hand-arrange each one at Aussie Blooms so it looks the way you pictured it, ready for a Sunday lunch.</t>
        </is>
      </c>
      <c r="R296" s="30" t="inlineStr">
        <is>
          <t>&lt;p&gt;One Dozen Long Stem White Roses brings together 12 white roses. It suits a birthday, a thank-you or a just-because moment.&lt;/p&gt;&lt;p&gt;White tones say calm and a fresh start. We hand-arrange each one at Aussie Blooms so it looks the way you pictured it, ready for a Sunday lunch.&lt;/p&gt;</t>
        </is>
      </c>
      <c r="S296" s="29" t="inlineStr">
        <is>
          <t>ok</t>
        </is>
      </c>
      <c r="T296" s="30" t="inlineStr">
        <is>
          <t>In this bunch: 12 white roses. Soft colours that make a quiet room feel looked after.</t>
        </is>
      </c>
      <c r="U296" s="30" t="inlineStr">
        <is>
          <t>&lt;p&gt;In this bunch: 12 white roses. Soft colours that make a quiet room feel looked after.&lt;/p&gt;</t>
        </is>
      </c>
      <c r="V296" s="29" t="inlineStr">
        <is>
          <t>ok</t>
        </is>
      </c>
      <c r="W296" s="30" t="n"/>
      <c r="X296" s="30" t="inlineStr">
        <is>
          <t>n/a (Mel's: mason jar products only)</t>
        </is>
      </c>
      <c r="Y296" s="30" t="n"/>
      <c r="Z296" s="48" t="inlineStr">
        <is>
          <t>-</t>
        </is>
      </c>
      <c r="AA296" t="n">
        <v>148</v>
      </c>
      <c r="AB296" s="44" t="n">
        <v>6347.21</v>
      </c>
      <c r="AC296" t="n">
        <v>64</v>
      </c>
      <c r="AD296" s="45" t="n">
        <v>0.0007272437031363706</v>
      </c>
      <c r="AE296" s="45" t="n">
        <v>0.001811561095251825</v>
      </c>
      <c r="AF296" t="n">
        <v>71</v>
      </c>
    </row>
    <row r="297" ht="109.5" customHeight="1" s="24">
      <c r="A297" s="30" t="inlineStr">
        <is>
          <t>AUGF10-29</t>
        </is>
      </c>
      <c r="B297" s="30" t="inlineStr">
        <is>
          <t>Golden Romance</t>
        </is>
      </c>
      <c r="C297" s="30" t="inlineStr">
        <is>
          <t>Bouquets</t>
        </is>
      </c>
      <c r="D297" s="43" t="inlineStr">
        <is>
          <t>READY TO REVIEW</t>
        </is>
      </c>
      <c r="E297" s="30" t="inlineStr">
        <is>
          <t>Two dozen lush roses paired with delicate alstroemeria make Golden Romance an unmistakable expression of devotion. Rich, elegant and utterly heartfelt, this bouquet is the perfect way to honour an anniversary or simply tell someone how deeply they are loved.</t>
        </is>
      </c>
      <c r="F297" s="30" t="inlineStr">
        <is>
          <t>Shopify (28 Sep)</t>
        </is>
      </c>
      <c r="G297" s="30" t="inlineStr">
        <is>
          <t>4 × Roses Red; 1 × Roses Yellow; 1 × Baby's Breath; 2 × Ruscus Israeli; 2 × Alstroemeria Yellow</t>
        </is>
      </c>
      <c r="H297" s="30" t="inlineStr">
        <is>
          <t>4 × Roses Red; 1 × Roses Yellow; 1 × Baby's Breath; 2 × Ruscus Israeli; 2 × Alstroemeria Yellow</t>
        </is>
      </c>
      <c r="I297" s="30" t="inlineStr">
        <is>
          <t>4 × Roses Red; 1 × Roses Yellow; 1 × Baby's Breath; 2 × Ruscus Israeli; 2 × Alstroemeria Yellow</t>
        </is>
      </c>
      <c r="J297" s="30" t="inlineStr">
        <is>
          <t>1 × Baby's Breath; 2 × Alstroemeria Yellow; 2 × Ruscus Israeli; 1 × Roses Yellow; 4 × Roses Red</t>
        </is>
      </c>
      <c r="K297" s="30" t="inlineStr">
        <is>
          <t>Y</t>
        </is>
      </c>
      <c r="L297" s="30" t="n"/>
      <c r="M297" s="30" t="inlineStr">
        <is>
          <t>A florist-designed bouquet of 4 red roses, 2 yellow alstroemeria and 1 yellow rose. A lovely way to mark an anniversary or a thank-you, and a bright moment when the door opens.</t>
        </is>
      </c>
      <c r="N297" s="30">
        <f>LEN(TRIM(SUBSTITUTE(M297,CHAR(10)," ")))-LEN(SUBSTITUTE(TRIM(SUBSTITUTE(M297,CHAR(10)," "))," ",""))+1</f>
        <v/>
      </c>
      <c r="O297" s="30" t="inlineStr">
        <is>
          <t>&lt;p&gt;A florist-designed bouquet of 4 red roses, 2 yellow alstroemeria and 1 yellow rose. A lovely way to mark an anniversary or a thank-you, and a bright moment when the door opens.&lt;/p&gt;</t>
        </is>
      </c>
      <c r="P297" s="29" t="inlineStr">
        <is>
          <t>ok</t>
        </is>
      </c>
      <c r="Q297" s="30" t="inlineStr">
        <is>
          <t>Golden Romance brings together 4 red roses, 2 yellow alstroemeria and 1 yellow rose. It suits an anniversary or a thank-you.
Red tones say love and devotion. We hand-arrange each one at Aussie Blooms so it looks the way you pictured it, ready for a Sunday lunch.</t>
        </is>
      </c>
      <c r="R297" s="30" t="inlineStr">
        <is>
          <t>&lt;p&gt;Golden Romance brings together 4 red roses, 2 yellow alstroemeria and 1 yellow rose. It suits an anniversary or a thank-you.&lt;/p&gt;&lt;p&gt;Red tones say love and devotion. We hand-arrange each one at Aussie Blooms so it looks the way you pictured it, ready for a Sunday lunch.&lt;/p&gt;</t>
        </is>
      </c>
      <c r="S297" s="29" t="inlineStr">
        <is>
          <t>ok</t>
        </is>
      </c>
      <c r="T297" s="30" t="inlineStr">
        <is>
          <t>Inside the bunch: 4 red roses, 2 yellow alstroemeria and 1 yellow rose. Say it with flowers, and let the flowers do the talking.</t>
        </is>
      </c>
      <c r="U297" s="30" t="inlineStr">
        <is>
          <t>&lt;p&gt;Inside the bunch: 4 red roses, 2 yellow alstroemeria and 1 yellow rose. Say it with flowers, and let the flowers do the talking.&lt;/p&gt;</t>
        </is>
      </c>
      <c r="V297" s="29" t="inlineStr">
        <is>
          <t>ok</t>
        </is>
      </c>
      <c r="W297" s="30" t="n"/>
      <c r="X297" s="30" t="inlineStr">
        <is>
          <t>n/a (Mel's: mason jar products only)</t>
        </is>
      </c>
      <c r="Y297" s="30" t="n"/>
      <c r="Z297" s="48" t="inlineStr">
        <is>
          <t>-</t>
        </is>
      </c>
      <c r="AA297" t="n">
        <v>160</v>
      </c>
      <c r="AB297" s="44" t="n">
        <v>5115.42</v>
      </c>
      <c r="AC297" t="n">
        <v>74</v>
      </c>
      <c r="AD297" s="45" t="n">
        <v>0.0005861088310059906</v>
      </c>
      <c r="AE297" s="45" t="n">
        <v>0.001459994705014144</v>
      </c>
      <c r="AF297" t="n">
        <v>78</v>
      </c>
    </row>
    <row r="298" ht="109.5" customHeight="1" s="24">
      <c r="A298" s="30" t="inlineStr">
        <is>
          <t>AUGF60-20</t>
        </is>
      </c>
      <c r="B298" s="30" t="inlineStr">
        <is>
          <t>Rainbow Gerbera Bouquet</t>
        </is>
      </c>
      <c r="C298" s="30" t="inlineStr">
        <is>
          <t>Bouquets</t>
        </is>
      </c>
      <c r="D298" s="43" t="inlineStr">
        <is>
          <t>READY TO REVIEW</t>
        </is>
      </c>
      <c r="E298" s="30" t="inlineStr">
        <is>
          <t>Forty-six gerberas in a glorious rainbow of colour, hand-gathered into one show-stopping bouquet. Bold, beautiful and endlessly cheerful, it's a stunning way to celebrate an anniversary or birthday, or simply just because.</t>
        </is>
      </c>
      <c r="F298" s="30" t="inlineStr">
        <is>
          <t>Shopify (28 Sep)</t>
        </is>
      </c>
      <c r="G298" s="30" t="inlineStr">
        <is>
          <t>10 × Gerbera Daisies assorted; 3 × Ruscus Israeli</t>
        </is>
      </c>
      <c r="H298" s="30" t="inlineStr">
        <is>
          <t>10 × Gerbera Daisies assorted; 3 × Ruscus Israeli</t>
        </is>
      </c>
      <c r="I298" s="30" t="inlineStr">
        <is>
          <t>10 × Gerbera Daisies assorted; 3 × Ruscus Israeli</t>
        </is>
      </c>
      <c r="J298" s="30" t="inlineStr">
        <is>
          <t>10 × Gerbera Daisies assorted; 3 × Ruscus Israeli</t>
        </is>
      </c>
      <c r="K298" s="30" t="inlineStr">
        <is>
          <t>Y</t>
        </is>
      </c>
      <c r="L298" s="30" t="n"/>
      <c r="M298" s="30" t="inlineStr">
        <is>
          <t>A fresh arrangement of 10 assorted-colour gerberas. Chosen for a thank-you, a just-because moment or a birthday, it is a gift that says you care.</t>
        </is>
      </c>
      <c r="N298" s="30">
        <f>LEN(TRIM(SUBSTITUTE(M298,CHAR(10)," ")))-LEN(SUBSTITUTE(TRIM(SUBSTITUTE(M298,CHAR(10)," "))," ",""))+1</f>
        <v/>
      </c>
      <c r="O298" s="30" t="inlineStr">
        <is>
          <t>&lt;p&gt;A fresh arrangement of 10 assorted-colour gerberas. Chosen for a thank-you, a just-because moment or a birthday, it is a gift that says you care.&lt;/p&gt;</t>
        </is>
      </c>
      <c r="P298" s="29" t="inlineStr">
        <is>
          <t>ok</t>
        </is>
      </c>
      <c r="Q298" s="30" t="inlineStr">
        <is>
          <t>Rainbow Gerbera Bouquet brings together 10 assorted-colour gerberas. It suits a birthday, a thank-you or a just-because moment.
Mixed colours say thoughtfulness. We hand-arrange each one at Aussie Blooms so it looks the way you pictured it, ready for a summer table.</t>
        </is>
      </c>
      <c r="R298" s="30" t="inlineStr">
        <is>
          <t>&lt;p&gt;Rainbow Gerbera Bouquet brings together 10 assorted-colour gerberas. It suits a birthday, a thank-you or a just-because moment.&lt;/p&gt;&lt;p&gt;Mixed colours say thoughtfulness. We hand-arrange each one at Aussie Blooms so it looks the way you pictured it, ready for a summer table.&lt;/p&gt;</t>
        </is>
      </c>
      <c r="S298" s="29" t="inlineStr">
        <is>
          <t>ok</t>
        </is>
      </c>
      <c r="T298" s="30" t="inlineStr">
        <is>
          <t>The bunch holds: 10 assorted-colour gerberas. A simple good turn for a birthday, a thank-you or no reason at all.</t>
        </is>
      </c>
      <c r="U298" s="30" t="inlineStr">
        <is>
          <t>&lt;p&gt;The bunch holds: 10 assorted-colour gerberas. A simple good turn for a birthday, a thank-you or no reason at all.&lt;/p&gt;</t>
        </is>
      </c>
      <c r="V298" s="29" t="inlineStr">
        <is>
          <t>ok</t>
        </is>
      </c>
      <c r="W298" s="30" t="n"/>
      <c r="X298" s="30" t="inlineStr">
        <is>
          <t>n/a (Mel's: mason jar products only)</t>
        </is>
      </c>
      <c r="Y298" s="30" t="n"/>
      <c r="Z298" s="48" t="inlineStr">
        <is>
          <t>-</t>
        </is>
      </c>
      <c r="AA298" t="n">
        <v>238</v>
      </c>
      <c r="AB298" s="44" t="n">
        <v>363.85</v>
      </c>
      <c r="AC298" t="n">
        <v>3</v>
      </c>
      <c r="AD298" s="45" t="n">
        <v>4.168882807606061e-05</v>
      </c>
      <c r="AE298" s="45" t="n">
        <v>0.0001038467005262908</v>
      </c>
      <c r="AF298" t="n">
        <v>131</v>
      </c>
    </row>
    <row r="299" ht="109.5" customHeight="1" s="24">
      <c r="A299" s="30" t="inlineStr">
        <is>
          <t>AUHS-03</t>
        </is>
      </c>
      <c r="B299" s="30" t="inlineStr">
        <is>
          <t>Blooming Heart Roses</t>
        </is>
      </c>
      <c r="C299" s="30" t="inlineStr">
        <is>
          <t>Bouquets</t>
        </is>
      </c>
      <c r="D299" s="43" t="inlineStr">
        <is>
          <t>READY TO REVIEW</t>
        </is>
      </c>
      <c r="E299" s="30" t="inlineStr">
        <is>
          <t>Fifty-four roses, gathered into one breathtaking armful of velvety petals and timeless romance. Few gestures say it quite like this, making it the perfect way to mark a milestone anniversary or pour your whole heart into a single, unforgettable surprise.</t>
        </is>
      </c>
      <c r="F299" s="30" t="inlineStr">
        <is>
          <t>Shopify (28 Sep)</t>
        </is>
      </c>
      <c r="G299" s="30" t="inlineStr">
        <is>
          <t>12 × Roses Red; 2 × Baby's Breath; 3 × Ruscus Israeli; 1 × Red Vase</t>
        </is>
      </c>
      <c r="H299" s="30" t="inlineStr">
        <is>
          <t>12 × Roses Red; 2 × Baby's Breath; 3 × Ruscus Israeli; 1 × Red Vase</t>
        </is>
      </c>
      <c r="I299" s="30" t="inlineStr">
        <is>
          <t>12 × Roses Red; 2 × Baby's Breath; 3 × Ruscus Israeli; 1 × Red Vase</t>
        </is>
      </c>
      <c r="J299" s="30" t="inlineStr">
        <is>
          <t>3 × Ruscus Israeli; 1 × Red Vase; 2 × Baby's Breath; 12 × Roses Red</t>
        </is>
      </c>
      <c r="K299" s="30" t="inlineStr">
        <is>
          <t>Y</t>
        </is>
      </c>
      <c r="L299" s="30" t="n"/>
      <c r="M299" s="30" t="inlineStr">
        <is>
          <t>A hand-arranged bouquet of 12 red roses, arranged in a red vase. A lovely way to mark an anniversary or a thank-you, with a vase to keep once the flowers are gone.</t>
        </is>
      </c>
      <c r="N299" s="30">
        <f>LEN(TRIM(SUBSTITUTE(M299,CHAR(10)," ")))-LEN(SUBSTITUTE(TRIM(SUBSTITUTE(M299,CHAR(10)," "))," ",""))+1</f>
        <v/>
      </c>
      <c r="O299" s="30" t="inlineStr">
        <is>
          <t>&lt;p&gt;A hand-arranged bouquet of 12 red roses, arranged in a red vase. A lovely way to mark an anniversary or a thank-you, with a vase to keep once the flowers are gone.&lt;/p&gt;</t>
        </is>
      </c>
      <c r="P299" s="29" t="inlineStr">
        <is>
          <t>ok</t>
        </is>
      </c>
      <c r="Q299" s="30" t="inlineStr">
        <is>
          <t>Blooming Heart Roses brings together 12 red roses, arranged in a red vase. It suits an anniversary or a thank-you.
Red tones say love and devotion. We hand-arrange each one at Aussie Blooms so it looks the way you pictured it, ready for the bedside table.</t>
        </is>
      </c>
      <c r="R299" s="30" t="inlineStr">
        <is>
          <t>&lt;p&gt;Blooming Heart Roses brings together 12 red roses, arranged in a red vase. It suits an anniversary or a thank-you.&lt;/p&gt;&lt;p&gt;Red tones say love and devotion. We hand-arrange each one at Aussie Blooms so it looks the way you pictured it, ready for the bedside table.&lt;/p&gt;</t>
        </is>
      </c>
      <c r="S299" s="29" t="inlineStr">
        <is>
          <t>ok</t>
        </is>
      </c>
      <c r="T299" s="30" t="inlineStr">
        <is>
          <t>In this bunch: 12 red roses in a red vase. Some things need no speech. Put these on the table and the message is delivered.</t>
        </is>
      </c>
      <c r="U299" s="30" t="inlineStr">
        <is>
          <t>&lt;p&gt;In this bunch: 12 red roses in a red vase. Some things need no speech. Put these on the table and the message is delivered.&lt;/p&gt;</t>
        </is>
      </c>
      <c r="V299" s="47" t="inlineStr">
        <is>
          <t>delivery promise</t>
        </is>
      </c>
      <c r="W299" s="30" t="n"/>
      <c r="X299" s="30" t="inlineStr">
        <is>
          <t>n/a (Mel's: mason jar products only)</t>
        </is>
      </c>
      <c r="Y299" s="30" t="n"/>
      <c r="Z299" s="48" t="inlineStr">
        <is>
          <t>-</t>
        </is>
      </c>
      <c r="AA299" t="n">
        <v>185</v>
      </c>
      <c r="AB299" s="44" t="n">
        <v>3239.24</v>
      </c>
      <c r="AC299" t="n">
        <v>31</v>
      </c>
      <c r="AD299" s="45" t="n">
        <v>0.0003711421678391384</v>
      </c>
      <c r="AE299" s="45" t="n">
        <v>0.0009245136247521827</v>
      </c>
      <c r="AF299" t="n">
        <v>95</v>
      </c>
    </row>
    <row r="300" ht="109.5" customHeight="1" s="24">
      <c r="A300" s="30" t="inlineStr">
        <is>
          <t>MDM25-13</t>
        </is>
      </c>
      <c r="B300" s="30" t="inlineStr">
        <is>
          <t>Blushing Muse Bouquet</t>
        </is>
      </c>
      <c r="C300" s="30" t="inlineStr">
        <is>
          <t>Bouquets</t>
        </is>
      </c>
      <c r="D300" s="43" t="inlineStr">
        <is>
          <t>READY TO REVIEW</t>
        </is>
      </c>
      <c r="E300" s="30" t="inlineStr">
        <is>
          <t>Sixteen roses, twelve carnations, seven alstroemeria and four chrysanthemums blend into a soft, romantic bouquet with painterly charm. Tender and thoughtful, it's a lovely way to celebrate her birthday or to remind someone special just how much they mean to you.</t>
        </is>
      </c>
      <c r="F300" s="30" t="inlineStr">
        <is>
          <t>Shopify (28 Sep)</t>
        </is>
      </c>
      <c r="G300" s="30" t="inlineStr">
        <is>
          <t>1 × Roses Spray Pink; 2 × Roses light pink; 2 × Carnation Purple; 1 × Chrysanthemum Spray Lavender; 2 × Ruscus Israeli; 1 × Mini Carnations Pink; 1 × Alstroemeria Pink</t>
        </is>
      </c>
      <c r="H300" s="30" t="inlineStr">
        <is>
          <t>1 × Roses Spray Pink; 2 × Roses light pink; 2 × Carnation Purple; 1 × Chrysanthemum Spray Lavender; 2 × Ruscus Israeli; 1 × Mini Carnations Pink; 1 × Alstroemeria Pink</t>
        </is>
      </c>
      <c r="I300" s="30" t="inlineStr">
        <is>
          <t>1 × Roses Spray Pink; 2 × Roses light pink; 2 × Carnation Purple; 1 × Chrysanthemum Spray Lavender; 2 × Ruscus Israeli; 1 × Mini Carnations Pink; 1 × Alstroemeria Pink</t>
        </is>
      </c>
      <c r="J300" s="30" t="inlineStr">
        <is>
          <t>2 × Carnation Purple; 1 × Alstroemeria Pink; 1 × Mini Carnations Pink; 2 × Ruscus Israeli; 1 × Chrysanthemum Spray Lavender; 2 × Roses light pink; 1 × Roses Spray Pink</t>
        </is>
      </c>
      <c r="K300" s="30" t="inlineStr">
        <is>
          <t>Y</t>
        </is>
      </c>
      <c r="L300" s="30" t="n"/>
      <c r="M300" s="30" t="inlineStr">
        <is>
          <t>A fresh arrangement of 2 light pink roses, 2 purple carnations, 1 lavender spray chrysanthemum, 1 pink alstroemeria and 1 pink spray rose. A lovely way to mark a birthday, a thank-you or a just-because moment, and a bright moment when the door opens.</t>
        </is>
      </c>
      <c r="N300" s="30">
        <f>LEN(TRIM(SUBSTITUTE(M300,CHAR(10)," ")))-LEN(SUBSTITUTE(TRIM(SUBSTITUTE(M300,CHAR(10)," "))," ",""))+1</f>
        <v/>
      </c>
      <c r="O300" s="30" t="inlineStr">
        <is>
          <t>&lt;p&gt;A fresh arrangement of 2 light pink roses, 2 purple carnations, 1 lavender spray chrysanthemum, 1 pink alstroemeria and 1 pink spray rose. A lovely way to mark a birthday, a thank-you or a just-because moment, and a bright moment when the door opens.&lt;/p&gt;</t>
        </is>
      </c>
      <c r="P300" s="29" t="inlineStr">
        <is>
          <t>ok</t>
        </is>
      </c>
      <c r="Q300" s="30" t="inlineStr">
        <is>
          <t>Blushing Muse Bouquet brings together 2 light pink roses, 2 purple carnations, 1 lavender spray chrysanthemum, 1 pink alstroemeria and 1 pink spray rose. It suits a birthday, a thank-you or a just-because moment.
Pink tones say affection. We hand-arrange each one at Aussie Blooms so it looks the way you pictured it, ready for a summer table.</t>
        </is>
      </c>
      <c r="R300" s="30" t="inlineStr">
        <is>
          <t>&lt;p&gt;Blushing Muse Bouquet brings together 2 light pink roses, 2 purple carnations, 1 lavender spray chrysanthemum, 1 pink alstroemeria and 1 pink spray rose. It suits a birthday, a thank-you or a just-because moment.&lt;/p&gt;&lt;p&gt;Pink tones say affection. We hand-arrange each one at Aussie Blooms so it looks the way you pictured it, ready for a summer table.&lt;/p&gt;</t>
        </is>
      </c>
      <c r="S300" s="29" t="inlineStr">
        <is>
          <t>ok</t>
        </is>
      </c>
      <c r="T300" s="30" t="inlineStr">
        <is>
          <t>The bunch holds: 2 light pink roses, 2 purple carnations, 1 lavender spray chrysanthemum, 1 pink alstroemeria and 1 pink spray rose. Gentle, easy on the eye, and ready for any table you give it.</t>
        </is>
      </c>
      <c r="U300" s="30" t="inlineStr">
        <is>
          <t>&lt;p&gt;The bunch holds: 2 light pink roses, 2 purple carnations, 1 lavender spray chrysanthemum, 1 pink alstroemeria and 1 pink spray rose. Gentle, easy on the eye, and ready for any table you give it.&lt;/p&gt;</t>
        </is>
      </c>
      <c r="V300" s="29" t="inlineStr">
        <is>
          <t>ok</t>
        </is>
      </c>
      <c r="W300" s="30" t="n"/>
      <c r="X300" s="30" t="inlineStr">
        <is>
          <t>n/a (Mel's: mason jar products only)</t>
        </is>
      </c>
      <c r="Y300" s="30" t="n"/>
      <c r="Z300" s="48" t="inlineStr">
        <is>
          <t>-</t>
        </is>
      </c>
      <c r="AA300" t="n">
        <v>6</v>
      </c>
      <c r="AB300" s="44" t="n">
        <v>232588.17</v>
      </c>
      <c r="AC300" t="n">
        <v>3891</v>
      </c>
      <c r="AD300" s="45" t="n">
        <v>0.0266492462049074</v>
      </c>
      <c r="AE300" s="45" t="n">
        <v>0.06638316349030648</v>
      </c>
      <c r="AF300" t="n">
        <v>2</v>
      </c>
    </row>
    <row r="301" ht="109.5" customHeight="1" s="24">
      <c r="A301" s="30" t="inlineStr">
        <is>
          <t>AUDC-01</t>
        </is>
      </c>
      <c r="B301" s="30" t="inlineStr">
        <is>
          <t>Designer Collection I</t>
        </is>
      </c>
      <c r="C301" s="30" t="inlineStr">
        <is>
          <t>Designer Collection</t>
        </is>
      </c>
      <c r="D301" s="43" t="inlineStr">
        <is>
          <t>READY TO REVIEW</t>
        </is>
      </c>
      <c r="E301" s="30" t="inlineStr">
        <is>
          <t>A signature arrangement from our florists, Designer Collection I brings together seasonal blooms in a thoughtfully composed display. Effortlessly elegant, it's a beautiful way to honour an anniversary, celebrate a milestone or send warm wishes for a speedy recovery.</t>
        </is>
      </c>
      <c r="F301" s="30" t="inlineStr">
        <is>
          <t>Shopify (28 Sep)</t>
        </is>
      </c>
      <c r="G301" s="30" t="inlineStr">
        <is>
          <t>10 × Designer Collection stems; 2 × Ruscus Israeli</t>
        </is>
      </c>
      <c r="H301" s="30" t="inlineStr">
        <is>
          <t>10 × Designer Collection stems; 2 × Ruscus Israeli</t>
        </is>
      </c>
      <c r="I301" s="30" t="inlineStr">
        <is>
          <t>10 × Designer Collection stems; 2 × Ruscus Israeli</t>
        </is>
      </c>
      <c r="J301" s="30" t="inlineStr">
        <is>
          <t>10 × Designer Collection stems; 2 × Ruscus Israeli</t>
        </is>
      </c>
      <c r="K301" s="30" t="inlineStr">
        <is>
          <t>Y</t>
        </is>
      </c>
      <c r="L301" s="30" t="n"/>
      <c r="M301" s="30" t="inlineStr">
        <is>
          <t>A hand-arranged bouquet of 10 florist's choice stems. Flowers change with the season, so the picture is illustrative and shows the style and colour, not the exact flowers you will receive.</t>
        </is>
      </c>
      <c r="N301" s="30">
        <f>LEN(TRIM(SUBSTITUTE(M301,CHAR(10)," ")))-LEN(SUBSTITUTE(TRIM(SUBSTITUTE(M301,CHAR(10)," "))," ",""))+1</f>
        <v/>
      </c>
      <c r="O301" s="30" t="inlineStr">
        <is>
          <t>&lt;p&gt;A hand-arranged bouquet of 10 florist's choice stems. Flowers change with the season, so the picture is illustrative and shows the style and colour, not the exact flowers you will receive.&lt;/p&gt;</t>
        </is>
      </c>
      <c r="P301" s="29" t="inlineStr">
        <is>
          <t>ok</t>
        </is>
      </c>
      <c r="Q301" s="30" t="inlineStr">
        <is>
          <t>Designer Collection I is an arrangement of 10 florist's choice stems. Flowers change with the season, so the picture is illustrative and shows the style and colour, not the exact flowers you will receive.
It suits a just-because moment or a thank-you, or any day you want to bring a little colour to a summer table.</t>
        </is>
      </c>
      <c r="R301" s="30" t="inlineStr">
        <is>
          <t>&lt;p&gt;Designer Collection I is an arrangement of 10 florist's choice stems. Flowers change with the season, so the picture is illustrative and shows the style and colour, not the exact flowers you will receive.&lt;/p&gt;&lt;p&gt;It suits a just-because moment or a thank-you, or any day you want to bring a little colour to a summer table.&lt;/p&gt;</t>
        </is>
      </c>
      <c r="S301" s="29" t="inlineStr">
        <is>
          <t>ok</t>
        </is>
      </c>
      <c r="T301" s="30" t="inlineStr">
        <is>
          <t>In this bunch: 10 florist's choice stems. Flowers change with the season, so the picture is illustrative and shows the style and colour, not the exact flowers you will receive.</t>
        </is>
      </c>
      <c r="U301" s="30" t="inlineStr">
        <is>
          <t>&lt;p&gt;In this bunch: 10 florist's choice stems. Flowers change with the season, so the picture is illustrative and shows the style and colour, not the exact flowers you will receive.&lt;/p&gt;</t>
        </is>
      </c>
      <c r="V301" s="29" t="inlineStr">
        <is>
          <t>ok</t>
        </is>
      </c>
      <c r="W301" s="30" t="n"/>
      <c r="X301" s="30" t="inlineStr">
        <is>
          <t>n/a (Mel's: mason jar products only)</t>
        </is>
      </c>
      <c r="Y301" s="30" t="n"/>
      <c r="Z301" s="48" t="inlineStr">
        <is>
          <t>-</t>
        </is>
      </c>
      <c r="AA301" t="n">
        <v>74</v>
      </c>
      <c r="AB301" s="44" t="n">
        <v>27390.35</v>
      </c>
      <c r="AC301" t="n">
        <v>330</v>
      </c>
      <c r="AD301" s="45" t="n">
        <v>0.003138303010593098</v>
      </c>
      <c r="AE301" s="45" t="n">
        <v>0.02569037161273706</v>
      </c>
      <c r="AF301" t="n">
        <v>10</v>
      </c>
    </row>
    <row r="302" ht="109.5" customHeight="1" s="24">
      <c r="A302" s="30" t="inlineStr">
        <is>
          <t>AUDC-02</t>
        </is>
      </c>
      <c r="B302" s="30" t="inlineStr">
        <is>
          <t>Designer Collection II</t>
        </is>
      </c>
      <c r="C302" s="30" t="inlineStr">
        <is>
          <t>Designer Collection</t>
        </is>
      </c>
      <c r="D302" s="43" t="inlineStr">
        <is>
          <t>READY TO REVIEW</t>
        </is>
      </c>
      <c r="E302" s="30" t="inlineStr">
        <is>
          <t>Designer Collection II is a florist's choice creation, artfully styled with the freshest seasonal flowers for natural, eye-catching beauty. A versatile and graceful gift, it brings a touch of elegance to any moment that calls for something special.</t>
        </is>
      </c>
      <c r="F302" s="30" t="inlineStr">
        <is>
          <t>Shopify (28 Sep)</t>
        </is>
      </c>
      <c r="G302" s="30" t="inlineStr">
        <is>
          <t>15 × Designer Collection stems; 3 × Ruscus Israeli</t>
        </is>
      </c>
      <c r="H302" s="30" t="inlineStr">
        <is>
          <t>15 × Designer Collection stems; 3 × Ruscus Israeli</t>
        </is>
      </c>
      <c r="I302" s="30" t="inlineStr">
        <is>
          <t>15 × Designer Collection stems; 3 × Ruscus Israeli</t>
        </is>
      </c>
      <c r="J302" s="30" t="inlineStr">
        <is>
          <t>15 × Designer Collection stems; 3 × Ruscus Israeli</t>
        </is>
      </c>
      <c r="K302" s="30" t="inlineStr">
        <is>
          <t>Y</t>
        </is>
      </c>
      <c r="L302" s="30" t="n"/>
      <c r="M302" s="30" t="inlineStr">
        <is>
          <t>A hand-arranged bouquet of 15 florist's choice stems. Flowers change with the season, so the picture is illustrative and shows the style and colour, not the exact flowers you will receive.</t>
        </is>
      </c>
      <c r="N302" s="30">
        <f>LEN(TRIM(SUBSTITUTE(M302,CHAR(10)," ")))-LEN(SUBSTITUTE(TRIM(SUBSTITUTE(M302,CHAR(10)," "))," ",""))+1</f>
        <v/>
      </c>
      <c r="O302" s="30" t="inlineStr">
        <is>
          <t>&lt;p&gt;A hand-arranged bouquet of 15 florist's choice stems. Flowers change with the season, so the picture is illustrative and shows the style and colour, not the exact flowers you will receive.&lt;/p&gt;</t>
        </is>
      </c>
      <c r="P302" s="29" t="inlineStr">
        <is>
          <t>ok</t>
        </is>
      </c>
      <c r="Q302" s="30" t="inlineStr">
        <is>
          <t>Designer Collection II is an arrangement of 15 florist's choice stems. Flowers change with the season, so the picture is illustrative and shows the style and colour, not the exact flowers you will receive.
It suits a just-because moment or a thank-you, or any day you want to bring a little colour to the kitchen bench.</t>
        </is>
      </c>
      <c r="R302" s="30" t="inlineStr">
        <is>
          <t>&lt;p&gt;Designer Collection II is an arrangement of 15 florist's choice stems. Flowers change with the season, so the picture is illustrative and shows the style and colour, not the exact flowers you will receive.&lt;/p&gt;&lt;p&gt;It suits a just-because moment or a thank-you, or any day you want to bring a little colour to the kitchen bench.&lt;/p&gt;</t>
        </is>
      </c>
      <c r="S302" s="29" t="inlineStr">
        <is>
          <t>ok</t>
        </is>
      </c>
      <c r="T302" s="30" t="inlineStr">
        <is>
          <t>The bunch holds: 15 florist's choice stems. Flowers change with the season, so the picture is illustrative and shows the style and colour, not the exact flowers you will receive.</t>
        </is>
      </c>
      <c r="U302" s="30" t="inlineStr">
        <is>
          <t>&lt;p&gt;The bunch holds: 15 florist's choice stems. Flowers change with the season, so the picture is illustrative and shows the style and colour, not the exact flowers you will receive.&lt;/p&gt;</t>
        </is>
      </c>
      <c r="V302" s="29" t="inlineStr">
        <is>
          <t>ok</t>
        </is>
      </c>
      <c r="W302" s="30" t="n"/>
      <c r="X302" s="30" t="inlineStr">
        <is>
          <t>n/a (Mel's: mason jar products only)</t>
        </is>
      </c>
      <c r="Y302" s="30" t="n"/>
      <c r="Z302" s="48" t="inlineStr">
        <is>
          <t>-</t>
        </is>
      </c>
      <c r="AA302" t="n">
        <v>121</v>
      </c>
      <c r="AB302" s="44" t="n">
        <v>9459.85</v>
      </c>
      <c r="AC302" t="n">
        <v>91</v>
      </c>
      <c r="AD302" s="45" t="n">
        <v>0.001083880885736765</v>
      </c>
      <c r="AE302" s="45" t="n">
        <v>0.008872726006548903</v>
      </c>
      <c r="AF302" t="n">
        <v>16</v>
      </c>
    </row>
    <row r="303" ht="109.5" customHeight="1" s="24">
      <c r="A303" s="30" t="inlineStr">
        <is>
          <t>AUDC-03</t>
        </is>
      </c>
      <c r="B303" s="30" t="inlineStr">
        <is>
          <t>Designer Collection III</t>
        </is>
      </c>
      <c r="C303" s="30" t="inlineStr">
        <is>
          <t>Designer Collection</t>
        </is>
      </c>
      <c r="D303" s="43" t="inlineStr">
        <is>
          <t>READY TO REVIEW</t>
        </is>
      </c>
      <c r="E303" s="30" t="inlineStr">
        <is>
          <t>Designer Collection III showcases our florists at their most inspired, with premium seasonal blooms arranged for striking, sophisticated effect. A truly memorable gift, it makes an impression on any occasion and brings lasting joy to the recipient.</t>
        </is>
      </c>
      <c r="F303" s="30" t="inlineStr">
        <is>
          <t>Shopify (28 Sep)</t>
        </is>
      </c>
      <c r="G303" s="30" t="inlineStr">
        <is>
          <t>18 × Designer Collection stems; 3 × Ruscus Israeli</t>
        </is>
      </c>
      <c r="H303" s="30" t="inlineStr">
        <is>
          <t>18 × Designer Collection stems; 3 × Ruscus Israeli</t>
        </is>
      </c>
      <c r="I303" s="30" t="inlineStr">
        <is>
          <t>18 × Designer Collection stems; 3 × Ruscus Israeli</t>
        </is>
      </c>
      <c r="J303" s="30" t="inlineStr">
        <is>
          <t>18 × Designer Collection stems; 3 × Ruscus Israeli</t>
        </is>
      </c>
      <c r="K303" s="30" t="inlineStr">
        <is>
          <t>Y</t>
        </is>
      </c>
      <c r="L303" s="30" t="n"/>
      <c r="M303" s="30" t="inlineStr">
        <is>
          <t>A hand-arranged bouquet of 18 florist's choice stems. Flowers change with the season, so the picture is illustrative and shows the style and colour, not the exact flowers you will receive.</t>
        </is>
      </c>
      <c r="N303" s="30">
        <f>LEN(TRIM(SUBSTITUTE(M303,CHAR(10)," ")))-LEN(SUBSTITUTE(TRIM(SUBSTITUTE(M303,CHAR(10)," "))," ",""))+1</f>
        <v/>
      </c>
      <c r="O303" s="30" t="inlineStr">
        <is>
          <t>&lt;p&gt;A hand-arranged bouquet of 18 florist's choice stems. Flowers change with the season, so the picture is illustrative and shows the style and colour, not the exact flowers you will receive.&lt;/p&gt;</t>
        </is>
      </c>
      <c r="P303" s="29" t="inlineStr">
        <is>
          <t>ok</t>
        </is>
      </c>
      <c r="Q303" s="30" t="inlineStr">
        <is>
          <t>Designer Collection III is an arrangement of 18 florist's choice stems. Flowers change with the season, so the picture is illustrative and shows the style and colour, not the exact flowers you will receive.
It suits a just-because moment or a thank-you, or any day you want to bring a little colour to a summer table.</t>
        </is>
      </c>
      <c r="R303" s="30" t="inlineStr">
        <is>
          <t>&lt;p&gt;Designer Collection III is an arrangement of 18 florist's choice stems. Flowers change with the season, so the picture is illustrative and shows the style and colour, not the exact flowers you will receive.&lt;/p&gt;&lt;p&gt;It suits a just-because moment or a thank-you, or any day you want to bring a little colour to a summer table.&lt;/p&gt;</t>
        </is>
      </c>
      <c r="S303" s="29" t="inlineStr">
        <is>
          <t>ok</t>
        </is>
      </c>
      <c r="T303" s="30" t="inlineStr">
        <is>
          <t>In this bunch: 18 florist's choice stems. Flowers change with the season, so the picture is illustrative and shows the style and colour, not the exact flowers you will receive.</t>
        </is>
      </c>
      <c r="U303" s="30" t="inlineStr">
        <is>
          <t>&lt;p&gt;In this bunch: 18 florist's choice stems. Flowers change with the season, so the picture is illustrative and shows the style and colour, not the exact flowers you will receive.&lt;/p&gt;</t>
        </is>
      </c>
      <c r="V303" s="29" t="inlineStr">
        <is>
          <t>ok</t>
        </is>
      </c>
      <c r="W303" s="30" t="n"/>
      <c r="X303" s="30" t="inlineStr">
        <is>
          <t>n/a (Mel's: mason jar products only)</t>
        </is>
      </c>
      <c r="Y303" s="30" t="n"/>
      <c r="Z303" s="48" t="inlineStr">
        <is>
          <t>-</t>
        </is>
      </c>
      <c r="AA303" t="n">
        <v>141</v>
      </c>
      <c r="AB303" s="44" t="n">
        <v>7135.33</v>
      </c>
      <c r="AC303" t="n">
        <v>55</v>
      </c>
      <c r="AD303" s="45" t="n">
        <v>0.0008175449014463925</v>
      </c>
      <c r="AE303" s="45" t="n">
        <v>0.006692480699716445</v>
      </c>
      <c r="AF303" t="n">
        <v>18</v>
      </c>
    </row>
    <row r="304" ht="109.5" customHeight="1" s="24">
      <c r="A304" s="30" t="inlineStr">
        <is>
          <t>DC-01S</t>
        </is>
      </c>
      <c r="B304" s="30" t="inlineStr">
        <is>
          <t>Designer Sympathy Collection I</t>
        </is>
      </c>
      <c r="C304" s="30" t="inlineStr">
        <is>
          <t>Designer Collection</t>
        </is>
      </c>
      <c r="D304" s="43" t="inlineStr">
        <is>
          <t>READY TO REVIEW</t>
        </is>
      </c>
      <c r="E304" s="30" t="inlineStr">
        <is>
          <t>Designer Sympathy Collection I offers a gentle florist-choice arrangement for sending comfort. It is suited to condolence messages, quiet remembrance, and support for a grieving family or friend. 
 Fresh blooms are selected for a respectful, composed look. 
 The softer presentation keeps the gesture warm and understated. 
 Useful when you want sympathy flowers chosen by the florist. 
 Add your message and confirm delivery details before payment.</t>
        </is>
      </c>
      <c r="F304" s="30" t="inlineStr">
        <is>
          <t>Shopify (28 Sep)</t>
        </is>
      </c>
      <c r="G304" s="30" t="inlineStr">
        <is>
          <t>10 × Sympathy Designer stems; 2 × Ruscus Israeli</t>
        </is>
      </c>
      <c r="H304" s="30" t="inlineStr">
        <is>
          <t>10 × Sympathy Designer stems; 2 × Ruscus Israeli</t>
        </is>
      </c>
      <c r="I304" s="30" t="inlineStr">
        <is>
          <t>10 × Sympathy Designer stems; 2 × Ruscus Israeli</t>
        </is>
      </c>
      <c r="J304" s="30" t="inlineStr">
        <is>
          <t>10 × Sympathy Designer stems; 2 × Ruscus Israeli</t>
        </is>
      </c>
      <c r="K304" s="30" t="inlineStr">
        <is>
          <t>Y</t>
        </is>
      </c>
      <c r="L304" s="30" t="n"/>
      <c r="M304" s="30" t="inlineStr">
        <is>
          <t>A respectful tribute of 10 florist's choice sympathy stems. The florist chooses the flowers to suit the season, so the picture is illustrative and shows the style and colour, not the exact stems.</t>
        </is>
      </c>
      <c r="N304" s="30">
        <f>LEN(TRIM(SUBSTITUTE(M304,CHAR(10)," ")))-LEN(SUBSTITUTE(TRIM(SUBSTITUTE(M304,CHAR(10)," "))," ",""))+1</f>
        <v/>
      </c>
      <c r="O304" s="30" t="inlineStr">
        <is>
          <t>&lt;p&gt;A respectful tribute of 10 florist's choice sympathy stems. The florist chooses the flowers to suit the season, so the picture is illustrative and shows the style and colour, not the exact stems.&lt;/p&gt;</t>
        </is>
      </c>
      <c r="P304" s="29" t="inlineStr">
        <is>
          <t>ok</t>
        </is>
      </c>
      <c r="Q304" s="30" t="inlineStr">
        <is>
          <t>Designer Sympathy Collection I is an arrangement of 10 florist's choice sympathy stems. The florist chooses the flowers to suit the season, so the picture is illustrative and shows the style and colour, not the exact stems.
It is made to honour someone with calm, simple flowers, and we hand-arrange each one with care.</t>
        </is>
      </c>
      <c r="R304" s="30" t="inlineStr">
        <is>
          <t>&lt;p&gt;Designer Sympathy Collection I is an arrangement of 10 florist's choice sympathy stems. The florist chooses the flowers to suit the season, so the picture is illustrative and shows the style and colour, not the exact stems.&lt;/p&gt;&lt;p&gt;It is made to honour someone with calm, simple flowers, and we hand-arrange each one with care.&lt;/p&gt;</t>
        </is>
      </c>
      <c r="S304" s="29" t="inlineStr">
        <is>
          <t>ok</t>
        </is>
      </c>
      <c r="T304" s="30" t="inlineStr">
        <is>
          <t>The bunch holds: 10 florist's choice sympathy stems. The florist chooses the flowers to suit the season, so the picture is illustrative and shows the style and colour, not the exact stems.</t>
        </is>
      </c>
      <c r="U304" s="30" t="inlineStr">
        <is>
          <t>&lt;p&gt;The bunch holds: 10 florist's choice sympathy stems. The florist chooses the flowers to suit the season, so the picture is illustrative and shows the style and colour, not the exact stems.&lt;/p&gt;</t>
        </is>
      </c>
      <c r="V304" s="29" t="inlineStr">
        <is>
          <t>ok</t>
        </is>
      </c>
      <c r="W304" s="30" t="n"/>
      <c r="X304" s="30" t="inlineStr">
        <is>
          <t>n/a (Mel's: mason jar products only)</t>
        </is>
      </c>
      <c r="Y304" s="30" t="n"/>
      <c r="Z304" s="48" t="inlineStr">
        <is>
          <t>-</t>
        </is>
      </c>
      <c r="AA304" t="n">
        <v>15</v>
      </c>
      <c r="AB304" s="44" t="n">
        <v>144987.57</v>
      </c>
      <c r="AC304" t="n">
        <v>1909</v>
      </c>
      <c r="AD304" s="45" t="n">
        <v>0.01661223502031192</v>
      </c>
      <c r="AE304" s="45" t="n">
        <v>0.1359889371897467</v>
      </c>
      <c r="AF304" t="n">
        <v>3</v>
      </c>
    </row>
    <row r="305" ht="109.5" customHeight="1" s="24">
      <c r="A305" s="30" t="inlineStr">
        <is>
          <t>DC-02S</t>
        </is>
      </c>
      <c r="B305" s="30" t="inlineStr">
        <is>
          <t>Designer Sympathy Collection II</t>
        </is>
      </c>
      <c r="C305" s="30" t="inlineStr">
        <is>
          <t>Designer Collection</t>
        </is>
      </c>
      <c r="D305" s="43" t="inlineStr">
        <is>
          <t>READY TO REVIEW</t>
        </is>
      </c>
      <c r="E305" s="30" t="inlineStr">
        <is>
          <t>Designer Sympathy Collection II is arranged for quiet support when words feel limited. Send it for condolences, memorial gestures, or a family address that needs a respectful floral gift. 
 Florist-choice blooms create a calm, dignified presentation. 
 Soft tones help the arrangement feel appropriate for sympathy messages. 
 Works for homes, workplaces, and remembrance occasions. 
 Review the recipient details and card wording before checkout.</t>
        </is>
      </c>
      <c r="F305" s="30" t="inlineStr">
        <is>
          <t>Shopify (28 Sep)</t>
        </is>
      </c>
      <c r="G305" s="30" t="inlineStr">
        <is>
          <t>15 × Sympathy Designer stems; 3 × Ruscus Israeli</t>
        </is>
      </c>
      <c r="H305" s="30" t="inlineStr">
        <is>
          <t>15 × Sympathy Designer stems; 3 × Ruscus Israeli</t>
        </is>
      </c>
      <c r="I305" s="30" t="inlineStr">
        <is>
          <t>15 × Sympathy Designer stems; 3 × Ruscus Israeli</t>
        </is>
      </c>
      <c r="J305" s="30" t="inlineStr">
        <is>
          <t>15 × Sympathy Designer stems; 3 × Ruscus Israeli</t>
        </is>
      </c>
      <c r="K305" s="30" t="inlineStr">
        <is>
          <t>Y</t>
        </is>
      </c>
      <c r="L305" s="30" t="n"/>
      <c r="M305" s="30" t="inlineStr">
        <is>
          <t>A respectful tribute of 15 florist's choice sympathy stems. The florist chooses the flowers to suit the season, so the picture is illustrative and shows the style and colour, not the exact stems.</t>
        </is>
      </c>
      <c r="N305" s="30">
        <f>LEN(TRIM(SUBSTITUTE(M305,CHAR(10)," ")))-LEN(SUBSTITUTE(TRIM(SUBSTITUTE(M305,CHAR(10)," "))," ",""))+1</f>
        <v/>
      </c>
      <c r="O305" s="30" t="inlineStr">
        <is>
          <t>&lt;p&gt;A respectful tribute of 15 florist's choice sympathy stems. The florist chooses the flowers to suit the season, so the picture is illustrative and shows the style and colour, not the exact stems.&lt;/p&gt;</t>
        </is>
      </c>
      <c r="P305" s="29" t="inlineStr">
        <is>
          <t>ok</t>
        </is>
      </c>
      <c r="Q305" s="30" t="inlineStr">
        <is>
          <t>Designer Sympathy Collection II is an arrangement of 15 florist's choice sympathy stems. The florist chooses the flowers to suit the season, so the picture is illustrative and shows the style and colour, not the exact stems.
It is made to honour someone with calm, simple flowers, and we hand-arrange each one with care.</t>
        </is>
      </c>
      <c r="R305" s="30" t="inlineStr">
        <is>
          <t>&lt;p&gt;Designer Sympathy Collection II is an arrangement of 15 florist's choice sympathy stems. The florist chooses the flowers to suit the season, so the picture is illustrative and shows the style and colour, not the exact stems.&lt;/p&gt;&lt;p&gt;It is made to honour someone with calm, simple flowers, and we hand-arrange each one with care.&lt;/p&gt;</t>
        </is>
      </c>
      <c r="S305" s="29" t="inlineStr">
        <is>
          <t>ok</t>
        </is>
      </c>
      <c r="T305" s="30" t="inlineStr">
        <is>
          <t>In this bunch: 15 florist's choice sympathy stems. The florist chooses the flowers to suit the season, so the picture is illustrative and shows the style and colour, not the exact stems.</t>
        </is>
      </c>
      <c r="U305" s="30" t="inlineStr">
        <is>
          <t>&lt;p&gt;In this bunch: 15 florist's choice sympathy stems. The florist chooses the flowers to suit the season, so the picture is illustrative and shows the style and colour, not the exact stems.&lt;/p&gt;</t>
        </is>
      </c>
      <c r="V305" s="29" t="inlineStr">
        <is>
          <t>ok</t>
        </is>
      </c>
      <c r="W305" s="30" t="n"/>
      <c r="X305" s="30" t="inlineStr">
        <is>
          <t>n/a (Mel's: mason jar products only)</t>
        </is>
      </c>
      <c r="Y305" s="30" t="n"/>
      <c r="Z305" s="48" t="inlineStr">
        <is>
          <t>-</t>
        </is>
      </c>
      <c r="AA305" t="n">
        <v>14</v>
      </c>
      <c r="AB305" s="44" t="n">
        <v>145786.32</v>
      </c>
      <c r="AC305" t="n">
        <v>1387</v>
      </c>
      <c r="AD305" s="45" t="n">
        <v>0.01670375440089514</v>
      </c>
      <c r="AE305" s="45" t="n">
        <v>0.1367381213472402</v>
      </c>
      <c r="AF305" t="n">
        <v>2</v>
      </c>
    </row>
    <row r="306" ht="109.5" customHeight="1" s="24">
      <c r="A306" s="30" t="inlineStr">
        <is>
          <t>DC-03S</t>
        </is>
      </c>
      <c r="B306" s="30" t="inlineStr">
        <is>
          <t>Designer Sympathy Collection III</t>
        </is>
      </c>
      <c r="C306" s="30" t="inlineStr">
        <is>
          <t>Designer Collection</t>
        </is>
      </c>
      <c r="D306" s="43" t="inlineStr">
        <is>
          <t>READY TO REVIEW</t>
        </is>
      </c>
      <c r="E306" s="30" t="inlineStr">
        <is>
          <t>A refined designer arrangement, lovingly created to bring solace and a sense of calm. A meaningful tribute to honour a life and extend your deepest sympathy with grace.</t>
        </is>
      </c>
      <c r="F306" s="30" t="inlineStr">
        <is>
          <t>Shopify (28 Sep)</t>
        </is>
      </c>
      <c r="G306" s="30" t="inlineStr">
        <is>
          <t>18 × Sympathy Designer stems; 3 × Ruscus Israeli</t>
        </is>
      </c>
      <c r="H306" s="30" t="inlineStr">
        <is>
          <t>18 × Sympathy Designer stems; 3 × Ruscus Israeli</t>
        </is>
      </c>
      <c r="I306" s="30" t="inlineStr">
        <is>
          <t>18 × Sympathy Designer stems; 3 × Ruscus Israeli</t>
        </is>
      </c>
      <c r="J306" s="30" t="inlineStr">
        <is>
          <t>18 × Sympathy Designer stems; 3 × Ruscus Israeli</t>
        </is>
      </c>
      <c r="K306" s="30" t="inlineStr">
        <is>
          <t>Y</t>
        </is>
      </c>
      <c r="L306" s="30" t="n"/>
      <c r="M306" s="30" t="inlineStr">
        <is>
          <t>A respectful tribute of 18 florist's choice sympathy stems. The florist chooses the flowers to suit the season, so the picture is illustrative and shows the style and colour, not the exact stems.</t>
        </is>
      </c>
      <c r="N306" s="30">
        <f>LEN(TRIM(SUBSTITUTE(M306,CHAR(10)," ")))-LEN(SUBSTITUTE(TRIM(SUBSTITUTE(M306,CHAR(10)," "))," ",""))+1</f>
        <v/>
      </c>
      <c r="O306" s="30" t="inlineStr">
        <is>
          <t>&lt;p&gt;A respectful tribute of 18 florist's choice sympathy stems. The florist chooses the flowers to suit the season, so the picture is illustrative and shows the style and colour, not the exact stems.&lt;/p&gt;</t>
        </is>
      </c>
      <c r="P306" s="29" t="inlineStr">
        <is>
          <t>ok</t>
        </is>
      </c>
      <c r="Q306" s="30" t="inlineStr">
        <is>
          <t>Designer Sympathy Collection III is an arrangement of 18 florist's choice sympathy stems. The florist chooses the flowers to suit the season, so the picture is illustrative and shows the style and colour, not the exact stems.
It is made to honour someone with calm, simple flowers, and we hand-arrange each one with care.</t>
        </is>
      </c>
      <c r="R306" s="30" t="inlineStr">
        <is>
          <t>&lt;p&gt;Designer Sympathy Collection III is an arrangement of 18 florist's choice sympathy stems. The florist chooses the flowers to suit the season, so the picture is illustrative and shows the style and colour, not the exact stems.&lt;/p&gt;&lt;p&gt;It is made to honour someone with calm, simple flowers, and we hand-arrange each one with care.&lt;/p&gt;</t>
        </is>
      </c>
      <c r="S306" s="29" t="inlineStr">
        <is>
          <t>ok</t>
        </is>
      </c>
      <c r="T306" s="30" t="inlineStr">
        <is>
          <t>In this bunch: 18 florist's choice sympathy stems. The florist chooses the flowers to suit the season, so the picture is illustrative and shows the style and colour, not the exact stems.</t>
        </is>
      </c>
      <c r="U306" s="30" t="inlineStr">
        <is>
          <t>&lt;p&gt;In this bunch: 18 florist's choice sympathy stems. The florist chooses the flowers to suit the season, so the picture is illustrative and shows the style and colour, not the exact stems.&lt;/p&gt;</t>
        </is>
      </c>
      <c r="V306" s="29" t="inlineStr">
        <is>
          <t>ok</t>
        </is>
      </c>
      <c r="W306" s="30" t="n"/>
      <c r="X306" s="30" t="inlineStr">
        <is>
          <t>n/a (Mel's: mason jar products only)</t>
        </is>
      </c>
      <c r="Y306" s="30" t="n"/>
      <c r="Z306" s="48" t="inlineStr">
        <is>
          <t>-</t>
        </is>
      </c>
      <c r="AA306" t="n">
        <v>28</v>
      </c>
      <c r="AB306" s="44" t="n">
        <v>80054.53999999999</v>
      </c>
      <c r="AC306" t="n">
        <v>627</v>
      </c>
      <c r="AD306" s="45" t="n">
        <v>0.009172406430767079</v>
      </c>
      <c r="AE306" s="45" t="n">
        <v>0.07508597130171064</v>
      </c>
      <c r="AF306" t="n">
        <v>6</v>
      </c>
    </row>
    <row r="307" ht="109.5" customHeight="1" s="24">
      <c r="A307" s="30" t="inlineStr">
        <is>
          <t>DC-01B</t>
        </is>
      </c>
      <c r="B307" s="30" t="inlineStr">
        <is>
          <t>Birthday Designer Collection I</t>
        </is>
      </c>
      <c r="C307" s="30" t="inlineStr">
        <is>
          <t>Designer Collection</t>
        </is>
      </c>
      <c r="D307" s="43" t="inlineStr">
        <is>
          <t>READY TO REVIEW</t>
        </is>
      </c>
      <c r="E307" s="30" t="inlineStr">
        <is>
          <t>Our signature designer birthday collection brings together fresh seasonal flowers in a beautifully balanced arrangement. Hand-styled to bring colour and joy, it's a charming way to wish someone the happiest of birthdays.</t>
        </is>
      </c>
      <c r="F307" s="30" t="inlineStr">
        <is>
          <t>Shopify (28 Sep)</t>
        </is>
      </c>
      <c r="G307" s="30" t="inlineStr">
        <is>
          <t>10 × Birthday Designer Stems; 2 × Ruscus Israeli</t>
        </is>
      </c>
      <c r="H307" s="30" t="inlineStr">
        <is>
          <t>10 × Birthday Designer Stems; 2 × Ruscus Israeli</t>
        </is>
      </c>
      <c r="I307" s="30" t="inlineStr">
        <is>
          <t>10 × Birthday Designer Stems; 2 × Ruscus Israeli</t>
        </is>
      </c>
      <c r="J307" s="30" t="inlineStr">
        <is>
          <t>10 × Birthday Designer Stems; 2 × Ruscus Israeli</t>
        </is>
      </c>
      <c r="K307" s="30" t="inlineStr">
        <is>
          <t>Y</t>
        </is>
      </c>
      <c r="L307" s="30" t="n"/>
      <c r="M307" s="30" t="inlineStr">
        <is>
          <t>A hand-arranged bouquet of 10 florist's choice birthday stems. Flowers change with the season, so the picture is illustrative and shows the style and colour, not the exact flowers you will receive.</t>
        </is>
      </c>
      <c r="N307" s="30">
        <f>LEN(TRIM(SUBSTITUTE(M307,CHAR(10)," ")))-LEN(SUBSTITUTE(TRIM(SUBSTITUTE(M307,CHAR(10)," "))," ",""))+1</f>
        <v/>
      </c>
      <c r="O307" s="30" t="inlineStr">
        <is>
          <t>&lt;p&gt;A hand-arranged bouquet of 10 florist's choice birthday stems. Flowers change with the season, so the picture is illustrative and shows the style and colour, not the exact flowers you will receive.&lt;/p&gt;</t>
        </is>
      </c>
      <c r="P307" s="29" t="inlineStr">
        <is>
          <t>ok</t>
        </is>
      </c>
      <c r="Q307" s="30" t="inlineStr">
        <is>
          <t>Birthday Designer Collection I is an arrangement of 10 florist's choice birthday stems. Flowers change with the season, so the picture is illustrative and shows the style and colour, not the exact flowers you will receive.
It suits a birthday or a just-because moment, or any day you want to bring a little colour to a Sunday lunch.</t>
        </is>
      </c>
      <c r="R307" s="30" t="inlineStr">
        <is>
          <t>&lt;p&gt;Birthday Designer Collection I is an arrangement of 10 florist's choice birthday stems. Flowers change with the season, so the picture is illustrative and shows the style and colour, not the exact flowers you will receive.&lt;/p&gt;&lt;p&gt;It suits a birthday or a just-because moment, or any day you want to bring a little colour to a Sunday lunch.&lt;/p&gt;</t>
        </is>
      </c>
      <c r="S307" s="29" t="inlineStr">
        <is>
          <t>ok</t>
        </is>
      </c>
      <c r="T307" s="30" t="inlineStr">
        <is>
          <t>In this bunch: 10 florist's choice birthday stems. Flowers change with the season, so the picture is illustrative and shows the style and colour, not the exact flowers you will receive.</t>
        </is>
      </c>
      <c r="U307" s="30" t="inlineStr">
        <is>
          <t>&lt;p&gt;In this bunch: 10 florist's choice birthday stems. Flowers change with the season, so the picture is illustrative and shows the style and colour, not the exact flowers you will receive.&lt;/p&gt;</t>
        </is>
      </c>
      <c r="V307" s="29" t="inlineStr">
        <is>
          <t>ok</t>
        </is>
      </c>
      <c r="W307" s="30" t="n"/>
      <c r="X307" s="30" t="inlineStr">
        <is>
          <t>n/a (Mel's: mason jar products only)</t>
        </is>
      </c>
      <c r="Y307" s="30" t="n"/>
      <c r="Z307" s="48" t="inlineStr">
        <is>
          <t>-</t>
        </is>
      </c>
      <c r="AA307" t="n">
        <v>32</v>
      </c>
      <c r="AB307" s="44" t="n">
        <v>69082.34</v>
      </c>
      <c r="AC307" t="n">
        <v>938</v>
      </c>
      <c r="AD307" s="45" t="n">
        <v>0.007915244960092405</v>
      </c>
      <c r="AE307" s="45" t="n">
        <v>0.06479475810469569</v>
      </c>
      <c r="AF307" t="n">
        <v>8</v>
      </c>
    </row>
    <row r="308" ht="109.5" customHeight="1" s="24">
      <c r="A308" s="30" t="inlineStr">
        <is>
          <t>DC-02B</t>
        </is>
      </c>
      <c r="B308" s="30" t="inlineStr">
        <is>
          <t>Birthday Designer Collection II</t>
        </is>
      </c>
      <c r="C308" s="30" t="inlineStr">
        <is>
          <t>Designer Collection</t>
        </is>
      </c>
      <c r="D308" s="43" t="inlineStr">
        <is>
          <t>READY TO REVIEW</t>
        </is>
      </c>
      <c r="E308" s="30" t="inlineStr">
        <is>
          <t>Our specially priced Birthday Designers Collection bouquets allow our professional, on-staff Floral Designers to work their magic and flaunt their creativity. These beautiful bouquets feature fresh cut flowers selected and creatively arranged by our Designers with a special Birthday theme. Leave it to the experts and let them design a beautiful bouquets for you or your loved ones. 
 Make their birthday unforgettable with a beautiful arrangement.</t>
        </is>
      </c>
      <c r="F308" s="30" t="inlineStr">
        <is>
          <t>Shopify (28 Sep)</t>
        </is>
      </c>
      <c r="G308" s="30" t="inlineStr">
        <is>
          <t>15 × Birthday Designer Stems; 3 × Ruscus Israeli</t>
        </is>
      </c>
      <c r="H308" s="30" t="inlineStr">
        <is>
          <t>15 × Birthday Designer Stems; 3 × Ruscus Israeli</t>
        </is>
      </c>
      <c r="I308" s="30" t="inlineStr">
        <is>
          <t>15 × Birthday Designer Stems; 3 × Ruscus Israeli</t>
        </is>
      </c>
      <c r="J308" s="30" t="inlineStr">
        <is>
          <t>15 × Birthday Designer Stems; 3 × Ruscus Israeli</t>
        </is>
      </c>
      <c r="K308" s="30" t="inlineStr">
        <is>
          <t>Y</t>
        </is>
      </c>
      <c r="L308" s="30" t="n"/>
      <c r="M308" s="30" t="inlineStr">
        <is>
          <t>Designed by our florists, a bouquet of 15 florist's choice birthday stems. The florist chooses the flowers to suit the season, so the picture is illustrative and shows the style and colour, not the exact stems.</t>
        </is>
      </c>
      <c r="N308" s="30">
        <f>LEN(TRIM(SUBSTITUTE(M308,CHAR(10)," ")))-LEN(SUBSTITUTE(TRIM(SUBSTITUTE(M308,CHAR(10)," "))," ",""))+1</f>
        <v/>
      </c>
      <c r="O308" s="30" t="inlineStr">
        <is>
          <t>&lt;p&gt;Designed by our florists, a bouquet of 15 florist's choice birthday stems. The florist chooses the flowers to suit the season, so the picture is illustrative and shows the style and colour, not the exact stems.&lt;/p&gt;</t>
        </is>
      </c>
      <c r="P308" s="29" t="inlineStr">
        <is>
          <t>ok</t>
        </is>
      </c>
      <c r="Q308" s="30" t="inlineStr">
        <is>
          <t>Birthday Designer Collection II is an arrangement of 15 florist's choice birthday stems. The florist chooses the flowers to suit the season, so the picture is illustrative and shows the style and colour, not the exact stems.
It suits a birthday or a just-because moment, or any day you want to bring a little colour to the bedside table.</t>
        </is>
      </c>
      <c r="R308" s="30" t="inlineStr">
        <is>
          <t>&lt;p&gt;Birthday Designer Collection II is an arrangement of 15 florist's choice birthday stems. The florist chooses the flowers to suit the season, so the picture is illustrative and shows the style and colour, not the exact stems.&lt;/p&gt;&lt;p&gt;It suits a birthday or a just-because moment, or any day you want to bring a little colour to the bedside table.&lt;/p&gt;</t>
        </is>
      </c>
      <c r="S308" s="29" t="inlineStr">
        <is>
          <t>ok</t>
        </is>
      </c>
      <c r="T308" s="30" t="inlineStr">
        <is>
          <t>The bunch holds: 15 florist's choice birthday stems. The florist chooses the flowers to suit the season, so the picture is illustrative and shows the style and colour, not the exact stems.</t>
        </is>
      </c>
      <c r="U308" s="30" t="inlineStr">
        <is>
          <t>&lt;p&gt;The bunch holds: 15 florist's choice birthday stems. The florist chooses the flowers to suit the season, so the picture is illustrative and shows the style and colour, not the exact stems.&lt;/p&gt;</t>
        </is>
      </c>
      <c r="V308" s="29" t="inlineStr">
        <is>
          <t>ok</t>
        </is>
      </c>
      <c r="W308" s="30" t="n"/>
      <c r="X308" s="30" t="inlineStr">
        <is>
          <t>n/a (Mel's: mason jar products only)</t>
        </is>
      </c>
      <c r="Y308" s="30" t="n"/>
      <c r="Z308" s="48" t="inlineStr">
        <is>
          <t>-</t>
        </is>
      </c>
      <c r="AA308" t="n">
        <v>44</v>
      </c>
      <c r="AB308" s="44" t="n">
        <v>49374.85</v>
      </c>
      <c r="AC308" t="n">
        <v>461</v>
      </c>
      <c r="AD308" s="45" t="n">
        <v>0.005657220144437612</v>
      </c>
      <c r="AE308" s="45" t="n">
        <v>0.04631040639323023</v>
      </c>
      <c r="AF308" t="n">
        <v>9</v>
      </c>
    </row>
    <row r="309" ht="109.5" customHeight="1" s="24">
      <c r="A309" s="30" t="inlineStr">
        <is>
          <t>DC-03B</t>
        </is>
      </c>
      <c r="B309" s="30" t="inlineStr">
        <is>
          <t>Birthday Designer Collection III</t>
        </is>
      </c>
      <c r="C309" s="30" t="inlineStr">
        <is>
          <t>Designer Collection</t>
        </is>
      </c>
      <c r="D309" s="43" t="inlineStr">
        <is>
          <t>READY TO REVIEW</t>
        </is>
      </c>
      <c r="E309" s="30" t="inlineStr">
        <is>
          <t>A designer birthday arrangement created by our florists to delight and surprise, filled with fresh seasonal blooms in a thoughtfully composed display. An effortless way to make someone's special day feel wonderfully celebrated.</t>
        </is>
      </c>
      <c r="F309" s="30" t="inlineStr">
        <is>
          <t>Shopify (28 Sep)</t>
        </is>
      </c>
      <c r="G309" s="30" t="inlineStr">
        <is>
          <t>21 × Birthday Designer Stems; 3 × Ruscus Israeli</t>
        </is>
      </c>
      <c r="H309" s="30" t="inlineStr">
        <is>
          <t>21 × Birthday Designer Stems; 3 × Ruscus Israeli</t>
        </is>
      </c>
      <c r="I309" s="30" t="inlineStr">
        <is>
          <t>21 × Birthday Designer Stems; 3 × Ruscus Israeli</t>
        </is>
      </c>
      <c r="J309" s="30" t="inlineStr">
        <is>
          <t>21 × Birthday Designer Stems; 3 × Ruscus Israeli</t>
        </is>
      </c>
      <c r="K309" s="30" t="inlineStr">
        <is>
          <t>Y</t>
        </is>
      </c>
      <c r="L309" s="30" t="n"/>
      <c r="M309" s="30" t="inlineStr">
        <is>
          <t>Designed by our florists, a bouquet of 21 florist's choice birthday stems. The florist chooses the flowers to suit the season, so the picture is illustrative and shows the style and colour, not the exact stems.</t>
        </is>
      </c>
      <c r="N309" s="30">
        <f>LEN(TRIM(SUBSTITUTE(M309,CHAR(10)," ")))-LEN(SUBSTITUTE(TRIM(SUBSTITUTE(M309,CHAR(10)," "))," ",""))+1</f>
        <v/>
      </c>
      <c r="O309" s="30" t="inlineStr">
        <is>
          <t>&lt;p&gt;Designed by our florists, a bouquet of 21 florist's choice birthday stems. The florist chooses the flowers to suit the season, so the picture is illustrative and shows the style and colour, not the exact stems.&lt;/p&gt;</t>
        </is>
      </c>
      <c r="P309" s="29" t="inlineStr">
        <is>
          <t>ok</t>
        </is>
      </c>
      <c r="Q309" s="30" t="inlineStr">
        <is>
          <t>Birthday Designer Collection III is an arrangement of 21 florist's choice birthday stems. The florist chooses the flowers to suit the season, so the picture is illustrative and shows the style and colour, not the exact stems.
It suits a birthday or a just-because moment, or any day you want to bring a little colour to the kitchen bench.</t>
        </is>
      </c>
      <c r="R309" s="30" t="inlineStr">
        <is>
          <t>&lt;p&gt;Birthday Designer Collection III is an arrangement of 21 florist's choice birthday stems. The florist chooses the flowers to suit the season, so the picture is illustrative and shows the style and colour, not the exact stems.&lt;/p&gt;&lt;p&gt;It suits a birthday or a just-because moment, or any day you want to bring a little colour to the kitchen bench.&lt;/p&gt;</t>
        </is>
      </c>
      <c r="S309" s="29" t="inlineStr">
        <is>
          <t>ok</t>
        </is>
      </c>
      <c r="T309" s="30" t="inlineStr">
        <is>
          <t>The bunch holds: 21 florist's choice birthday stems. The florist chooses the flowers to suit the season, so the picture is illustrative and shows the style and colour, not the exact stems.</t>
        </is>
      </c>
      <c r="U309" s="30" t="inlineStr">
        <is>
          <t>&lt;p&gt;The bunch holds: 21 florist's choice birthday stems. The florist chooses the flowers to suit the season, so the picture is illustrative and shows the style and colour, not the exact stems.&lt;/p&gt;</t>
        </is>
      </c>
      <c r="V309" s="29" t="inlineStr">
        <is>
          <t>ok</t>
        </is>
      </c>
      <c r="W309" s="30" t="n"/>
      <c r="X309" s="30" t="inlineStr">
        <is>
          <t>n/a (Mel's: mason jar products only)</t>
        </is>
      </c>
      <c r="Y309" s="30" t="n"/>
      <c r="Z309" s="48" t="inlineStr">
        <is>
          <t>-</t>
        </is>
      </c>
      <c r="AA309" t="n">
        <v>110</v>
      </c>
      <c r="AB309" s="44" t="n">
        <v>11948.04</v>
      </c>
      <c r="AC309" t="n">
        <v>92</v>
      </c>
      <c r="AD309" s="45" t="n">
        <v>0.001368970598216868</v>
      </c>
      <c r="AE309" s="45" t="n">
        <v>0.01120649066593979</v>
      </c>
      <c r="AF309" t="n">
        <v>12</v>
      </c>
    </row>
    <row r="310" ht="109.5" customHeight="1" s="24">
      <c r="A310" s="30" t="inlineStr">
        <is>
          <t>DC-02A</t>
        </is>
      </c>
      <c r="B310" s="30" t="inlineStr">
        <is>
          <t>Designer Collection Anniversary II</t>
        </is>
      </c>
      <c r="C310" s="30" t="inlineStr">
        <is>
          <t>Designer Collection</t>
        </is>
      </c>
      <c r="D310" s="46" t="inlineStr">
        <is>
          <t>READY - NOTIFY JARROD</t>
        </is>
      </c>
      <c r="E310" s="30" t="inlineStr">
        <is>
          <t>An elegant designer arrangement, thoughtfully composed to capture the warmth and romance of a shared journey. A heartfelt and memorable way to celebrate your anniversary together.</t>
        </is>
      </c>
      <c r="F310" s="30" t="inlineStr">
        <is>
          <t>Shopify (28 Sep)</t>
        </is>
      </c>
      <c r="G310" s="30" t="inlineStr">
        <is>
          <t>15 × Assorted Inventory Flowers</t>
        </is>
      </c>
      <c r="H310" s="30" t="inlineStr">
        <is>
          <t>15 × Assorted Inventory Flowers</t>
        </is>
      </c>
      <c r="I310" s="31" t="inlineStr">
        <is>
          <t>15 × Assorted Inventory Flowers; 3 × Ruscus Israeli</t>
        </is>
      </c>
      <c r="J310" s="30" t="inlineStr">
        <is>
          <t>15 × Assorted Inventory Flowers</t>
        </is>
      </c>
      <c r="K310" s="30" t="inlineStr">
        <is>
          <t>Y</t>
        </is>
      </c>
      <c r="L310" s="30" t="n"/>
      <c r="M310" s="30" t="inlineStr">
        <is>
          <t>A hand-arranged bouquet of 15 assorted seasonal blooms (florist's choice). Flowers change with the season, so the picture is illustrative and shows the style and colour, not the exact flowers you will receive.</t>
        </is>
      </c>
      <c r="N310" s="30">
        <f>LEN(TRIM(SUBSTITUTE(M310,CHAR(10)," ")))-LEN(SUBSTITUTE(TRIM(SUBSTITUTE(M310,CHAR(10)," "))," ",""))+1</f>
        <v/>
      </c>
      <c r="O310" s="30" t="inlineStr">
        <is>
          <t>&lt;p&gt;A hand-arranged bouquet of 15 assorted seasonal blooms (florist's choice). Flowers change with the season, so the picture is illustrative and shows the style and colour, not the exact flowers you will receive.&lt;/p&gt;</t>
        </is>
      </c>
      <c r="P310" s="29" t="inlineStr">
        <is>
          <t>ok</t>
        </is>
      </c>
      <c r="Q310" s="30" t="inlineStr">
        <is>
          <t>Designer Collection Anniversary II is an arrangement of 15 assorted seasonal blooms (florist's choice). Flowers change with the season, so the picture is illustrative and shows the style and colour, not the exact flowers you will receive.
It suits an anniversary or a thank-you, or any day you want to bring a little colour to a Sunday lunch.</t>
        </is>
      </c>
      <c r="R310" s="30" t="inlineStr">
        <is>
          <t>&lt;p&gt;Designer Collection Anniversary II is an arrangement of 15 assorted seasonal blooms (florist's choice). Flowers change with the season, so the picture is illustrative and shows the style and colour, not the exact flowers you will receive.&lt;/p&gt;&lt;p&gt;It suits an anniversary or a thank-you, or any day you want to bring a little colour to a Sunday lunch.&lt;/p&gt;</t>
        </is>
      </c>
      <c r="S310" s="29" t="inlineStr">
        <is>
          <t>ok</t>
        </is>
      </c>
      <c r="T310" s="30" t="inlineStr">
        <is>
          <t>In this bunch: 15 assorted seasonal blooms (florist's choice). Flowers change with the season, so the picture is illustrative and shows the style and colour, not the exact flowers you will receive.</t>
        </is>
      </c>
      <c r="U310" s="30" t="inlineStr">
        <is>
          <t>&lt;p&gt;In this bunch: 15 assorted seasonal blooms (florist's choice). Flowers change with the season, so the picture is illustrative and shows the style and colour, not the exact flowers you will receive.&lt;/p&gt;</t>
        </is>
      </c>
      <c r="V310" s="29" t="inlineStr">
        <is>
          <t>ok</t>
        </is>
      </c>
      <c r="W310" s="30" t="n"/>
      <c r="X310" s="30" t="inlineStr">
        <is>
          <t>n/a (Mel's: mason jar products only)</t>
        </is>
      </c>
      <c r="Y310" s="30" t="n"/>
      <c r="Z310" s="48" t="inlineStr">
        <is>
          <t>-</t>
        </is>
      </c>
      <c r="AA310" t="n">
        <v>120</v>
      </c>
      <c r="AB310" s="44" t="n">
        <v>9540.360000000001</v>
      </c>
      <c r="AC310" t="n">
        <v>113</v>
      </c>
      <c r="AD310" s="45" t="n">
        <v>0.00109310547704748</v>
      </c>
      <c r="AE310" s="45" t="n">
        <v>0.008948239166988788</v>
      </c>
      <c r="AF310" t="n">
        <v>15</v>
      </c>
    </row>
    <row r="311" ht="109.5" customHeight="1" s="24">
      <c r="A311" s="30" t="inlineStr">
        <is>
          <t>DC-03A</t>
        </is>
      </c>
      <c r="B311" s="30" t="inlineStr">
        <is>
          <t>Designer Collection Anniversary III</t>
        </is>
      </c>
      <c r="C311" s="30" t="inlineStr">
        <is>
          <t>Designer Collection</t>
        </is>
      </c>
      <c r="D311" s="43" t="inlineStr">
        <is>
          <t>READY TO REVIEW</t>
        </is>
      </c>
      <c r="E311" s="30" t="inlineStr">
        <is>
          <t>A luxurious designer arrangement, lovingly crafted to honour years of love and cherished memories. A striking and meaningful way to make an anniversary feel truly special.</t>
        </is>
      </c>
      <c r="F311" s="30" t="inlineStr">
        <is>
          <t>Shopify (28 Sep)</t>
        </is>
      </c>
      <c r="G311" s="30" t="inlineStr">
        <is>
          <t>18 × Anniversary Designer stems; 3 × Ruscus Israeli</t>
        </is>
      </c>
      <c r="H311" s="30" t="inlineStr">
        <is>
          <t>18 × Anniversary Designer stems; 3 × Ruscus Israeli</t>
        </is>
      </c>
      <c r="I311" s="30" t="inlineStr">
        <is>
          <t>18 × Anniversary Designer stems; 3 × Ruscus Israeli</t>
        </is>
      </c>
      <c r="J311" s="30" t="inlineStr">
        <is>
          <t>18 × Anniversary Designer stems; 3 × Ruscus Israeli</t>
        </is>
      </c>
      <c r="K311" s="30" t="inlineStr">
        <is>
          <t>Y</t>
        </is>
      </c>
      <c r="L311" s="30" t="n"/>
      <c r="M311" s="30" t="inlineStr">
        <is>
          <t>A florist-designed bouquet with 18 florist's choice anniversary stems. Stems vary with the season, so the picture is illustrative and shows the style and colour, not the exact flowers.</t>
        </is>
      </c>
      <c r="N311" s="30">
        <f>LEN(TRIM(SUBSTITUTE(M311,CHAR(10)," ")))-LEN(SUBSTITUTE(TRIM(SUBSTITUTE(M311,CHAR(10)," "))," ",""))+1</f>
        <v/>
      </c>
      <c r="O311" s="30" t="inlineStr">
        <is>
          <t>&lt;p&gt;A florist-designed bouquet with 18 florist's choice anniversary stems. Stems vary with the season, so the picture is illustrative and shows the style and colour, not the exact flowers.&lt;/p&gt;</t>
        </is>
      </c>
      <c r="P311" s="29" t="inlineStr">
        <is>
          <t>ok</t>
        </is>
      </c>
      <c r="Q311" s="30" t="inlineStr">
        <is>
          <t>Designer Collection Anniversary III is an arrangement of 18 florist's choice anniversary stems. Stems vary with the season, so the picture is illustrative and shows the style and colour, not the exact flowers.
It suits an anniversary or a thank-you, or any day you want to bring a little colour to the bedside table.</t>
        </is>
      </c>
      <c r="R311" s="30" t="inlineStr">
        <is>
          <t>&lt;p&gt;Designer Collection Anniversary III is an arrangement of 18 florist's choice anniversary stems. Stems vary with the season, so the picture is illustrative and shows the style and colour, not the exact flowers.&lt;/p&gt;&lt;p&gt;It suits an anniversary or a thank-you, or any day you want to bring a little colour to the bedside table.&lt;/p&gt;</t>
        </is>
      </c>
      <c r="S311" s="29" t="inlineStr">
        <is>
          <t>ok</t>
        </is>
      </c>
      <c r="T311" s="30" t="inlineStr">
        <is>
          <t>The bunch holds: 18 florist's choice anniversary stems. Stems vary with the season, so the picture is illustrative and shows the style and colour, not the exact flowers.</t>
        </is>
      </c>
      <c r="U311" s="30" t="inlineStr">
        <is>
          <t>&lt;p&gt;The bunch holds: 18 florist's choice anniversary stems. Stems vary with the season, so the picture is illustrative and shows the style and colour, not the exact flowers.&lt;/p&gt;</t>
        </is>
      </c>
      <c r="V311" s="29" t="inlineStr">
        <is>
          <t>ok</t>
        </is>
      </c>
      <c r="W311" s="30" t="n"/>
      <c r="X311" s="30" t="inlineStr">
        <is>
          <t>n/a (Mel's: mason jar products only)</t>
        </is>
      </c>
      <c r="Y311" s="30" t="n"/>
      <c r="Z311" s="48" t="inlineStr">
        <is>
          <t>-</t>
        </is>
      </c>
      <c r="AA311" t="n">
        <v>158</v>
      </c>
      <c r="AB311" s="44" t="n">
        <v>5512.61</v>
      </c>
      <c r="AC311" t="n">
        <v>45</v>
      </c>
      <c r="AD311" s="45" t="n">
        <v>0.000631617884190508</v>
      </c>
      <c r="AE311" s="45" t="n">
        <v>0.005170468914994375</v>
      </c>
      <c r="AF311" t="n">
        <v>19</v>
      </c>
    </row>
    <row r="312" ht="109.5" customHeight="1" s="24">
      <c r="A312" s="30" t="inlineStr">
        <is>
          <t>AUDC-04</t>
        </is>
      </c>
      <c r="B312" s="30" t="inlineStr">
        <is>
          <t>Designer Collection IV</t>
        </is>
      </c>
      <c r="C312" s="30" t="inlineStr">
        <is>
          <t>Designer Collection</t>
        </is>
      </c>
      <c r="D312" s="43" t="inlineStr">
        <is>
          <t>READY TO REVIEW</t>
        </is>
      </c>
      <c r="E312" s="30" t="inlineStr">
        <is>
          <t>An opulent designer arrangement of forty-one roses, expertly styled into a statement of elegance and devotion. Created to mark a milestone anniversary, it's a breathtaking way to celebrate enduring love.</t>
        </is>
      </c>
      <c r="F312" s="30" t="inlineStr">
        <is>
          <t>Shopify (28 Sep)</t>
        </is>
      </c>
      <c r="G312" s="30" t="inlineStr">
        <is>
          <t>9 × Roses Assorted; 9 × Designer Collection stems; 4 × Ruscus Israeli</t>
        </is>
      </c>
      <c r="H312" s="30" t="inlineStr">
        <is>
          <t>9 × Roses Assorted; 9 × Designer Collection stems; 4 × Ruscus Israeli</t>
        </is>
      </c>
      <c r="I312" s="30" t="inlineStr">
        <is>
          <t>9 × Roses Assorted; 9 × Designer Collection stems; 4 × Ruscus Israeli</t>
        </is>
      </c>
      <c r="J312" s="30" t="inlineStr">
        <is>
          <t>4 × Ruscus Israeli; 9 × Designer Collection stems; 9 × Roses Assorted</t>
        </is>
      </c>
      <c r="K312" s="30" t="inlineStr">
        <is>
          <t>Y</t>
        </is>
      </c>
      <c r="L312" s="30" t="n"/>
      <c r="M312" s="30" t="inlineStr">
        <is>
          <t>A hand-arranged bouquet of 9 florist's choice stems and 9 assorted-colour roses. Flowers change with the season, so the picture is illustrative and shows the style and colour, not the exact flowers you will receive.</t>
        </is>
      </c>
      <c r="N312" s="30">
        <f>LEN(TRIM(SUBSTITUTE(M312,CHAR(10)," ")))-LEN(SUBSTITUTE(TRIM(SUBSTITUTE(M312,CHAR(10)," "))," ",""))+1</f>
        <v/>
      </c>
      <c r="O312" s="30" t="inlineStr">
        <is>
          <t>&lt;p&gt;A hand-arranged bouquet of 9 florist's choice stems and 9 assorted-colour roses. Flowers change with the season, so the picture is illustrative and shows the style and colour, not the exact flowers you will receive.&lt;/p&gt;</t>
        </is>
      </c>
      <c r="P312" s="29" t="inlineStr">
        <is>
          <t>ok</t>
        </is>
      </c>
      <c r="Q312" s="30" t="inlineStr">
        <is>
          <t>Designer Collection IV is an arrangement of 9 florist's choice stems and 9 assorted-colour roses. Flowers change with the season, so the picture is illustrative and shows the style and colour, not the exact flowers you will receive.
It suits a birthday, a thank-you or a just-because moment, or any day you want to bring a little colour to the kitchen bench.</t>
        </is>
      </c>
      <c r="R312" s="30" t="inlineStr">
        <is>
          <t>&lt;p&gt;Designer Collection IV is an arrangement of 9 florist's choice stems and 9 assorted-colour roses. Flowers change with the season, so the picture is illustrative and shows the style and colour, not the exact flowers you will receive.&lt;/p&gt;&lt;p&gt;It suits a birthday, a thank-you or a just-because moment, or any day you want to bring a little colour to the kitchen bench.&lt;/p&gt;</t>
        </is>
      </c>
      <c r="S312" s="29" t="inlineStr">
        <is>
          <t>ok</t>
        </is>
      </c>
      <c r="T312" s="30" t="inlineStr">
        <is>
          <t>The bunch holds: 9 florist's choice stems and 9 assorted-colour roses. Flowers change with the season, so the picture is illustrative and shows the style and colour, not the exact flowers you will receive.</t>
        </is>
      </c>
      <c r="U312" s="30" t="inlineStr">
        <is>
          <t>&lt;p&gt;The bunch holds: 9 florist's choice stems and 9 assorted-colour roses. Flowers change with the season, so the picture is illustrative and shows the style and colour, not the exact flowers you will receive.&lt;/p&gt;</t>
        </is>
      </c>
      <c r="V312" s="29" t="inlineStr">
        <is>
          <t>ok</t>
        </is>
      </c>
      <c r="W312" s="30" t="n"/>
      <c r="X312" s="30" t="inlineStr">
        <is>
          <t>n/a (Mel's: mason jar products only)</t>
        </is>
      </c>
      <c r="Y312" s="30" t="n"/>
      <c r="Z312" s="48" t="inlineStr">
        <is>
          <t>-</t>
        </is>
      </c>
      <c r="AA312" t="n">
        <v>140</v>
      </c>
      <c r="AB312" s="44" t="n">
        <v>7194.75</v>
      </c>
      <c r="AC312" t="n">
        <v>51</v>
      </c>
      <c r="AD312" s="45" t="n">
        <v>0.0008243526062944541</v>
      </c>
      <c r="AE312" s="45" t="n">
        <v>0.006748209055705716</v>
      </c>
      <c r="AF312" t="n">
        <v>17</v>
      </c>
    </row>
    <row r="313" ht="109.5" customHeight="1" s="24">
      <c r="A313" s="30" t="inlineStr">
        <is>
          <t>AUDC-04A</t>
        </is>
      </c>
      <c r="B313" s="30" t="inlineStr">
        <is>
          <t>Designer Collection Anniversary IV</t>
        </is>
      </c>
      <c r="C313" s="30" t="inlineStr">
        <is>
          <t>Designer Collection</t>
        </is>
      </c>
      <c r="D313" s="43" t="inlineStr">
        <is>
          <t>READY TO REVIEW</t>
        </is>
      </c>
      <c r="E313" s="30" t="inlineStr">
        <is>
          <t>Forty-one roses are artfully arranged into a luxurious designer creation that radiates romance and refinement. Whether for an anniversary, a birthday or simply just because, it's a stunning gesture for someone truly special.</t>
        </is>
      </c>
      <c r="F313" s="30" t="inlineStr">
        <is>
          <t>Shopify (28 Sep)</t>
        </is>
      </c>
      <c r="G313" s="30" t="inlineStr">
        <is>
          <t>9 × Roses Red; 9 × Anniversary Designer stems; 4 × Ruscus Israeli</t>
        </is>
      </c>
      <c r="H313" s="30" t="inlineStr">
        <is>
          <t>9 × Roses Red; 9 × Anniversary Designer stems; 4 × Ruscus Israeli</t>
        </is>
      </c>
      <c r="I313" s="30" t="inlineStr">
        <is>
          <t>9 × Roses Red; 9 × Anniversary Designer stems; 4 × Ruscus Israeli</t>
        </is>
      </c>
      <c r="J313" s="30" t="inlineStr">
        <is>
          <t>4 × Ruscus Israeli; 9 × Anniversary Designer stems; 9 × Roses Red</t>
        </is>
      </c>
      <c r="K313" s="30" t="inlineStr">
        <is>
          <t>Y</t>
        </is>
      </c>
      <c r="L313" s="30" t="n"/>
      <c r="M313" s="30" t="inlineStr">
        <is>
          <t>A hand-arranged bouquet of 9 florist's choice anniversary stems and 9 red roses. Flowers change with the season, so the picture is illustrative and shows the style and colour, not the exact flowers you will receive.</t>
        </is>
      </c>
      <c r="N313" s="30">
        <f>LEN(TRIM(SUBSTITUTE(M313,CHAR(10)," ")))-LEN(SUBSTITUTE(TRIM(SUBSTITUTE(M313,CHAR(10)," "))," ",""))+1</f>
        <v/>
      </c>
      <c r="O313" s="30" t="inlineStr">
        <is>
          <t>&lt;p&gt;A hand-arranged bouquet of 9 florist's choice anniversary stems and 9 red roses. Flowers change with the season, so the picture is illustrative and shows the style and colour, not the exact flowers you will receive.&lt;/p&gt;</t>
        </is>
      </c>
      <c r="P313" s="29" t="inlineStr">
        <is>
          <t>ok</t>
        </is>
      </c>
      <c r="Q313" s="30" t="inlineStr">
        <is>
          <t>Designer Collection Anniversary IV is an arrangement of 9 florist's choice anniversary stems and 9 red roses. Flowers change with the season, so the picture is illustrative and shows the style and colour, not the exact flowers you will receive.
It suits an anniversary or a thank-you, or any day you want to bring a little colour to the kitchen bench.</t>
        </is>
      </c>
      <c r="R313" s="30" t="inlineStr">
        <is>
          <t>&lt;p&gt;Designer Collection Anniversary IV is an arrangement of 9 florist's choice anniversary stems and 9 red roses. Flowers change with the season, so the picture is illustrative and shows the style and colour, not the exact flowers you will receive.&lt;/p&gt;&lt;p&gt;It suits an anniversary or a thank-you, or any day you want to bring a little colour to the kitchen bench.&lt;/p&gt;</t>
        </is>
      </c>
      <c r="S313" s="29" t="inlineStr">
        <is>
          <t>ok</t>
        </is>
      </c>
      <c r="T313" s="30" t="inlineStr">
        <is>
          <t>The bunch holds: 9 florist's choice anniversary stems and 9 red roses. Flowers change with the season, so the picture is illustrative and shows the style and colour, not the exact flowers you will receive.</t>
        </is>
      </c>
      <c r="U313" s="30" t="inlineStr">
        <is>
          <t>&lt;p&gt;The bunch holds: 9 florist's choice anniversary stems and 9 red roses. Flowers change with the season, so the picture is illustrative and shows the style and colour, not the exact flowers you will receive.&lt;/p&gt;</t>
        </is>
      </c>
      <c r="V313" s="29" t="inlineStr">
        <is>
          <t>ok</t>
        </is>
      </c>
      <c r="W313" s="30" t="n"/>
      <c r="X313" s="30" t="inlineStr">
        <is>
          <t>n/a (Mel's: mason jar products only)</t>
        </is>
      </c>
      <c r="Y313" s="30" t="n"/>
      <c r="Z313" s="48" t="inlineStr">
        <is>
          <t>-</t>
        </is>
      </c>
      <c r="AA313" t="n">
        <v>111</v>
      </c>
      <c r="AB313" s="44" t="n">
        <v>11492.02</v>
      </c>
      <c r="AC313" t="n">
        <v>78</v>
      </c>
      <c r="AD313" s="45" t="n">
        <v>0.001316720753130824</v>
      </c>
      <c r="AE313" s="45" t="n">
        <v>0.01077876971852409</v>
      </c>
      <c r="AF313" t="n">
        <v>13</v>
      </c>
    </row>
    <row r="314" ht="109.5" customHeight="1" s="24">
      <c r="A314" s="30" t="inlineStr">
        <is>
          <t>DC-04B</t>
        </is>
      </c>
      <c r="B314" s="30" t="inlineStr">
        <is>
          <t>Birthday Designer Collection IV</t>
        </is>
      </c>
      <c r="C314" s="30" t="inlineStr">
        <is>
          <t>Designer Collection</t>
        </is>
      </c>
      <c r="D314" s="43" t="inlineStr">
        <is>
          <t>READY TO REVIEW</t>
        </is>
      </c>
      <c r="E314" s="30" t="inlineStr">
        <is>
          <t>A lavish designer collection featuring four dozen roses, hand-arranged into a striking display of colour and abundance. A show-stopping birthday gift for someone who deserves to feel utterly spoiled.</t>
        </is>
      </c>
      <c r="F314" s="30" t="inlineStr">
        <is>
          <t>Shopify (28 Sep)</t>
        </is>
      </c>
      <c r="G314" s="30" t="inlineStr">
        <is>
          <t>11 × Roses Assorted; 11 × Birthday Designer Stems; 4 × Ruscus Israeli</t>
        </is>
      </c>
      <c r="H314" s="30" t="inlineStr">
        <is>
          <t>11 × Roses Assorted; 11 × Birthday Designer Stems; 4 × Ruscus Israeli</t>
        </is>
      </c>
      <c r="I314" s="30" t="inlineStr">
        <is>
          <t>11 × Roses Assorted; 11 × Birthday Designer Stems; 4 × Ruscus Israeli</t>
        </is>
      </c>
      <c r="J314" s="30" t="inlineStr">
        <is>
          <t>4 × Ruscus Israeli; 11 × Birthday Designer Stems; 11 × Roses Assorted</t>
        </is>
      </c>
      <c r="K314" s="30" t="inlineStr">
        <is>
          <t>Y</t>
        </is>
      </c>
      <c r="L314" s="30" t="n"/>
      <c r="M314" s="30" t="inlineStr">
        <is>
          <t>Designed by our florists, a bouquet of 11 florist's choice birthday stems and 11 assorted-colour roses. The florist chooses the flowers to suit the season, so the picture is illustrative and shows the style and colour, not the exact stems.</t>
        </is>
      </c>
      <c r="N314" s="30">
        <f>LEN(TRIM(SUBSTITUTE(M314,CHAR(10)," ")))-LEN(SUBSTITUTE(TRIM(SUBSTITUTE(M314,CHAR(10)," "))," ",""))+1</f>
        <v/>
      </c>
      <c r="O314" s="30" t="inlineStr">
        <is>
          <t>&lt;p&gt;Designed by our florists, a bouquet of 11 florist's choice birthday stems and 11 assorted-colour roses. The florist chooses the flowers to suit the season, so the picture is illustrative and shows the style and colour, not the exact stems.&lt;/p&gt;</t>
        </is>
      </c>
      <c r="P314" s="29" t="inlineStr">
        <is>
          <t>ok</t>
        </is>
      </c>
      <c r="Q314" s="30" t="inlineStr">
        <is>
          <t>Birthday Designer Collection IV is an arrangement of 11 florist's choice birthday stems and 11 assorted-colour roses. The florist chooses the flowers to suit the season, so the picture is illustrative and shows the style and colour, not the exact stems.
It suits a birthday or a thank-you, or any day you want to bring a little colour to the kitchen bench.</t>
        </is>
      </c>
      <c r="R314" s="30" t="inlineStr">
        <is>
          <t>&lt;p&gt;Birthday Designer Collection IV is an arrangement of 11 florist's choice birthday stems and 11 assorted-colour roses. The florist chooses the flowers to suit the season, so the picture is illustrative and shows the style and colour, not the exact stems.&lt;/p&gt;&lt;p&gt;It suits a birthday or a thank-you, or any day you want to bring a little colour to the kitchen bench.&lt;/p&gt;</t>
        </is>
      </c>
      <c r="S314" s="29" t="inlineStr">
        <is>
          <t>ok</t>
        </is>
      </c>
      <c r="T314" s="30" t="inlineStr">
        <is>
          <t>The bunch holds: 11 florist's choice birthday stems and 11 assorted-colour roses. The florist chooses the flowers to suit the season, so the picture is illustrative and shows the style and colour, not the exact stems.</t>
        </is>
      </c>
      <c r="U314" s="30" t="inlineStr">
        <is>
          <t>&lt;p&gt;The bunch holds: 11 florist's choice birthday stems and 11 assorted-colour roses. The florist chooses the flowers to suit the season, so the picture is illustrative and shows the style and colour, not the exact stems.&lt;/p&gt;</t>
        </is>
      </c>
      <c r="V314" s="29" t="inlineStr">
        <is>
          <t>ok</t>
        </is>
      </c>
      <c r="W314" s="30" t="n"/>
      <c r="X314" s="30" t="inlineStr">
        <is>
          <t>n/a (Mel's: mason jar products only)</t>
        </is>
      </c>
      <c r="Y314" s="30" t="n"/>
      <c r="Z314" s="48" t="inlineStr">
        <is>
          <t>-</t>
        </is>
      </c>
      <c r="AA314" t="n">
        <v>115</v>
      </c>
      <c r="AB314" s="44" t="n">
        <v>11258.57</v>
      </c>
      <c r="AC314" t="n">
        <v>73</v>
      </c>
      <c r="AD314" s="45" t="n">
        <v>0.001289972990215611</v>
      </c>
      <c r="AE314" s="45" t="n">
        <v>0.01055981062923866</v>
      </c>
      <c r="AF314" t="n">
        <v>14</v>
      </c>
    </row>
    <row r="315" ht="109.5" customHeight="1" s="24">
      <c r="A315" s="30" t="inlineStr">
        <is>
          <t>DC112-01A</t>
        </is>
      </c>
      <c r="B315" s="30" t="inlineStr">
        <is>
          <t>Designers Collection I</t>
        </is>
      </c>
      <c r="C315" s="30" t="inlineStr">
        <is>
          <t>Designer Collection</t>
        </is>
      </c>
      <c r="D315" s="46" t="inlineStr">
        <is>
          <t>READY - NOTIFY JARROD</t>
        </is>
      </c>
      <c r="E315" s="30" t="n"/>
      <c r="F315" s="30" t="inlineStr">
        <is>
          <t>none</t>
        </is>
      </c>
      <c r="G315" s="30" t="inlineStr">
        <is>
          <t>10 × Assorted Inventory Flowers</t>
        </is>
      </c>
      <c r="H315" s="30" t="inlineStr">
        <is>
          <t>10 × Assorted Inventory Flowers</t>
        </is>
      </c>
      <c r="I315" s="31" t="inlineStr">
        <is>
          <t>10 × Assorted Inventory Flowers; 2 × Ruscus Israeli</t>
        </is>
      </c>
      <c r="J315" s="30" t="inlineStr">
        <is>
          <t>10 × Assorted Inventory Flowers</t>
        </is>
      </c>
      <c r="K315" s="30" t="inlineStr">
        <is>
          <t>Y</t>
        </is>
      </c>
      <c r="L315" s="30" t="n"/>
      <c r="M315" s="30" t="inlineStr">
        <is>
          <t>A hand-arranged bouquet of 10 assorted seasonal blooms (florist's choice). Flowers change with the season, so the picture is illustrative and shows the style and colour, not the exact flowers you will receive.</t>
        </is>
      </c>
      <c r="N315" s="30">
        <f>LEN(TRIM(SUBSTITUTE(M315,CHAR(10)," ")))-LEN(SUBSTITUTE(TRIM(SUBSTITUTE(M315,CHAR(10)," "))," ",""))+1</f>
        <v/>
      </c>
      <c r="O315" s="30" t="inlineStr">
        <is>
          <t>&lt;p&gt;A hand-arranged bouquet of 10 assorted seasonal blooms (florist's choice). Flowers change with the season, so the picture is illustrative and shows the style and colour, not the exact flowers you will receive.&lt;/p&gt;</t>
        </is>
      </c>
      <c r="P315" s="29" t="inlineStr">
        <is>
          <t>ok</t>
        </is>
      </c>
      <c r="Q315" s="30" t="inlineStr">
        <is>
          <t>Designers Collection I is an arrangement of 10 assorted seasonal blooms (florist's choice). The florist chooses the flowers to suit the season, so the picture is illustrative and shows the style and colour, not the exact stems.
It suits a just-because moment or a thank-you, or any day you want to bring a little colour to the kitchen bench.</t>
        </is>
      </c>
      <c r="R315" s="30" t="inlineStr">
        <is>
          <t>&lt;p&gt;Designers Collection I is an arrangement of 10 assorted seasonal blooms (florist's choice). The florist chooses the flowers to suit the season, so the picture is illustrative and shows the style and colour, not the exact stems.&lt;/p&gt;&lt;p&gt;It suits a just-because moment or a thank-you, or any day you want to bring a little colour to the kitchen bench.&lt;/p&gt;</t>
        </is>
      </c>
      <c r="S315" s="29" t="inlineStr">
        <is>
          <t>ok</t>
        </is>
      </c>
      <c r="T315" s="30" t="inlineStr">
        <is>
          <t>In this bunch: 10 assorted seasonal blooms (florist's choice). The florist chooses the flowers to suit the season, so the picture is illustrative and shows the style and colour, not the exact stems.</t>
        </is>
      </c>
      <c r="U315" s="30" t="inlineStr">
        <is>
          <t>&lt;p&gt;In this bunch: 10 assorted seasonal blooms (florist's choice). The florist chooses the flowers to suit the season, so the picture is illustrative and shows the style and colour, not the exact stems.&lt;/p&gt;</t>
        </is>
      </c>
      <c r="V315" s="29" t="inlineStr">
        <is>
          <t>ok</t>
        </is>
      </c>
      <c r="W315" s="30" t="n"/>
      <c r="X315" s="30" t="inlineStr">
        <is>
          <t>n/a (Mel's: mason jar products only)</t>
        </is>
      </c>
      <c r="Y315" s="30" t="n"/>
      <c r="Z315" s="48" t="inlineStr">
        <is>
          <t>-</t>
        </is>
      </c>
      <c r="AA315" t="inlineStr">
        <is>
          <t>no sales</t>
        </is>
      </c>
      <c r="AB315" s="44" t="n">
        <v>0</v>
      </c>
      <c r="AC315" t="n">
        <v>0</v>
      </c>
      <c r="AD315" s="45" t="n">
        <v>0</v>
      </c>
      <c r="AE315" s="45" t="n">
        <v>0</v>
      </c>
      <c r="AF315" t="inlineStr">
        <is>
          <t>no sales</t>
        </is>
      </c>
    </row>
    <row r="316" ht="109.5" customHeight="1" s="24">
      <c r="A316" s="30" t="inlineStr">
        <is>
          <t>DC112-02</t>
        </is>
      </c>
      <c r="B316" s="30" t="inlineStr">
        <is>
          <t>Designers Collection II</t>
        </is>
      </c>
      <c r="C316" s="30" t="inlineStr">
        <is>
          <t>Designer Collection</t>
        </is>
      </c>
      <c r="D316" s="43" t="inlineStr">
        <is>
          <t>READY TO REVIEW</t>
        </is>
      </c>
      <c r="E316" s="30" t="inlineStr">
        <is>
          <t>Discover Designers Collection II — a perfect gift for any occasion. 
 Quality gifts prepared with care for any occasion.</t>
        </is>
      </c>
      <c r="F316" s="30" t="inlineStr">
        <is>
          <t>Shopify (28 Sep)</t>
        </is>
      </c>
      <c r="G316" s="30" t="inlineStr">
        <is>
          <t>16 × Designer Collection stems; 3 × Ruscus Israeli; 1 × Greeting Card</t>
        </is>
      </c>
      <c r="H316" s="30" t="inlineStr">
        <is>
          <t>16 × Designer Collection stems; 3 × Ruscus Israeli; 1 × Greeting Card</t>
        </is>
      </c>
      <c r="I316" s="30" t="inlineStr">
        <is>
          <t>16 × Designer Collection stems; 3 × Ruscus Israeli; 1 × Greeting Card</t>
        </is>
      </c>
      <c r="J316" s="30" t="inlineStr">
        <is>
          <t>1 × Greeting Card; 3 × Ruscus Israeli; 16 × Designer Collection stems</t>
        </is>
      </c>
      <c r="K316" s="30" t="inlineStr">
        <is>
          <t>Y</t>
        </is>
      </c>
      <c r="L316" s="30" t="n"/>
      <c r="M316" s="30" t="inlineStr">
        <is>
          <t>A hand-arranged bouquet of 16 florist's choice stems. Flowers change with the season, so the picture is illustrative and shows the style and colour, not the exact flowers you will receive.</t>
        </is>
      </c>
      <c r="N316" s="30">
        <f>LEN(TRIM(SUBSTITUTE(M316,CHAR(10)," ")))-LEN(SUBSTITUTE(TRIM(SUBSTITUTE(M316,CHAR(10)," "))," ",""))+1</f>
        <v/>
      </c>
      <c r="O316" s="30" t="inlineStr">
        <is>
          <t>&lt;p&gt;A hand-arranged bouquet of 16 florist's choice stems. Flowers change with the season, so the picture is illustrative and shows the style and colour, not the exact flowers you will receive.&lt;/p&gt;</t>
        </is>
      </c>
      <c r="P316" s="29" t="inlineStr">
        <is>
          <t>ok</t>
        </is>
      </c>
      <c r="Q316" s="30" t="inlineStr">
        <is>
          <t>Designers Collection II is an arrangement of 16 florist's choice stems. Flowers change with the season, so the picture is illustrative and shows the style and colour, not the exact flowers you will receive.
It suits a just-because moment or a thank-you, or any day you want to bring a little colour to the bedside table.</t>
        </is>
      </c>
      <c r="R316" s="30" t="inlineStr">
        <is>
          <t>&lt;p&gt;Designers Collection II is an arrangement of 16 florist's choice stems. Flowers change with the season, so the picture is illustrative and shows the style and colour, not the exact flowers you will receive.&lt;/p&gt;&lt;p&gt;It suits a just-because moment or a thank-you, or any day you want to bring a little colour to the bedside table.&lt;/p&gt;</t>
        </is>
      </c>
      <c r="S316" s="29" t="inlineStr">
        <is>
          <t>ok</t>
        </is>
      </c>
      <c r="T316" s="30" t="inlineStr">
        <is>
          <t>The bunch holds: 16 florist's choice stems. Flowers change with the season, so the picture is illustrative and shows the style and colour, not the exact flowers you will receive.</t>
        </is>
      </c>
      <c r="U316" s="30" t="inlineStr">
        <is>
          <t>&lt;p&gt;The bunch holds: 16 florist's choice stems. Flowers change with the season, so the picture is illustrative and shows the style and colour, not the exact flowers you will receive.&lt;/p&gt;</t>
        </is>
      </c>
      <c r="V316" s="29" t="inlineStr">
        <is>
          <t>ok</t>
        </is>
      </c>
      <c r="W316" s="30" t="n"/>
      <c r="X316" s="30" t="inlineStr">
        <is>
          <t>n/a (Mel's: mason jar products only)</t>
        </is>
      </c>
      <c r="Y316" s="30" t="n"/>
      <c r="Z316" s="48" t="inlineStr">
        <is>
          <t>-</t>
        </is>
      </c>
      <c r="AA316" t="n">
        <v>245</v>
      </c>
      <c r="AB316" s="44" t="n">
        <v>119.95</v>
      </c>
      <c r="AC316" t="n">
        <v>1</v>
      </c>
      <c r="AD316" s="45" t="n">
        <v>1.374350674102919e-05</v>
      </c>
      <c r="AE316" s="45" t="n">
        <v>0.0001125053234972585</v>
      </c>
      <c r="AF316" t="n">
        <v>23</v>
      </c>
    </row>
    <row r="317" ht="109.5" customHeight="1" s="24">
      <c r="A317" s="30" t="inlineStr">
        <is>
          <t>DCB-01C</t>
        </is>
      </c>
      <c r="B317" s="30" t="inlineStr">
        <is>
          <t>Birthday Designer Collection I Combo</t>
        </is>
      </c>
      <c r="C317" s="30" t="inlineStr">
        <is>
          <t>Designer Collection</t>
        </is>
      </c>
      <c r="D317" s="43" t="inlineStr">
        <is>
          <t>READY TO REVIEW</t>
        </is>
      </c>
      <c r="E317" s="30" t="inlineStr">
        <is>
          <t>Our designer birthday collection arrives as a complete combo, pairing a beautifully styled arrangement of fresh blooms with thoughtful extras. An effortless way to make someone's birthday feel wonderfully indulgent.</t>
        </is>
      </c>
      <c r="F317" s="30" t="inlineStr">
        <is>
          <t>Shopify (28 Sep)</t>
        </is>
      </c>
      <c r="G317" s="30" t="inlineStr">
        <is>
          <t>10 × Birthday Designer Stems; 3 × Ruscus Israeli; 1 × Greeting Card; 1 × Teddy Bear</t>
        </is>
      </c>
      <c r="H317" s="30" t="inlineStr">
        <is>
          <t>10 × Birthday Designer Stems; 3 × Ruscus Israeli; 1 × Greeting Card; 1 × Teddy Bear</t>
        </is>
      </c>
      <c r="I317" s="30" t="inlineStr">
        <is>
          <t>10 × Birthday Designer Stems; 3 × Ruscus Israeli; 1 × Greeting Card; 1 × Teddy Bear</t>
        </is>
      </c>
      <c r="J317" s="30" t="inlineStr">
        <is>
          <t>1 × Teddy Bear; 1 × Greeting Card; 3 × Ruscus Israeli; 10 × Birthday Designer Stems</t>
        </is>
      </c>
      <c r="K317" s="30" t="inlineStr">
        <is>
          <t>Y</t>
        </is>
      </c>
      <c r="L317" s="30" t="n"/>
      <c r="M317" s="30" t="inlineStr">
        <is>
          <t>Designed by our florists, a bouquet of 10 florist's choice birthday stems. The florist chooses the flowers to suit the season, so the picture is illustrative and shows the style and colour, not the exact stems.</t>
        </is>
      </c>
      <c r="N317" s="30">
        <f>LEN(TRIM(SUBSTITUTE(M317,CHAR(10)," ")))-LEN(SUBSTITUTE(TRIM(SUBSTITUTE(M317,CHAR(10)," "))," ",""))+1</f>
        <v/>
      </c>
      <c r="O317" s="30" t="inlineStr">
        <is>
          <t>&lt;p&gt;Designed by our florists, a bouquet of 10 florist's choice birthday stems. The florist chooses the flowers to suit the season, so the picture is illustrative and shows the style and colour, not the exact stems.&lt;/p&gt;</t>
        </is>
      </c>
      <c r="P317" s="29" t="inlineStr">
        <is>
          <t>ok</t>
        </is>
      </c>
      <c r="Q317" s="30" t="inlineStr">
        <is>
          <t>Birthday Designer Collection I Combo is an arrangement of 10 florist's choice birthday stems. The florist chooses the flowers to suit the season, so the picture is illustrative and shows the style and colour, not the exact stems.
It suits a birthday or a thank-you, or any day you want to bring a little colour to the kitchen bench.</t>
        </is>
      </c>
      <c r="R317" s="30" t="inlineStr">
        <is>
          <t>&lt;p&gt;Birthday Designer Collection I Combo is an arrangement of 10 florist's choice birthday stems. The florist chooses the flowers to suit the season, so the picture is illustrative and shows the style and colour, not the exact stems.&lt;/p&gt;&lt;p&gt;It suits a birthday or a thank-you, or any day you want to bring a little colour to the kitchen bench.&lt;/p&gt;</t>
        </is>
      </c>
      <c r="S317" s="29" t="inlineStr">
        <is>
          <t>ok</t>
        </is>
      </c>
      <c r="T317" s="30" t="inlineStr">
        <is>
          <t>The bunch holds: 10 florist's choice birthday stems. The florist chooses the flowers to suit the season, so the picture is illustrative and shows the style and colour, not the exact stems.</t>
        </is>
      </c>
      <c r="U317" s="30" t="inlineStr">
        <is>
          <t>&lt;p&gt;The bunch holds: 10 florist's choice birthday stems. The florist chooses the flowers to suit the season, so the picture is illustrative and shows the style and colour, not the exact stems.&lt;/p&gt;</t>
        </is>
      </c>
      <c r="V317" s="29" t="inlineStr">
        <is>
          <t>ok</t>
        </is>
      </c>
      <c r="W317" s="30" t="n"/>
      <c r="X317" s="30" t="inlineStr">
        <is>
          <t>n/a (Mel's: mason jar products only)</t>
        </is>
      </c>
      <c r="Y317" s="30" t="n"/>
      <c r="Z317" s="48" t="inlineStr">
        <is>
          <t>-</t>
        </is>
      </c>
      <c r="AA317" t="n">
        <v>96</v>
      </c>
      <c r="AB317" s="44" t="n">
        <v>16187.23</v>
      </c>
      <c r="AC317" t="n">
        <v>182</v>
      </c>
      <c r="AD317" s="45" t="n">
        <v>0.001854683542143253</v>
      </c>
      <c r="AE317" s="45" t="n">
        <v>0.01518257136447857</v>
      </c>
      <c r="AF317" t="n">
        <v>11</v>
      </c>
    </row>
    <row r="318" ht="109.5" customHeight="1" s="24">
      <c r="A318" s="30" t="inlineStr">
        <is>
          <t>AUDNAT-01</t>
        </is>
      </c>
      <c r="B318" s="30" t="inlineStr">
        <is>
          <t>Native Flowers Bouquet Designer Collection I</t>
        </is>
      </c>
      <c r="C318" s="30" t="inlineStr">
        <is>
          <t>Designer Collection</t>
        </is>
      </c>
      <c r="D318" s="43" t="inlineStr">
        <is>
          <t>READY TO REVIEW</t>
        </is>
      </c>
      <c r="E318" s="30" t="inlineStr">
        <is>
          <t>Native Flowers Bouquet Designer Collection I sends bold texture and earthy colour in a distinctive floral gift. Choose it for recipients who like Australian native flowers, natural shapes, and arrangements with character. 
 Native-style blooms and foliage give the bouquet a textured, long-lasting look. 
 Good for birthdays, thanks, housewarmings, and congratulations. 
 The style feels less traditional than roses or mixed pastels. 
 Add a message and review delivery details before payment.</t>
        </is>
      </c>
      <c r="F318" s="30" t="inlineStr">
        <is>
          <t>Shopify (28 Sep)</t>
        </is>
      </c>
      <c r="G318" s="30" t="inlineStr">
        <is>
          <t>10 × Native Flowers Designer Stem; 2 × Ruscus Israeli</t>
        </is>
      </c>
      <c r="H318" s="30" t="inlineStr">
        <is>
          <t>10 × Native Flowers Designer Stem; 2 × Ruscus Israeli</t>
        </is>
      </c>
      <c r="I318" s="30" t="inlineStr">
        <is>
          <t>10 × Native Flowers Designer Stem; 2 × Ruscus Israeli</t>
        </is>
      </c>
      <c r="J318" s="30" t="inlineStr">
        <is>
          <t>10 × Native Flowers Designer Stem; 2 × Ruscus Israeli</t>
        </is>
      </c>
      <c r="K318" s="30" t="inlineStr">
        <is>
          <t>Y</t>
        </is>
      </c>
      <c r="L318" s="30" t="n"/>
      <c r="M318" s="30" t="inlineStr">
        <is>
          <t>A florist-designed bouquet with 10 florist's choice stems. Stems vary with the season, so the picture is illustrative and shows the style and colour, not the exact flowers.</t>
        </is>
      </c>
      <c r="N318" s="30">
        <f>LEN(TRIM(SUBSTITUTE(M318,CHAR(10)," ")))-LEN(SUBSTITUTE(TRIM(SUBSTITUTE(M318,CHAR(10)," "))," ",""))+1</f>
        <v/>
      </c>
      <c r="O318" s="30" t="inlineStr">
        <is>
          <t>&lt;p&gt;A florist-designed bouquet with 10 florist's choice stems. Stems vary with the season, so the picture is illustrative and shows the style and colour, not the exact flowers.&lt;/p&gt;</t>
        </is>
      </c>
      <c r="P318" s="29" t="inlineStr">
        <is>
          <t>ok</t>
        </is>
      </c>
      <c r="Q318" s="30" t="inlineStr">
        <is>
          <t>Native Flowers Bouquet Designer Collection I is an arrangement of 10 florist's choice stems. Stems vary with the season, so the picture is illustrative and shows the style and colour, not the exact flowers.
It suits a just-because moment or a thank-you, or any day you want to bring a little colour to a summer table.</t>
        </is>
      </c>
      <c r="R318" s="30" t="inlineStr">
        <is>
          <t>&lt;p&gt;Native Flowers Bouquet Designer Collection I is an arrangement of 10 florist's choice stems. Stems vary with the season, so the picture is illustrative and shows the style and colour, not the exact flowers.&lt;/p&gt;&lt;p&gt;It suits a just-because moment or a thank-you, or any day you want to bring a little colour to a summer table.&lt;/p&gt;</t>
        </is>
      </c>
      <c r="S318" s="29" t="inlineStr">
        <is>
          <t>ok</t>
        </is>
      </c>
      <c r="T318" s="30" t="inlineStr">
        <is>
          <t>In this bunch: 10 florist's choice stems. Stems vary with the season, so the picture is illustrative and shows the style and colour, not the exact flowers.</t>
        </is>
      </c>
      <c r="U318" s="30" t="inlineStr">
        <is>
          <t>&lt;p&gt;In this bunch: 10 florist's choice stems. Stems vary with the season, so the picture is illustrative and shows the style and colour, not the exact flowers.&lt;/p&gt;</t>
        </is>
      </c>
      <c r="V318" s="29" t="inlineStr">
        <is>
          <t>ok</t>
        </is>
      </c>
      <c r="W318" s="30" t="n"/>
      <c r="X318" s="30" t="inlineStr">
        <is>
          <t>n/a (Mel's: mason jar products only)</t>
        </is>
      </c>
      <c r="Y318" s="30" t="n"/>
      <c r="Z318" s="48" t="inlineStr">
        <is>
          <t>-</t>
        </is>
      </c>
      <c r="AA318" t="n">
        <v>31</v>
      </c>
      <c r="AB318" s="44" t="n">
        <v>69734.16</v>
      </c>
      <c r="AC318" t="n">
        <v>833</v>
      </c>
      <c r="AD318" s="45" t="n">
        <v>0.007989928630850591</v>
      </c>
      <c r="AE318" s="45" t="n">
        <v>0.06540612394435644</v>
      </c>
      <c r="AF318" t="n">
        <v>7</v>
      </c>
    </row>
    <row r="319" ht="109.5" customHeight="1" s="24">
      <c r="A319" s="30" t="inlineStr">
        <is>
          <t>AUDNAT-02</t>
        </is>
      </c>
      <c r="B319" s="30" t="inlineStr">
        <is>
          <t>Native Flowers Bouquet Designer Collection II</t>
        </is>
      </c>
      <c r="C319" s="30" t="inlineStr">
        <is>
          <t>Designer Collection</t>
        </is>
      </c>
      <c r="D319" s="43" t="inlineStr">
        <is>
          <t>READY TO REVIEW</t>
        </is>
      </c>
      <c r="E319" s="30" t="inlineStr">
        <is>
          <t>Our Native Flowers Designer Collection II brings together rugged, beautiful Australian blooms in a fresh, contemporary arrangement. Vibrant and full of character, it makes a memorable birthday surprise for anyone who loves something a little different.</t>
        </is>
      </c>
      <c r="F319" s="30" t="inlineStr">
        <is>
          <t>Shopify (28 Sep)</t>
        </is>
      </c>
      <c r="G319" s="30" t="inlineStr">
        <is>
          <t>12 × Native Flowers Designer Stem; 2 × Ruscus Israeli</t>
        </is>
      </c>
      <c r="H319" s="30" t="inlineStr">
        <is>
          <t>12 × Native Flowers Designer Stem; 2 × Ruscus Israeli</t>
        </is>
      </c>
      <c r="I319" s="30" t="inlineStr">
        <is>
          <t>12 × Native Flowers Designer Stem; 2 × Ruscus Israeli</t>
        </is>
      </c>
      <c r="J319" s="30" t="inlineStr">
        <is>
          <t>12 × Native Flowers Designer Stem; 2 × Ruscus Israeli</t>
        </is>
      </c>
      <c r="K319" s="30" t="inlineStr">
        <is>
          <t>Y</t>
        </is>
      </c>
      <c r="L319" s="30" t="n"/>
      <c r="M319" s="30" t="inlineStr">
        <is>
          <t>A florist-designed bouquet with 12 florist's choice stems. Stems vary with the season, so the picture is illustrative and shows the style and colour, not the exact flowers.</t>
        </is>
      </c>
      <c r="N319" s="30">
        <f>LEN(TRIM(SUBSTITUTE(M319,CHAR(10)," ")))-LEN(SUBSTITUTE(TRIM(SUBSTITUTE(M319,CHAR(10)," "))," ",""))+1</f>
        <v/>
      </c>
      <c r="O319" s="30" t="inlineStr">
        <is>
          <t>&lt;p&gt;A florist-designed bouquet with 12 florist's choice stems. Stems vary with the season, so the picture is illustrative and shows the style and colour, not the exact flowers.&lt;/p&gt;</t>
        </is>
      </c>
      <c r="P319" s="29" t="inlineStr">
        <is>
          <t>ok</t>
        </is>
      </c>
      <c r="Q319" s="30" t="inlineStr">
        <is>
          <t>Native Flowers Bouquet Designer Collection II is an arrangement of 12 florist's choice stems. Stems vary with the season, so the picture is illustrative and shows the style and colour, not the exact flowers.
It suits a just-because moment or a thank-you, or any day you want to bring a little colour to a summer table.</t>
        </is>
      </c>
      <c r="R319" s="30" t="inlineStr">
        <is>
          <t>&lt;p&gt;Native Flowers Bouquet Designer Collection II is an arrangement of 12 florist's choice stems. Stems vary with the season, so the picture is illustrative and shows the style and colour, not the exact flowers.&lt;/p&gt;&lt;p&gt;It suits a just-because moment or a thank-you, or any day you want to bring a little colour to a summer table.&lt;/p&gt;</t>
        </is>
      </c>
      <c r="S319" s="29" t="inlineStr">
        <is>
          <t>ok</t>
        </is>
      </c>
      <c r="T319" s="30" t="inlineStr">
        <is>
          <t>In this bunch: 12 florist's choice stems. Stems vary with the season, so the picture is illustrative and shows the style and colour, not the exact flowers.</t>
        </is>
      </c>
      <c r="U319" s="30" t="inlineStr">
        <is>
          <t>&lt;p&gt;In this bunch: 12 florist's choice stems. Stems vary with the season, so the picture is illustrative and shows the style and colour, not the exact flowers.&lt;/p&gt;</t>
        </is>
      </c>
      <c r="V319" s="29" t="inlineStr">
        <is>
          <t>ok</t>
        </is>
      </c>
      <c r="W319" s="30" t="n"/>
      <c r="X319" s="30" t="inlineStr">
        <is>
          <t>n/a (Mel's: mason jar products only)</t>
        </is>
      </c>
      <c r="Y319" s="30" t="n"/>
      <c r="Z319" s="48" t="inlineStr">
        <is>
          <t>-</t>
        </is>
      </c>
      <c r="AA319" t="n">
        <v>20</v>
      </c>
      <c r="AB319" s="44" t="n">
        <v>112349.87</v>
      </c>
      <c r="AC319" t="n">
        <v>1094</v>
      </c>
      <c r="AD319" s="45" t="n">
        <v>0.01287270646706733</v>
      </c>
      <c r="AE319" s="45" t="n">
        <v>0.105376890531085</v>
      </c>
      <c r="AF319" t="n">
        <v>4</v>
      </c>
    </row>
    <row r="320" ht="109.5" customHeight="1" s="24">
      <c r="A320" s="30" t="inlineStr">
        <is>
          <t>AUDNAT-03</t>
        </is>
      </c>
      <c r="B320" s="30" t="inlineStr">
        <is>
          <t>Native Flowers Bouquet Designer Collection III</t>
        </is>
      </c>
      <c r="C320" s="30" t="inlineStr">
        <is>
          <t>Designer Collection</t>
        </is>
      </c>
      <c r="D320" s="43" t="inlineStr">
        <is>
          <t>READY TO REVIEW</t>
        </is>
      </c>
      <c r="E320" s="30" t="inlineStr">
        <is>
          <t>A curated mix of native Australian flowers, this designer collection celebrates the wild beauty of our landscape in rich tones and sculptural forms. Hardy and eye-catching, it's perfect for an anniversary, a congratulations or brightening a get-well day.</t>
        </is>
      </c>
      <c r="F320" s="30" t="inlineStr">
        <is>
          <t>Shopify (28 Sep)</t>
        </is>
      </c>
      <c r="G320" s="30" t="inlineStr">
        <is>
          <t>15 × Native Flowers Designer Stem; 3 × Ruscus Israeli</t>
        </is>
      </c>
      <c r="H320" s="30" t="inlineStr">
        <is>
          <t>15 × Native Flowers Designer Stem; 3 × Ruscus Israeli</t>
        </is>
      </c>
      <c r="I320" s="30" t="inlineStr">
        <is>
          <t>15 × Native Flowers Designer Stem; 3 × Ruscus Israeli</t>
        </is>
      </c>
      <c r="J320" s="30" t="inlineStr">
        <is>
          <t>15 × Native Flowers Designer Stem; 3 × Ruscus Israeli</t>
        </is>
      </c>
      <c r="K320" s="30" t="inlineStr">
        <is>
          <t>Y</t>
        </is>
      </c>
      <c r="L320" s="30" t="n"/>
      <c r="M320" s="30" t="inlineStr">
        <is>
          <t>Designed by our florists, a bouquet of 15 florist's choice stems. The florist chooses the flowers to suit the season, so the picture is illustrative and shows the style and colour, not the exact stems.</t>
        </is>
      </c>
      <c r="N320" s="30">
        <f>LEN(TRIM(SUBSTITUTE(M320,CHAR(10)," ")))-LEN(SUBSTITUTE(TRIM(SUBSTITUTE(M320,CHAR(10)," "))," ",""))+1</f>
        <v/>
      </c>
      <c r="O320" s="30" t="inlineStr">
        <is>
          <t>&lt;p&gt;Designed by our florists, a bouquet of 15 florist's choice stems. The florist chooses the flowers to suit the season, so the picture is illustrative and shows the style and colour, not the exact stems.&lt;/p&gt;</t>
        </is>
      </c>
      <c r="P320" s="29" t="inlineStr">
        <is>
          <t>ok</t>
        </is>
      </c>
      <c r="Q320" s="30" t="inlineStr">
        <is>
          <t>Native Flowers Bouquet Designer Collection III is an arrangement of 15 florist's choice stems. The florist chooses the flowers to suit the season, so the picture is illustrative and shows the style and colour, not the exact stems.
It suits a just-because moment or a thank-you, or any day you want to bring a little colour to the kitchen bench.</t>
        </is>
      </c>
      <c r="R320" s="30" t="inlineStr">
        <is>
          <t>&lt;p&gt;Native Flowers Bouquet Designer Collection III is an arrangement of 15 florist's choice stems. The florist chooses the flowers to suit the season, so the picture is illustrative and shows the style and colour, not the exact stems.&lt;/p&gt;&lt;p&gt;It suits a just-because moment or a thank-you, or any day you want to bring a little colour to the kitchen bench.&lt;/p&gt;</t>
        </is>
      </c>
      <c r="S320" s="29" t="inlineStr">
        <is>
          <t>ok</t>
        </is>
      </c>
      <c r="T320" s="30" t="inlineStr">
        <is>
          <t>The bunch holds: 15 florist's choice stems. The florist chooses the flowers to suit the season, so the picture is illustrative and shows the style and colour, not the exact stems.</t>
        </is>
      </c>
      <c r="U320" s="30" t="inlineStr">
        <is>
          <t>&lt;p&gt;The bunch holds: 15 florist's choice stems. The florist chooses the flowers to suit the season, so the picture is illustrative and shows the style and colour, not the exact stems.&lt;/p&gt;</t>
        </is>
      </c>
      <c r="V320" s="29" t="inlineStr">
        <is>
          <t>ok</t>
        </is>
      </c>
      <c r="W320" s="30" t="n"/>
      <c r="X320" s="30" t="inlineStr">
        <is>
          <t>n/a (Mel's: mason jar products only)</t>
        </is>
      </c>
      <c r="Y320" s="30" t="n"/>
      <c r="Z320" s="48" t="inlineStr">
        <is>
          <t>-</t>
        </is>
      </c>
      <c r="AA320" t="n">
        <v>24</v>
      </c>
      <c r="AB320" s="44" t="n">
        <v>95137.39</v>
      </c>
      <c r="AC320" t="n">
        <v>728</v>
      </c>
      <c r="AD320" s="45" t="n">
        <v>0.01090055369539767</v>
      </c>
      <c r="AE320" s="45" t="n">
        <v>0.08923270770034297</v>
      </c>
      <c r="AF320" t="n">
        <v>5</v>
      </c>
    </row>
    <row r="321" ht="109.5" customHeight="1" s="24">
      <c r="A321" s="30" t="inlineStr">
        <is>
          <t>DCA-04-00</t>
        </is>
      </c>
      <c r="B321" s="30" t="inlineStr">
        <is>
          <t>Anniversary Designer Collection IV</t>
        </is>
      </c>
      <c r="C321" s="30" t="inlineStr">
        <is>
          <t>Designer Collection</t>
        </is>
      </c>
      <c r="D321" s="43" t="inlineStr">
        <is>
          <t>READY TO REVIEW</t>
        </is>
      </c>
      <c r="E321" s="30" t="inlineStr">
        <is>
          <t>Our Anniversary Designer Collection IV is a florist-designed arrangement created to celebrate years of love and togetherness. Thoughtfully composed for the occasion, it is a refined and romantic way to mark a cherished anniversary in style.</t>
        </is>
      </c>
      <c r="F321" s="30" t="inlineStr">
        <is>
          <t>Shopify (28 Sep)</t>
        </is>
      </c>
      <c r="G321" s="30" t="inlineStr">
        <is>
          <t>21 × Anniversary Designer stems; 4 × Ruscus Israeli; 1 × Greeting Card</t>
        </is>
      </c>
      <c r="H321" s="30" t="inlineStr">
        <is>
          <t>21 × Anniversary Designer stems; 4 × Ruscus Israeli; 1 × Greeting Card</t>
        </is>
      </c>
      <c r="I321" s="30" t="inlineStr">
        <is>
          <t>21 × Anniversary Designer stems; 4 × Ruscus Israeli; 1 × Greeting Card</t>
        </is>
      </c>
      <c r="J321" s="30" t="inlineStr">
        <is>
          <t>1 × Greeting Card; 4 × Ruscus Israeli; 21 × Anniversary Designer stems</t>
        </is>
      </c>
      <c r="K321" s="30" t="inlineStr">
        <is>
          <t>Y</t>
        </is>
      </c>
      <c r="L321" s="30" t="n"/>
      <c r="M321" s="30" t="inlineStr">
        <is>
          <t>Designed by our florists, a bouquet of 21 florist's choice anniversary stems. The florist chooses the flowers to suit the season, so the picture is illustrative and shows the style and colour, not the exact stems.</t>
        </is>
      </c>
      <c r="N321" s="30">
        <f>LEN(TRIM(SUBSTITUTE(M321,CHAR(10)," ")))-LEN(SUBSTITUTE(TRIM(SUBSTITUTE(M321,CHAR(10)," "))," ",""))+1</f>
        <v/>
      </c>
      <c r="O321" s="30" t="inlineStr">
        <is>
          <t>&lt;p&gt;Designed by our florists, a bouquet of 21 florist's choice anniversary stems. The florist chooses the flowers to suit the season, so the picture is illustrative and shows the style and colour, not the exact stems.&lt;/p&gt;</t>
        </is>
      </c>
      <c r="P321" s="29" t="inlineStr">
        <is>
          <t>ok</t>
        </is>
      </c>
      <c r="Q321" s="30" t="inlineStr">
        <is>
          <t>Anniversary Designer Collection IV is an arrangement of 21 florist's choice anniversary stems. The florist chooses the flowers to suit the season, so the picture is illustrative and shows the style and colour, not the exact stems.
It suits an anniversary or a thank-you, or any day you want to bring a little colour to the kitchen bench.</t>
        </is>
      </c>
      <c r="R321" s="30" t="inlineStr">
        <is>
          <t>&lt;p&gt;Anniversary Designer Collection IV is an arrangement of 21 florist's choice anniversary stems. The florist chooses the flowers to suit the season, so the picture is illustrative and shows the style and colour, not the exact stems.&lt;/p&gt;&lt;p&gt;It suits an anniversary or a thank-you, or any day you want to bring a little colour to the kitchen bench.&lt;/p&gt;</t>
        </is>
      </c>
      <c r="S321" s="29" t="inlineStr">
        <is>
          <t>ok</t>
        </is>
      </c>
      <c r="T321" s="30" t="inlineStr">
        <is>
          <t>The bunch holds: 21 florist's choice anniversary stems. The florist chooses the flowers to suit the season, so the picture is illustrative and shows the style and colour, not the exact stems.</t>
        </is>
      </c>
      <c r="U321" s="30" t="inlineStr">
        <is>
          <t>&lt;p&gt;The bunch holds: 21 florist's choice anniversary stems. The florist chooses the flowers to suit the season, so the picture is illustrative and shows the style and colour, not the exact stems.&lt;/p&gt;</t>
        </is>
      </c>
      <c r="V321" s="29" t="inlineStr">
        <is>
          <t>ok</t>
        </is>
      </c>
      <c r="W321" s="30" t="n"/>
      <c r="X321" s="30" t="inlineStr">
        <is>
          <t>n/a (Mel's: mason jar products only)</t>
        </is>
      </c>
      <c r="Y321" s="30" t="n"/>
      <c r="Z321" s="48" t="inlineStr">
        <is>
          <t>-</t>
        </is>
      </c>
      <c r="AA321" t="inlineStr">
        <is>
          <t>no sales</t>
        </is>
      </c>
      <c r="AB321" s="44" t="n">
        <v>0</v>
      </c>
      <c r="AC321" t="n">
        <v>0</v>
      </c>
      <c r="AD321" s="45" t="n">
        <v>0</v>
      </c>
      <c r="AE321" s="45" t="n">
        <v>0</v>
      </c>
      <c r="AF321" t="inlineStr">
        <is>
          <t>no sales</t>
        </is>
      </c>
    </row>
    <row r="322" ht="109.5" customHeight="1" s="24">
      <c r="A322" s="30" t="inlineStr">
        <is>
          <t>DCA-03-00</t>
        </is>
      </c>
      <c r="B322" s="30" t="inlineStr">
        <is>
          <t>Anniversary Designer Collection III</t>
        </is>
      </c>
      <c r="C322" s="30" t="inlineStr">
        <is>
          <t>Designer Collection</t>
        </is>
      </c>
      <c r="D322" s="43" t="inlineStr">
        <is>
          <t>READY TO REVIEW</t>
        </is>
      </c>
      <c r="E322" s="30" t="inlineStr">
        <is>
          <t>Anniversary Designer Collection III is an elegant, florist-crafted creation made to honour a special anniversary. Sophisticated and full of sentiment, it is a beautiful way to say how much the years together have meant.</t>
        </is>
      </c>
      <c r="F322" s="30" t="inlineStr">
        <is>
          <t>Shopify (28 Sep)</t>
        </is>
      </c>
      <c r="G322" s="30" t="inlineStr">
        <is>
          <t>21 × Anniversary Designer stems; 4 × Ruscus Israeli; 1 × Greeting Card</t>
        </is>
      </c>
      <c r="H322" s="30" t="inlineStr">
        <is>
          <t>21 × Anniversary Designer stems; 4 × Ruscus Israeli; 1 × Greeting Card</t>
        </is>
      </c>
      <c r="I322" s="30" t="inlineStr">
        <is>
          <t>21 × Anniversary Designer stems; 4 × Ruscus Israeli; 1 × Greeting Card</t>
        </is>
      </c>
      <c r="J322" s="30" t="inlineStr">
        <is>
          <t>1 × Greeting Card; 4 × Ruscus Israeli; 21 × Anniversary Designer stems</t>
        </is>
      </c>
      <c r="K322" s="30" t="inlineStr">
        <is>
          <t>Y</t>
        </is>
      </c>
      <c r="L322" s="30" t="n"/>
      <c r="M322" s="30" t="inlineStr">
        <is>
          <t>A florist-designed bouquet with 21 florist's choice anniversary stems. Stems vary with the season, so the picture is illustrative and shows the style and colour, not the exact flowers.</t>
        </is>
      </c>
      <c r="N322" s="30">
        <f>LEN(TRIM(SUBSTITUTE(M322,CHAR(10)," ")))-LEN(SUBSTITUTE(TRIM(SUBSTITUTE(M322,CHAR(10)," "))," ",""))+1</f>
        <v/>
      </c>
      <c r="O322" s="30" t="inlineStr">
        <is>
          <t>&lt;p&gt;A florist-designed bouquet with 21 florist's choice anniversary stems. Stems vary with the season, so the picture is illustrative and shows the style and colour, not the exact flowers.&lt;/p&gt;</t>
        </is>
      </c>
      <c r="P322" s="29" t="inlineStr">
        <is>
          <t>ok</t>
        </is>
      </c>
      <c r="Q322" s="30" t="inlineStr">
        <is>
          <t>Anniversary Designer Collection III is an arrangement of 21 florist's choice anniversary stems. Stems vary with the season, so the picture is illustrative and shows the style and colour, not the exact flowers.
It suits an anniversary or a thank-you, or any day you want to bring a little colour to a summer table.</t>
        </is>
      </c>
      <c r="R322" s="30" t="inlineStr">
        <is>
          <t>&lt;p&gt;Anniversary Designer Collection III is an arrangement of 21 florist's choice anniversary stems. Stems vary with the season, so the picture is illustrative and shows the style and colour, not the exact flowers.&lt;/p&gt;&lt;p&gt;It suits an anniversary or a thank-you, or any day you want to bring a little colour to a summer table.&lt;/p&gt;</t>
        </is>
      </c>
      <c r="S322" s="29" t="inlineStr">
        <is>
          <t>ok</t>
        </is>
      </c>
      <c r="T322" s="30" t="inlineStr">
        <is>
          <t>In this bunch: 21 florist's choice anniversary stems. Stems vary with the season, so the picture is illustrative and shows the style and colour, not the exact flowers.</t>
        </is>
      </c>
      <c r="U322" s="30" t="inlineStr">
        <is>
          <t>&lt;p&gt;In this bunch: 21 florist's choice anniversary stems. Stems vary with the season, so the picture is illustrative and shows the style and colour, not the exact flowers.&lt;/p&gt;</t>
        </is>
      </c>
      <c r="V322" s="29" t="inlineStr">
        <is>
          <t>ok</t>
        </is>
      </c>
      <c r="W322" s="30" t="n"/>
      <c r="X322" s="30" t="inlineStr">
        <is>
          <t>n/a (Mel's: mason jar products only)</t>
        </is>
      </c>
      <c r="Y322" s="30" t="n"/>
      <c r="Z322" s="48" t="inlineStr">
        <is>
          <t>-</t>
        </is>
      </c>
      <c r="AA322" t="n">
        <v>188</v>
      </c>
      <c r="AB322" s="44" t="n">
        <v>3051.25</v>
      </c>
      <c r="AC322" t="n">
        <v>25</v>
      </c>
      <c r="AD322" s="45" t="n">
        <v>0.000349602959096001</v>
      </c>
      <c r="AE322" s="45" t="n">
        <v>0.00286187468379333</v>
      </c>
      <c r="AF322" t="n">
        <v>20</v>
      </c>
    </row>
    <row r="323" ht="109.5" customHeight="1" s="24">
      <c r="A323" s="30" t="inlineStr">
        <is>
          <t>DCA-02-00</t>
        </is>
      </c>
      <c r="B323" s="30" t="inlineStr">
        <is>
          <t>Anniversary Designer Collection II</t>
        </is>
      </c>
      <c r="C323" s="30" t="inlineStr">
        <is>
          <t>Designer Collection</t>
        </is>
      </c>
      <c r="D323" s="43" t="inlineStr">
        <is>
          <t>READY TO REVIEW</t>
        </is>
      </c>
      <c r="E323" s="30" t="inlineStr">
        <is>
          <t>Our Anniversary Designer Collection II is a handcrafted arrangement designed to celebrate enduring love. Graceful and heartfelt, it makes a memorable gift for marking another year of cherished memories side by side.</t>
        </is>
      </c>
      <c r="F323" s="30" t="inlineStr">
        <is>
          <t>Shopify (28 Sep)</t>
        </is>
      </c>
      <c r="G323" s="30" t="inlineStr">
        <is>
          <t>15 × Anniversary Designer stems; 3 × Ruscus Israeli</t>
        </is>
      </c>
      <c r="H323" s="30" t="inlineStr">
        <is>
          <t>15 × Anniversary Designer stems; 3 × Ruscus Israeli</t>
        </is>
      </c>
      <c r="I323" s="30" t="inlineStr">
        <is>
          <t>15 × Anniversary Designer stems; 3 × Ruscus Israeli</t>
        </is>
      </c>
      <c r="J323" s="30" t="inlineStr">
        <is>
          <t>15 × Anniversary Designer stems; 3 × Ruscus Israeli</t>
        </is>
      </c>
      <c r="K323" s="30" t="inlineStr">
        <is>
          <t>Y</t>
        </is>
      </c>
      <c r="L323" s="30" t="n"/>
      <c r="M323" s="30" t="inlineStr">
        <is>
          <t>Designed by our florists, a bouquet of 15 florist's choice anniversary stems. The florist chooses the flowers to suit the season, so the picture is illustrative and shows the style and colour, not the exact stems.</t>
        </is>
      </c>
      <c r="N323" s="30">
        <f>LEN(TRIM(SUBSTITUTE(M323,CHAR(10)," ")))-LEN(SUBSTITUTE(TRIM(SUBSTITUTE(M323,CHAR(10)," "))," ",""))+1</f>
        <v/>
      </c>
      <c r="O323" s="30" t="inlineStr">
        <is>
          <t>&lt;p&gt;Designed by our florists, a bouquet of 15 florist's choice anniversary stems. The florist chooses the flowers to suit the season, so the picture is illustrative and shows the style and colour, not the exact stems.&lt;/p&gt;</t>
        </is>
      </c>
      <c r="P323" s="29" t="inlineStr">
        <is>
          <t>ok</t>
        </is>
      </c>
      <c r="Q323" s="30" t="inlineStr">
        <is>
          <t>Anniversary Designer Collection II is an arrangement of 15 florist's choice anniversary stems. The florist chooses the flowers to suit the season, so the picture is illustrative and shows the style and colour, not the exact stems.
It suits an anniversary or a thank-you, or any day you want to bring a little colour to a Sunday lunch.</t>
        </is>
      </c>
      <c r="R323" s="30" t="inlineStr">
        <is>
          <t>&lt;p&gt;Anniversary Designer Collection II is an arrangement of 15 florist's choice anniversary stems. The florist chooses the flowers to suit the season, so the picture is illustrative and shows the style and colour, not the exact stems.&lt;/p&gt;&lt;p&gt;It suits an anniversary or a thank-you, or any day you want to bring a little colour to a Sunday lunch.&lt;/p&gt;</t>
        </is>
      </c>
      <c r="S323" s="29" t="inlineStr">
        <is>
          <t>ok</t>
        </is>
      </c>
      <c r="T323" s="30" t="inlineStr">
        <is>
          <t>In this bunch: 15 florist's choice anniversary stems. The florist chooses the flowers to suit the season, so the picture is illustrative and shows the style and colour, not the exact stems.</t>
        </is>
      </c>
      <c r="U323" s="30" t="inlineStr">
        <is>
          <t>&lt;p&gt;In this bunch: 15 florist's choice anniversary stems. The florist chooses the flowers to suit the season, so the picture is illustrative and shows the style and colour, not the exact stems.&lt;/p&gt;</t>
        </is>
      </c>
      <c r="V323" s="29" t="inlineStr">
        <is>
          <t>ok</t>
        </is>
      </c>
      <c r="W323" s="30" t="n"/>
      <c r="X323" s="30" t="inlineStr">
        <is>
          <t>n/a (Mel's: mason jar products only)</t>
        </is>
      </c>
      <c r="Y323" s="30" t="n"/>
      <c r="Z323" s="48" t="inlineStr">
        <is>
          <t>-</t>
        </is>
      </c>
      <c r="AA323" t="n">
        <v>194</v>
      </c>
      <c r="AB323" s="44" t="n">
        <v>2864.44</v>
      </c>
      <c r="AC323" t="n">
        <v>30</v>
      </c>
      <c r="AD323" s="45" t="n">
        <v>0.0003281988365925273</v>
      </c>
      <c r="AE323" s="45" t="n">
        <v>0.002686659014910272</v>
      </c>
      <c r="AF323" t="n">
        <v>21</v>
      </c>
    </row>
    <row r="324" ht="109.5" customHeight="1" s="24">
      <c r="A324" s="30" t="inlineStr">
        <is>
          <t>DCA-01-00</t>
        </is>
      </c>
      <c r="B324" s="30" t="inlineStr">
        <is>
          <t>Anniversary Designer Collection I</t>
        </is>
      </c>
      <c r="C324" s="30" t="inlineStr">
        <is>
          <t>Designer Collection</t>
        </is>
      </c>
      <c r="D324" s="43" t="inlineStr">
        <is>
          <t>READY TO REVIEW</t>
        </is>
      </c>
      <c r="E324" s="30" t="inlineStr">
        <is>
          <t>Anniversary Designer Collection I is a beautifully composed, florist-designed arrangement created especially for the occasion. Timeless and romantic, it is the perfect way to celebrate an anniversary and the love it represents.</t>
        </is>
      </c>
      <c r="F324" s="30" t="inlineStr">
        <is>
          <t>Shopify (28 Sep)</t>
        </is>
      </c>
      <c r="G324" s="30" t="inlineStr">
        <is>
          <t>10 × Anniversary Designer stems; 2 × Ruscus Israeli; 1 × Greeting Card</t>
        </is>
      </c>
      <c r="H324" s="30" t="inlineStr">
        <is>
          <t>10 × Anniversary Designer stems; 2 × Ruscus Israeli; 1 × Greeting Card</t>
        </is>
      </c>
      <c r="I324" s="30" t="inlineStr">
        <is>
          <t>10 × Anniversary Designer stems; 2 × Ruscus Israeli; 1 × Greeting Card</t>
        </is>
      </c>
      <c r="J324" s="30" t="inlineStr">
        <is>
          <t>10 × Anniversary Designer stems; 2 × Ruscus Israeli; 1 × Greeting Card</t>
        </is>
      </c>
      <c r="K324" s="30" t="inlineStr">
        <is>
          <t>Y</t>
        </is>
      </c>
      <c r="L324" s="30" t="n"/>
      <c r="M324" s="30" t="inlineStr">
        <is>
          <t>A hand-arranged bouquet of 10 florist's choice anniversary stems. Flowers change with the season, so the picture is illustrative and shows the style and colour, not the exact flowers you will receive.</t>
        </is>
      </c>
      <c r="N324" s="30">
        <f>LEN(TRIM(SUBSTITUTE(M324,CHAR(10)," ")))-LEN(SUBSTITUTE(TRIM(SUBSTITUTE(M324,CHAR(10)," "))," ",""))+1</f>
        <v/>
      </c>
      <c r="O324" s="30" t="inlineStr">
        <is>
          <t>&lt;p&gt;A hand-arranged bouquet of 10 florist's choice anniversary stems. Flowers change with the season, so the picture is illustrative and shows the style and colour, not the exact flowers you will receive.&lt;/p&gt;</t>
        </is>
      </c>
      <c r="P324" s="29" t="inlineStr">
        <is>
          <t>ok</t>
        </is>
      </c>
      <c r="Q324" s="30" t="inlineStr">
        <is>
          <t>Anniversary Designer Collection I is an arrangement of 10 florist's choice anniversary stems. Flowers change with the season, so the picture is illustrative and shows the style and colour, not the exact flowers you will receive.
It suits an anniversary or a thank-you, or any day you want to bring a little colour to the bedside table.</t>
        </is>
      </c>
      <c r="R324" s="30" t="inlineStr">
        <is>
          <t>&lt;p&gt;Anniversary Designer Collection I is an arrangement of 10 florist's choice anniversary stems. Flowers change with the season, so the picture is illustrative and shows the style and colour, not the exact flowers you will receive.&lt;/p&gt;&lt;p&gt;It suits an anniversary or a thank-you, or any day you want to bring a little colour to the bedside table.&lt;/p&gt;</t>
        </is>
      </c>
      <c r="S324" s="29" t="inlineStr">
        <is>
          <t>ok</t>
        </is>
      </c>
      <c r="T324" s="30" t="inlineStr">
        <is>
          <t>The bunch holds: 10 florist's choice anniversary stems. Flowers change with the season, so the picture is illustrative and shows the style and colour, not the exact flowers you will receive.</t>
        </is>
      </c>
      <c r="U324" s="30" t="inlineStr">
        <is>
          <t>&lt;p&gt;The bunch holds: 10 florist's choice anniversary stems. Flowers change with the season, so the picture is illustrative and shows the style and colour, not the exact flowers you will receive.&lt;/p&gt;</t>
        </is>
      </c>
      <c r="V324" s="29" t="inlineStr">
        <is>
          <t>ok</t>
        </is>
      </c>
      <c r="W324" s="30" t="n"/>
      <c r="X324" s="30" t="inlineStr">
        <is>
          <t>n/a (Mel's: mason jar products only)</t>
        </is>
      </c>
      <c r="Y324" s="30" t="n"/>
      <c r="Z324" s="48" t="inlineStr">
        <is>
          <t>-</t>
        </is>
      </c>
      <c r="AA324" t="n">
        <v>199</v>
      </c>
      <c r="AB324" s="44" t="n">
        <v>2619.61</v>
      </c>
      <c r="AC324" t="n">
        <v>36</v>
      </c>
      <c r="AD324" s="45" t="n">
        <v>0.0003001469586816797</v>
      </c>
      <c r="AE324" s="45" t="n">
        <v>0.002457024347533583</v>
      </c>
      <c r="AF324" t="n">
        <v>22</v>
      </c>
    </row>
    <row r="325" ht="109.5" customHeight="1" s="24">
      <c r="A325" s="30" t="inlineStr">
        <is>
          <t>DCS-01</t>
        </is>
      </c>
      <c r="B325" s="30" t="inlineStr">
        <is>
          <t>Designer Sympathy Collection I</t>
        </is>
      </c>
      <c r="C325" s="30" t="inlineStr">
        <is>
          <t>Designer Collection</t>
        </is>
      </c>
      <c r="D325" s="43" t="inlineStr">
        <is>
          <t>READY TO REVIEW</t>
        </is>
      </c>
      <c r="E325" s="30" t="n"/>
      <c r="F325" s="30" t="inlineStr">
        <is>
          <t>none</t>
        </is>
      </c>
      <c r="G325" s="30" t="inlineStr">
        <is>
          <t>10 × Sympathy Designer stems; 2 × Ruscus Israeli; 1 × Glass Vase Clear; 1 × Sympathy Card</t>
        </is>
      </c>
      <c r="H325" s="30" t="inlineStr">
        <is>
          <t>10 × Sympathy Designer stems; 2 × Ruscus Israeli; 1 × Glass Vase Clear; 1 × Sympathy Card</t>
        </is>
      </c>
      <c r="I325" s="30" t="inlineStr">
        <is>
          <t>10 × Sympathy Designer stems; 2 × Ruscus Israeli; 1 × Glass Vase Clear; 1 × Sympathy Card</t>
        </is>
      </c>
      <c r="J325" s="30" t="inlineStr">
        <is>
          <t>1 × Glass Vase Clear; 1 × Sympathy Card; 2 × Ruscus Israeli; 10 × Sympathy Designer stems</t>
        </is>
      </c>
      <c r="K325" s="30" t="inlineStr">
        <is>
          <t>Y</t>
        </is>
      </c>
      <c r="L325" s="30" t="n"/>
      <c r="M325" s="30" t="inlineStr">
        <is>
          <t>A respectful tribute of 10 florist's choice sympathy stems. Flowers change with the season, so the picture is illustrative and shows the style and colour, not the exact flowers you will receive.</t>
        </is>
      </c>
      <c r="N325" s="30">
        <f>LEN(TRIM(SUBSTITUTE(M325,CHAR(10)," ")))-LEN(SUBSTITUTE(TRIM(SUBSTITUTE(M325,CHAR(10)," "))," ",""))+1</f>
        <v/>
      </c>
      <c r="O325" s="30" t="inlineStr">
        <is>
          <t>&lt;p&gt;A respectful tribute of 10 florist's choice sympathy stems. Flowers change with the season, so the picture is illustrative and shows the style and colour, not the exact flowers you will receive.&lt;/p&gt;</t>
        </is>
      </c>
      <c r="P325" s="29" t="inlineStr">
        <is>
          <t>ok</t>
        </is>
      </c>
      <c r="Q325" s="30" t="inlineStr">
        <is>
          <t>Designer Sympathy Collection I is an arrangement of 10 florist's choice sympathy stems. Flowers change with the season, so the picture is illustrative and shows the style and colour, not the exact flowers you will receive.
It is made to honour someone with calm, simple flowers, and we hand-arrange each one with care.</t>
        </is>
      </c>
      <c r="R325" s="30" t="inlineStr">
        <is>
          <t>&lt;p&gt;Designer Sympathy Collection I is an arrangement of 10 florist's choice sympathy stems. Flowers change with the season, so the picture is illustrative and shows the style and colour, not the exact flowers you will receive.&lt;/p&gt;&lt;p&gt;It is made to honour someone with calm, simple flowers, and we hand-arrange each one with care.&lt;/p&gt;</t>
        </is>
      </c>
      <c r="S325" s="29" t="inlineStr">
        <is>
          <t>ok</t>
        </is>
      </c>
      <c r="T325" s="30" t="inlineStr">
        <is>
          <t>The bunch holds: 10 florist's choice sympathy stems. Flowers change with the season, so the picture is illustrative and shows the style and colour, not the exact flowers you will receive.</t>
        </is>
      </c>
      <c r="U325" s="30" t="inlineStr">
        <is>
          <t>&lt;p&gt;The bunch holds: 10 florist's choice sympathy stems. Flowers change with the season, so the picture is illustrative and shows the style and colour, not the exact flowers you will receive.&lt;/p&gt;</t>
        </is>
      </c>
      <c r="V325" s="29" t="inlineStr">
        <is>
          <t>ok</t>
        </is>
      </c>
      <c r="W325" s="30" t="n"/>
      <c r="X325" s="30" t="inlineStr">
        <is>
          <t>n/a (Mel's: mason jar products only)</t>
        </is>
      </c>
      <c r="Y325" s="30" t="n"/>
      <c r="Z325" s="48" t="inlineStr">
        <is>
          <t>-</t>
        </is>
      </c>
      <c r="AA325" t="n">
        <v>15</v>
      </c>
      <c r="AB325" s="44" t="n">
        <v>144987.57</v>
      </c>
      <c r="AC325" t="n">
        <v>1909</v>
      </c>
      <c r="AD325" s="45" t="n">
        <v>0.01661223502031192</v>
      </c>
      <c r="AE325" s="45" t="n">
        <v>0.1359889371897467</v>
      </c>
      <c r="AF325" t="n">
        <v>3</v>
      </c>
    </row>
    <row r="326" ht="109.5" customHeight="1" s="24">
      <c r="A326" s="30" t="inlineStr">
        <is>
          <t>DCS-02</t>
        </is>
      </c>
      <c r="B326" s="30" t="inlineStr">
        <is>
          <t>Designer Sympathy Collection II</t>
        </is>
      </c>
      <c r="C326" s="30" t="inlineStr">
        <is>
          <t>Designer Collection</t>
        </is>
      </c>
      <c r="D326" s="43" t="inlineStr">
        <is>
          <t>READY TO REVIEW</t>
        </is>
      </c>
      <c r="E326" s="30" t="n"/>
      <c r="F326" s="30" t="inlineStr">
        <is>
          <t>none</t>
        </is>
      </c>
      <c r="G326" s="30" t="inlineStr">
        <is>
          <t>15 × Sympathy Designer stems; 3 × Ruscus Israeli; 1 × Glass Vase Clear; 1 × Sympathy Card</t>
        </is>
      </c>
      <c r="H326" s="30" t="inlineStr">
        <is>
          <t>15 × Sympathy Designer stems; 3 × Ruscus Israeli; 1 × Glass Vase Clear; 1 × Sympathy Card</t>
        </is>
      </c>
      <c r="I326" s="30" t="inlineStr">
        <is>
          <t>15 × Sympathy Designer stems; 3 × Ruscus Israeli; 1 × Glass Vase Clear; 1 × Sympathy Card</t>
        </is>
      </c>
      <c r="J326" s="30" t="inlineStr">
        <is>
          <t>1 × Glass Vase Clear; 1 × Sympathy Card; 3 × Ruscus Israeli; 15 × Sympathy Designer stems</t>
        </is>
      </c>
      <c r="K326" s="30" t="inlineStr">
        <is>
          <t>Y</t>
        </is>
      </c>
      <c r="L326" s="30" t="n"/>
      <c r="M326" s="30" t="inlineStr">
        <is>
          <t>A respectful tribute of 15 florist's choice sympathy stems. Flowers change with the season, so the picture is illustrative and shows the style and colour, not the exact flowers you will receive.</t>
        </is>
      </c>
      <c r="N326" s="30">
        <f>LEN(TRIM(SUBSTITUTE(M326,CHAR(10)," ")))-LEN(SUBSTITUTE(TRIM(SUBSTITUTE(M326,CHAR(10)," "))," ",""))+1</f>
        <v/>
      </c>
      <c r="O326" s="30" t="inlineStr">
        <is>
          <t>&lt;p&gt;A respectful tribute of 15 florist's choice sympathy stems. Flowers change with the season, so the picture is illustrative and shows the style and colour, not the exact flowers you will receive.&lt;/p&gt;</t>
        </is>
      </c>
      <c r="P326" s="29" t="inlineStr">
        <is>
          <t>ok</t>
        </is>
      </c>
      <c r="Q326" s="30" t="inlineStr">
        <is>
          <t>Designer Sympathy Collection II is an arrangement of 15 florist's choice sympathy stems. Flowers change with the season, so the picture is illustrative and shows the style and colour, not the exact flowers you will receive.
It is made to honour someone with calm, simple flowers, and we hand-arrange each one with care.</t>
        </is>
      </c>
      <c r="R326" s="30" t="inlineStr">
        <is>
          <t>&lt;p&gt;Designer Sympathy Collection II is an arrangement of 15 florist's choice sympathy stems. Flowers change with the season, so the picture is illustrative and shows the style and colour, not the exact flowers you will receive.&lt;/p&gt;&lt;p&gt;It is made to honour someone with calm, simple flowers, and we hand-arrange each one with care.&lt;/p&gt;</t>
        </is>
      </c>
      <c r="S326" s="29" t="inlineStr">
        <is>
          <t>ok</t>
        </is>
      </c>
      <c r="T326" s="30" t="inlineStr">
        <is>
          <t>The bunch holds: 15 florist's choice sympathy stems. The florist chooses the flowers to suit the season, so the picture is illustrative and shows the style and colour, not the exact stems.</t>
        </is>
      </c>
      <c r="U326" s="30" t="inlineStr">
        <is>
          <t>&lt;p&gt;The bunch holds: 15 florist's choice sympathy stems. The florist chooses the flowers to suit the season, so the picture is illustrative and shows the style and colour, not the exact stems.&lt;/p&gt;</t>
        </is>
      </c>
      <c r="V326" s="29" t="inlineStr">
        <is>
          <t>ok</t>
        </is>
      </c>
      <c r="W326" s="30" t="n"/>
      <c r="X326" s="30" t="inlineStr">
        <is>
          <t>n/a (Mel's: mason jar products only)</t>
        </is>
      </c>
      <c r="Y326" s="30" t="n"/>
      <c r="Z326" s="48" t="inlineStr">
        <is>
          <t>-</t>
        </is>
      </c>
      <c r="AA326" t="n">
        <v>14</v>
      </c>
      <c r="AB326" s="44" t="n">
        <v>145786.32</v>
      </c>
      <c r="AC326" t="n">
        <v>1387</v>
      </c>
      <c r="AD326" s="45" t="n">
        <v>0.01670375440089514</v>
      </c>
      <c r="AE326" s="45" t="n">
        <v>0.1367381213472402</v>
      </c>
      <c r="AF326" t="n">
        <v>2</v>
      </c>
    </row>
    <row r="327" ht="109.5" customHeight="1" s="24">
      <c r="A327" s="30" t="inlineStr">
        <is>
          <t>DCS-04</t>
        </is>
      </c>
      <c r="B327" s="30" t="inlineStr">
        <is>
          <t>Designer Sympathy Collection IV</t>
        </is>
      </c>
      <c r="C327" s="30" t="inlineStr">
        <is>
          <t>Designer Collection</t>
        </is>
      </c>
      <c r="D327" s="43" t="inlineStr">
        <is>
          <t>READY TO REVIEW</t>
        </is>
      </c>
      <c r="E327" s="30" t="n"/>
      <c r="F327" s="30" t="inlineStr">
        <is>
          <t>none</t>
        </is>
      </c>
      <c r="G327" s="30" t="inlineStr">
        <is>
          <t>3 × Roses White; 2 × Gerbera Daisies White; 7 × Sympathy Designer stems; 3 × Ruscus Israeli; 1 × Glass Vase Clear; 1 × Sympathy Card</t>
        </is>
      </c>
      <c r="H327" s="30" t="inlineStr">
        <is>
          <t>3 × Roses White; 2 × Gerbera Daisies White; 7 × Sympathy Designer stems; 3 × Ruscus Israeli; 1 × Glass Vase Clear; 1 × Sympathy Card</t>
        </is>
      </c>
      <c r="I327" s="30" t="inlineStr">
        <is>
          <t>3 × Roses White; 2 × Gerbera Daisies White; 7 × Sympathy Designer stems; 3 × Ruscus Israeli; 1 × Glass Vase Clear; 1 × Sympathy Card</t>
        </is>
      </c>
      <c r="J327" s="30" t="inlineStr">
        <is>
          <t>7 × Sympathy Designer stems; 1 × Sympathy Card; 1 × Glass Vase Clear; 3 × Ruscus Israeli; 2 × Gerbera Daisies White; 3 × Roses White</t>
        </is>
      </c>
      <c r="K327" s="30" t="inlineStr">
        <is>
          <t>Y</t>
        </is>
      </c>
      <c r="L327" s="30" t="n"/>
      <c r="M327" s="30" t="inlineStr">
        <is>
          <t>A respectful tribute of 7 florist's choice sympathy stems, 3 white roses and 2 white gerberas. Flowers change with the season, so the picture is illustrative and shows the style and colour, not the exact flowers you will receive.</t>
        </is>
      </c>
      <c r="N327" s="30">
        <f>LEN(TRIM(SUBSTITUTE(M327,CHAR(10)," ")))-LEN(SUBSTITUTE(TRIM(SUBSTITUTE(M327,CHAR(10)," "))," ",""))+1</f>
        <v/>
      </c>
      <c r="O327" s="30" t="inlineStr">
        <is>
          <t>&lt;p&gt;A respectful tribute of 7 florist's choice sympathy stems, 3 white roses and 2 white gerberas. Flowers change with the season, so the picture is illustrative and shows the style and colour, not the exact flowers you will receive.&lt;/p&gt;</t>
        </is>
      </c>
      <c r="P327" s="29" t="inlineStr">
        <is>
          <t>ok</t>
        </is>
      </c>
      <c r="Q327" s="30" t="inlineStr">
        <is>
          <t>Designer Sympathy Collection IV is an arrangement of 7 florist's choice sympathy stems, 3 white roses and 2 white gerberas. Flowers change with the season, so the picture is illustrative and shows the style and colour, not the exact flowers you will receive.
It is made to honour someone with calm, simple flowers, and we hand-arrange each one with care.</t>
        </is>
      </c>
      <c r="R327" s="30" t="inlineStr">
        <is>
          <t>&lt;p&gt;Designer Sympathy Collection IV is an arrangement of 7 florist's choice sympathy stems, 3 white roses and 2 white gerberas. Flowers change with the season, so the picture is illustrative and shows the style and colour, not the exact flowers you will receive.&lt;/p&gt;&lt;p&gt;It is made to honour someone with calm, simple flowers, and we hand-arrange each one with care.&lt;/p&gt;</t>
        </is>
      </c>
      <c r="S327" s="29" t="inlineStr">
        <is>
          <t>ok</t>
        </is>
      </c>
      <c r="T327" s="30" t="inlineStr">
        <is>
          <t>In this bunch: 7 florist's choice sympathy stems, 3 white roses and 2 white gerberas. Flowers change with the season, so the picture is illustrative and shows the style and colour, not the exact flowers you will receive.</t>
        </is>
      </c>
      <c r="U327" s="30" t="inlineStr">
        <is>
          <t>&lt;p&gt;In this bunch: 7 florist's choice sympathy stems, 3 white roses and 2 white gerberas. Flowers change with the season, so the picture is illustrative and shows the style and colour, not the exact flowers you will receive.&lt;/p&gt;</t>
        </is>
      </c>
      <c r="V327" s="29" t="inlineStr">
        <is>
          <t>ok</t>
        </is>
      </c>
      <c r="W327" s="30" t="n"/>
      <c r="X327" s="30" t="inlineStr">
        <is>
          <t>n/a (Mel's: mason jar products only)</t>
        </is>
      </c>
      <c r="Y327" s="30" t="n"/>
      <c r="Z327" s="48" t="inlineStr">
        <is>
          <t>-</t>
        </is>
      </c>
      <c r="AA327" t="n">
        <v>11</v>
      </c>
      <c r="AB327" s="44" t="n">
        <v>173796.91</v>
      </c>
      <c r="AC327" t="n">
        <v>1400</v>
      </c>
      <c r="AD327" s="45" t="n">
        <v>0.01991312193970846</v>
      </c>
      <c r="AE327" s="45" t="n">
        <v>0.1630102322414612</v>
      </c>
      <c r="AF327" t="n">
        <v>1</v>
      </c>
    </row>
    <row r="328" ht="109.5" customHeight="1" s="24">
      <c r="A328" s="30" t="inlineStr">
        <is>
          <t>DCS-03</t>
        </is>
      </c>
      <c r="B328" s="30" t="inlineStr">
        <is>
          <t>Designer Sympathy Collection III</t>
        </is>
      </c>
      <c r="C328" s="30" t="inlineStr">
        <is>
          <t>Designer Collection</t>
        </is>
      </c>
      <c r="D328" s="43" t="inlineStr">
        <is>
          <t>READY TO REVIEW</t>
        </is>
      </c>
      <c r="E328" s="30" t="n"/>
      <c r="F328" s="30" t="inlineStr">
        <is>
          <t>none</t>
        </is>
      </c>
      <c r="G328" s="30" t="inlineStr">
        <is>
          <t>21 × Sympathy Designer stems; 4 × Ruscus Israeli; 1 × Sympathy Card; 1 × Glass Vase Clear</t>
        </is>
      </c>
      <c r="H328" s="30" t="inlineStr">
        <is>
          <t>21 × Sympathy Designer stems; 4 × Ruscus Israeli; 1 × Sympathy Card; 1 × Glass Vase Clear</t>
        </is>
      </c>
      <c r="I328" s="30" t="inlineStr">
        <is>
          <t>21 × Sympathy Designer stems; 4 × Ruscus Israeli; 1 × Sympathy Card; 1 × Glass Vase Clear</t>
        </is>
      </c>
      <c r="J328" s="30" t="inlineStr">
        <is>
          <t>1 × Sympathy Card; 1 × Glass Vase Clear; 4 × Ruscus Israeli; 21 × Sympathy Designer stems</t>
        </is>
      </c>
      <c r="K328" s="30" t="inlineStr">
        <is>
          <t>Y</t>
        </is>
      </c>
      <c r="L328" s="30" t="n"/>
      <c r="M328" s="30" t="inlineStr">
        <is>
          <t>A respectful tribute of 21 florist's choice sympathy stems. Flowers change with the season, so the picture is illustrative and shows the style and colour, not the exact flowers you will receive.</t>
        </is>
      </c>
      <c r="N328" s="30">
        <f>LEN(TRIM(SUBSTITUTE(M328,CHAR(10)," ")))-LEN(SUBSTITUTE(TRIM(SUBSTITUTE(M328,CHAR(10)," "))," ",""))+1</f>
        <v/>
      </c>
      <c r="O328" s="30" t="inlineStr">
        <is>
          <t>&lt;p&gt;A respectful tribute of 21 florist's choice sympathy stems. Flowers change with the season, so the picture is illustrative and shows the style and colour, not the exact flowers you will receive.&lt;/p&gt;</t>
        </is>
      </c>
      <c r="P328" s="29" t="inlineStr">
        <is>
          <t>ok</t>
        </is>
      </c>
      <c r="Q328" s="30" t="inlineStr">
        <is>
          <t>Designer Sympathy Collection III is an arrangement of 21 florist's choice sympathy stems. Flowers change with the season, so the picture is illustrative and shows the style and colour, not the exact flowers you will receive.
It is made to honour someone with calm, simple flowers, and we hand-arrange each one with care.</t>
        </is>
      </c>
      <c r="R328" s="30" t="inlineStr">
        <is>
          <t>&lt;p&gt;Designer Sympathy Collection III is an arrangement of 21 florist's choice sympathy stems. Flowers change with the season, so the picture is illustrative and shows the style and colour, not the exact flowers you will receive.&lt;/p&gt;&lt;p&gt;It is made to honour someone with calm, simple flowers, and we hand-arrange each one with care.&lt;/p&gt;</t>
        </is>
      </c>
      <c r="S328" s="29" t="inlineStr">
        <is>
          <t>ok</t>
        </is>
      </c>
      <c r="T328" s="30" t="inlineStr">
        <is>
          <t>The bunch holds: 21 florist's choice sympathy stems. Flowers change with the season, so the picture is illustrative and shows the style and colour, not the exact flowers you will receive.</t>
        </is>
      </c>
      <c r="U328" s="30" t="inlineStr">
        <is>
          <t>&lt;p&gt;The bunch holds: 21 florist's choice sympathy stems. Flowers change with the season, so the picture is illustrative and shows the style and colour, not the exact flowers you will receive.&lt;/p&gt;</t>
        </is>
      </c>
      <c r="V328" s="29" t="inlineStr">
        <is>
          <t>ok</t>
        </is>
      </c>
      <c r="W328" s="30" t="n"/>
      <c r="X328" s="30" t="inlineStr">
        <is>
          <t>n/a (Mel's: mason jar products only)</t>
        </is>
      </c>
      <c r="Y328" s="30" t="n"/>
      <c r="Z328" s="48" t="inlineStr">
        <is>
          <t>-</t>
        </is>
      </c>
      <c r="AA328" t="n">
        <v>28</v>
      </c>
      <c r="AB328" s="44" t="n">
        <v>80054.53999999999</v>
      </c>
      <c r="AC328" t="n">
        <v>627</v>
      </c>
      <c r="AD328" s="45" t="n">
        <v>0.009172406430767079</v>
      </c>
      <c r="AE328" s="45" t="n">
        <v>0.07508597130171064</v>
      </c>
      <c r="AF328" t="n">
        <v>6</v>
      </c>
    </row>
    <row r="329" ht="109.5" customHeight="1" s="24">
      <c r="A329" s="30" t="inlineStr">
        <is>
          <t>DCB-04</t>
        </is>
      </c>
      <c r="B329" s="30" t="inlineStr">
        <is>
          <t>Birthday Designer Collection IV</t>
        </is>
      </c>
      <c r="C329" s="30" t="inlineStr">
        <is>
          <t>Designer Collection</t>
        </is>
      </c>
      <c r="D329" s="43" t="inlineStr">
        <is>
          <t>READY TO REVIEW</t>
        </is>
      </c>
      <c r="E329" s="30" t="n"/>
      <c r="F329" s="30" t="inlineStr">
        <is>
          <t>none</t>
        </is>
      </c>
      <c r="G329" s="30" t="inlineStr">
        <is>
          <t>2 × Roses Yellow; 2 × Roses White; 2 × Roses Red; 2 × Gerbera Daisies Red; 2 × Gerbera Daisies Orange; 12 × Birthday Designer Stems; 4 × Ruscus Israeli; 1 × Birthday Card</t>
        </is>
      </c>
      <c r="H329" s="30" t="inlineStr">
        <is>
          <t>2 × Roses Yellow; 2 × Roses White; 2 × Roses Red; 2 × Gerbera Daisies Red; 2 × Gerbera Daisies Orange; 12 × Birthday Designer Stems; 4 × Ruscus Israeli; 1 × Birthday Card</t>
        </is>
      </c>
      <c r="I329" s="30" t="inlineStr">
        <is>
          <t>2 × Roses Yellow; 2 × Roses White; 2 × Roses Red; 2 × Gerbera Daisies Red; 2 × Gerbera Daisies Orange; 12 × Birthday Designer Stems; 4 × Ruscus Israeli; 1 × Birthday Card</t>
        </is>
      </c>
      <c r="J329" s="30" t="inlineStr">
        <is>
          <t>2 × Gerbera Daisies Red; 1 × Birthday Card; 4 × Ruscus Israeli; 12 × Birthday Designer Stems; 2 × Gerbera Daisies Orange; 2 × Roses Red; 2 × Roses White; 2 × Roses Yellow</t>
        </is>
      </c>
      <c r="K329" s="30" t="inlineStr">
        <is>
          <t>Y</t>
        </is>
      </c>
      <c r="L329" s="30" t="n"/>
      <c r="M329" s="30" t="inlineStr">
        <is>
          <t>Designed by our florists, a bouquet of 12 florist's choice birthday stems, 2 orange gerberas, 2 red gerberas, 2 red roses, 2 white roses and 2 yellow roses. The florist chooses the flowers to suit the season, so the picture is illustrative and shows the style and colour, not the exact stems.</t>
        </is>
      </c>
      <c r="N329" s="30">
        <f>LEN(TRIM(SUBSTITUTE(M329,CHAR(10)," ")))-LEN(SUBSTITUTE(TRIM(SUBSTITUTE(M329,CHAR(10)," "))," ",""))+1</f>
        <v/>
      </c>
      <c r="O329" s="30" t="inlineStr">
        <is>
          <t>&lt;p&gt;Designed by our florists, a bouquet of 12 florist's choice birthday stems, 2 orange gerberas, 2 red gerberas, 2 red roses, 2 white roses and 2 yellow roses. The florist chooses the flowers to suit the season, so the picture is illustrative and shows the style and colour, not the exact stems.&lt;/p&gt;</t>
        </is>
      </c>
      <c r="P329" s="29" t="inlineStr">
        <is>
          <t>ok</t>
        </is>
      </c>
      <c r="Q329" s="30" t="inlineStr">
        <is>
          <t>Birthday Designer Collection IV is an arrangement of 12 florist's choice birthday stems, 2 orange gerberas, 2 red gerberas, 2 red roses, 2 white roses and 2 yellow roses. The florist chooses the flowers to suit the season, so the picture is illustrative and shows the style and colour, not the exact stems.
It suits an anniversary or a birthday, or any day you want to bring a little colour to a Sunday lunch.</t>
        </is>
      </c>
      <c r="R329" s="30" t="inlineStr">
        <is>
          <t>&lt;p&gt;Birthday Designer Collection IV is an arrangement of 12 florist's choice birthday stems, 2 orange gerberas, 2 red gerberas, 2 red roses, 2 white roses and 2 yellow roses. The florist chooses the flowers to suit the season, so the picture is illustrative and shows the style and colour, not the exact stems.&lt;/p&gt;&lt;p&gt;It suits an anniversary or a birthday, or any day you want to bring a little colour to a Sunday lunch.&lt;/p&gt;</t>
        </is>
      </c>
      <c r="S329" s="29" t="inlineStr">
        <is>
          <t>ok</t>
        </is>
      </c>
      <c r="T329" s="30" t="inlineStr">
        <is>
          <t>In this bunch: 12 florist's choice birthday stems, 2 orange gerberas, 2 red gerberas, 2 red roses, 2 white roses and 2 yellow roses. The florist chooses the flowers to suit the season, so the picture is illustrative and shows the style and colour, not the exact stems.</t>
        </is>
      </c>
      <c r="U329" s="30" t="inlineStr">
        <is>
          <t>&lt;p&gt;In this bunch: 12 florist's choice birthday stems, 2 orange gerberas, 2 red gerberas, 2 red roses, 2 white roses and 2 yellow roses. The florist chooses the flowers to suit the season, so the picture is illustrative and shows the style and colour, not the exact stems.&lt;/p&gt;</t>
        </is>
      </c>
      <c r="V329" s="29" t="inlineStr">
        <is>
          <t>ok</t>
        </is>
      </c>
      <c r="W329" s="30" t="n"/>
      <c r="X329" s="30" t="inlineStr">
        <is>
          <t>n/a (Mel's: mason jar products only)</t>
        </is>
      </c>
      <c r="Y329" s="30" t="n"/>
      <c r="Z329" s="48" t="inlineStr">
        <is>
          <t>-</t>
        </is>
      </c>
      <c r="AA329" t="n">
        <v>115</v>
      </c>
      <c r="AB329" s="44" t="n">
        <v>11258.57</v>
      </c>
      <c r="AC329" t="n">
        <v>73</v>
      </c>
      <c r="AD329" s="45" t="n">
        <v>0.001289972990215611</v>
      </c>
      <c r="AE329" s="45" t="n">
        <v>0.01055981062923866</v>
      </c>
      <c r="AF329" t="n">
        <v>14</v>
      </c>
    </row>
    <row r="330" ht="109.5" customHeight="1" s="24">
      <c r="A330" s="30" t="inlineStr">
        <is>
          <t>DCB-03</t>
        </is>
      </c>
      <c r="B330" s="30" t="inlineStr">
        <is>
          <t>Birthday Designer Collection III</t>
        </is>
      </c>
      <c r="C330" s="30" t="inlineStr">
        <is>
          <t>Designer Collection</t>
        </is>
      </c>
      <c r="D330" s="43" t="inlineStr">
        <is>
          <t>READY TO REVIEW</t>
        </is>
      </c>
      <c r="E330" s="30" t="n"/>
      <c r="F330" s="30" t="inlineStr">
        <is>
          <t>none</t>
        </is>
      </c>
      <c r="G330" s="30" t="inlineStr">
        <is>
          <t>21 × Birthday Designer Stems; 4 × Ruscus Israeli; 1 × Birthday Card</t>
        </is>
      </c>
      <c r="H330" s="30" t="inlineStr">
        <is>
          <t>21 × Birthday Designer Stems; 4 × Ruscus Israeli; 1 × Birthday Card</t>
        </is>
      </c>
      <c r="I330" s="30" t="inlineStr">
        <is>
          <t>21 × Birthday Designer Stems; 4 × Ruscus Israeli; 1 × Birthday Card</t>
        </is>
      </c>
      <c r="J330" s="30" t="inlineStr">
        <is>
          <t>1 × Birthday Card; 4 × Ruscus Israeli; 21 × Birthday Designer Stems</t>
        </is>
      </c>
      <c r="K330" s="30" t="inlineStr">
        <is>
          <t>Y</t>
        </is>
      </c>
      <c r="L330" s="30" t="n"/>
      <c r="M330" s="30" t="inlineStr">
        <is>
          <t>A florist-designed bouquet with 21 florist's choice birthday stems. Stems vary with the season, so the picture is illustrative and shows the style and colour, not the exact flowers.</t>
        </is>
      </c>
      <c r="N330" s="30">
        <f>LEN(TRIM(SUBSTITUTE(M330,CHAR(10)," ")))-LEN(SUBSTITUTE(TRIM(SUBSTITUTE(M330,CHAR(10)," "))," ",""))+1</f>
        <v/>
      </c>
      <c r="O330" s="30" t="inlineStr">
        <is>
          <t>&lt;p&gt;A florist-designed bouquet with 21 florist's choice birthday stems. Stems vary with the season, so the picture is illustrative and shows the style and colour, not the exact flowers.&lt;/p&gt;</t>
        </is>
      </c>
      <c r="P330" s="29" t="inlineStr">
        <is>
          <t>ok</t>
        </is>
      </c>
      <c r="Q330" s="30" t="inlineStr">
        <is>
          <t>Birthday Designer Collection III is an arrangement of 21 florist's choice birthday stems. The florist chooses the flowers to suit the season, so the picture is illustrative and shows the style and colour, not the exact stems.
It suits a just-because moment or a birthday, or any day you want to bring a little colour to the kitchen bench.</t>
        </is>
      </c>
      <c r="R330" s="30" t="inlineStr">
        <is>
          <t>&lt;p&gt;Birthday Designer Collection III is an arrangement of 21 florist's choice birthday stems. The florist chooses the flowers to suit the season, so the picture is illustrative and shows the style and colour, not the exact stems.&lt;/p&gt;&lt;p&gt;It suits a just-because moment or a birthday, or any day you want to bring a little colour to the kitchen bench.&lt;/p&gt;</t>
        </is>
      </c>
      <c r="S330" s="29" t="inlineStr">
        <is>
          <t>ok</t>
        </is>
      </c>
      <c r="T330" s="30" t="inlineStr">
        <is>
          <t>In this bunch: 21 florist's choice birthday stems. Stems vary with the season, so the picture is illustrative and shows the style and colour, not the exact flowers.</t>
        </is>
      </c>
      <c r="U330" s="30" t="inlineStr">
        <is>
          <t>&lt;p&gt;In this bunch: 21 florist's choice birthday stems. Stems vary with the season, so the picture is illustrative and shows the style and colour, not the exact flowers.&lt;/p&gt;</t>
        </is>
      </c>
      <c r="V330" s="29" t="inlineStr">
        <is>
          <t>ok</t>
        </is>
      </c>
      <c r="W330" s="30" t="n"/>
      <c r="X330" s="30" t="inlineStr">
        <is>
          <t>n/a (Mel's: mason jar products only)</t>
        </is>
      </c>
      <c r="Y330" s="30" t="n"/>
      <c r="Z330" s="48" t="inlineStr">
        <is>
          <t>-</t>
        </is>
      </c>
      <c r="AA330" t="n">
        <v>110</v>
      </c>
      <c r="AB330" s="44" t="n">
        <v>11948.04</v>
      </c>
      <c r="AC330" t="n">
        <v>92</v>
      </c>
      <c r="AD330" s="45" t="n">
        <v>0.001368970598216868</v>
      </c>
      <c r="AE330" s="45" t="n">
        <v>0.01120649066593979</v>
      </c>
      <c r="AF330" t="n">
        <v>12</v>
      </c>
    </row>
    <row r="331" ht="109.5" customHeight="1" s="24">
      <c r="A331" s="30" t="inlineStr">
        <is>
          <t>DCB-02</t>
        </is>
      </c>
      <c r="B331" s="30" t="inlineStr">
        <is>
          <t>Birthday Designer Collection II</t>
        </is>
      </c>
      <c r="C331" s="30" t="inlineStr">
        <is>
          <t>Designer Collection</t>
        </is>
      </c>
      <c r="D331" s="43" t="inlineStr">
        <is>
          <t>READY TO REVIEW</t>
        </is>
      </c>
      <c r="E331" s="30" t="inlineStr">
        <is>
          <t>Our Birthday Designer Collection II is a florist-crafted arrangement made to make someone's special day shine. Bright, cheerful and thoughtfully styled, it is a wonderful way to send birthday wishes that feel truly personal.</t>
        </is>
      </c>
      <c r="F331" s="30" t="inlineStr">
        <is>
          <t>Shopify (28 Sep)</t>
        </is>
      </c>
      <c r="G331" s="30" t="inlineStr">
        <is>
          <t>16 × Birthday Designer Stems; 3 × Ruscus Israeli; 1 × Greeting Card</t>
        </is>
      </c>
      <c r="H331" s="30" t="inlineStr">
        <is>
          <t>16 × Birthday Designer Stems; 3 × Ruscus Israeli; 1 × Greeting Card</t>
        </is>
      </c>
      <c r="I331" s="30" t="inlineStr">
        <is>
          <t>16 × Birthday Designer Stems; 3 × Ruscus Israeli; 1 × Greeting Card</t>
        </is>
      </c>
      <c r="J331" s="30" t="inlineStr">
        <is>
          <t>1 × Greeting Card; 3 × Ruscus Israeli; 16 × Birthday Designer Stems</t>
        </is>
      </c>
      <c r="K331" s="30" t="inlineStr">
        <is>
          <t>Y</t>
        </is>
      </c>
      <c r="L331" s="30" t="n"/>
      <c r="M331" s="30" t="inlineStr">
        <is>
          <t>A florist-designed bouquet with 16 florist's choice birthday stems. Stems vary with the season, so the picture is illustrative and shows the style and colour, not the exact flowers.</t>
        </is>
      </c>
      <c r="N331" s="30">
        <f>LEN(TRIM(SUBSTITUTE(M331,CHAR(10)," ")))-LEN(SUBSTITUTE(TRIM(SUBSTITUTE(M331,CHAR(10)," "))," ",""))+1</f>
        <v/>
      </c>
      <c r="O331" s="30" t="inlineStr">
        <is>
          <t>&lt;p&gt;A florist-designed bouquet with 16 florist's choice birthday stems. Stems vary with the season, so the picture is illustrative and shows the style and colour, not the exact flowers.&lt;/p&gt;</t>
        </is>
      </c>
      <c r="P331" s="29" t="inlineStr">
        <is>
          <t>ok</t>
        </is>
      </c>
      <c r="Q331" s="30" t="inlineStr">
        <is>
          <t>Birthday Designer Collection II is an arrangement of 16 florist's choice birthday stems. Stems vary with the season, so the picture is illustrative and shows the style and colour, not the exact flowers.
It suits a birthday or a just-because moment, or any day you want to bring a little colour to a summer table.</t>
        </is>
      </c>
      <c r="R331" s="30" t="inlineStr">
        <is>
          <t>&lt;p&gt;Birthday Designer Collection II is an arrangement of 16 florist's choice birthday stems. Stems vary with the season, so the picture is illustrative and shows the style and colour, not the exact flowers.&lt;/p&gt;&lt;p&gt;It suits a birthday or a just-because moment, or any day you want to bring a little colour to a summer table.&lt;/p&gt;</t>
        </is>
      </c>
      <c r="S331" s="29" t="inlineStr">
        <is>
          <t>ok</t>
        </is>
      </c>
      <c r="T331" s="30" t="inlineStr">
        <is>
          <t>In this bunch: 16 florist's choice birthday stems. Stems vary with the season, so the picture is illustrative and shows the style and colour, not the exact flowers.</t>
        </is>
      </c>
      <c r="U331" s="30" t="inlineStr">
        <is>
          <t>&lt;p&gt;In this bunch: 16 florist's choice birthday stems. Stems vary with the season, so the picture is illustrative and shows the style and colour, not the exact flowers.&lt;/p&gt;</t>
        </is>
      </c>
      <c r="V331" s="29" t="inlineStr">
        <is>
          <t>ok</t>
        </is>
      </c>
      <c r="W331" s="30" t="n"/>
      <c r="X331" s="30" t="inlineStr">
        <is>
          <t>n/a (Mel's: mason jar products only)</t>
        </is>
      </c>
      <c r="Y331" s="30" t="n"/>
      <c r="Z331" s="48" t="inlineStr">
        <is>
          <t>-</t>
        </is>
      </c>
      <c r="AA331" t="n">
        <v>44</v>
      </c>
      <c r="AB331" s="44" t="n">
        <v>49374.85</v>
      </c>
      <c r="AC331" t="n">
        <v>461</v>
      </c>
      <c r="AD331" s="45" t="n">
        <v>0.005657220144437612</v>
      </c>
      <c r="AE331" s="45" t="n">
        <v>0.04631040639323023</v>
      </c>
      <c r="AF331" t="n">
        <v>9</v>
      </c>
    </row>
    <row r="332" ht="109.5" customHeight="1" s="24">
      <c r="A332" s="30" t="inlineStr">
        <is>
          <t>DCB-01</t>
        </is>
      </c>
      <c r="B332" s="30" t="inlineStr">
        <is>
          <t>Birthday Designer Collection I</t>
        </is>
      </c>
      <c r="C332" s="30" t="inlineStr">
        <is>
          <t>Designer Collection</t>
        </is>
      </c>
      <c r="D332" s="43" t="inlineStr">
        <is>
          <t>READY TO REVIEW</t>
        </is>
      </c>
      <c r="E332" s="30" t="n"/>
      <c r="F332" s="30" t="inlineStr">
        <is>
          <t>none</t>
        </is>
      </c>
      <c r="G332" s="30" t="inlineStr">
        <is>
          <t>10 × Birthday Designer Stems; 2 × Ruscus Israeli; 1 × Greeting Card</t>
        </is>
      </c>
      <c r="H332" s="30" t="inlineStr">
        <is>
          <t>10 × Birthday Designer Stems; 2 × Ruscus Israeli; 1 × Greeting Card</t>
        </is>
      </c>
      <c r="I332" s="30" t="inlineStr">
        <is>
          <t>10 × Birthday Designer Stems; 2 × Ruscus Israeli; 1 × Greeting Card</t>
        </is>
      </c>
      <c r="J332" s="30" t="inlineStr">
        <is>
          <t>10 × Birthday Designer Stems; 2 × Ruscus Israeli; 1 × Greeting Card</t>
        </is>
      </c>
      <c r="K332" s="30" t="inlineStr">
        <is>
          <t>Y</t>
        </is>
      </c>
      <c r="L332" s="30" t="n"/>
      <c r="M332" s="30" t="inlineStr">
        <is>
          <t>A florist-designed bouquet with 10 florist's choice birthday stems. Stems vary with the season, so the picture is illustrative and shows the style and colour, not the exact flowers.</t>
        </is>
      </c>
      <c r="N332" s="30">
        <f>LEN(TRIM(SUBSTITUTE(M332,CHAR(10)," ")))-LEN(SUBSTITUTE(TRIM(SUBSTITUTE(M332,CHAR(10)," "))," ",""))+1</f>
        <v/>
      </c>
      <c r="O332" s="30" t="inlineStr">
        <is>
          <t>&lt;p&gt;A florist-designed bouquet with 10 florist's choice birthday stems. Stems vary with the season, so the picture is illustrative and shows the style and colour, not the exact flowers.&lt;/p&gt;</t>
        </is>
      </c>
      <c r="P332" s="29" t="inlineStr">
        <is>
          <t>ok</t>
        </is>
      </c>
      <c r="Q332" s="30" t="inlineStr">
        <is>
          <t>Birthday Designer Collection I is an arrangement of 10 florist's choice birthday stems. The florist chooses the flowers to suit the season, so the picture is illustrative and shows the style and colour, not the exact stems.
It suits a birthday or a just-because moment, or any day you want to bring a little colour to a summer table.</t>
        </is>
      </c>
      <c r="R332" s="30" t="inlineStr">
        <is>
          <t>&lt;p&gt;Birthday Designer Collection I is an arrangement of 10 florist's choice birthday stems. The florist chooses the flowers to suit the season, so the picture is illustrative and shows the style and colour, not the exact stems.&lt;/p&gt;&lt;p&gt;It suits a birthday or a just-because moment, or any day you want to bring a little colour to a summer table.&lt;/p&gt;</t>
        </is>
      </c>
      <c r="S332" s="29" t="inlineStr">
        <is>
          <t>ok</t>
        </is>
      </c>
      <c r="T332" s="30" t="inlineStr">
        <is>
          <t>In this bunch: 10 florist's choice birthday stems. The florist chooses the flowers to suit the season, so the picture is illustrative and shows the style and colour, not the exact stems.</t>
        </is>
      </c>
      <c r="U332" s="30" t="inlineStr">
        <is>
          <t>&lt;p&gt;In this bunch: 10 florist's choice birthday stems. The florist chooses the flowers to suit the season, so the picture is illustrative and shows the style and colour, not the exact stems.&lt;/p&gt;</t>
        </is>
      </c>
      <c r="V332" s="29" t="inlineStr">
        <is>
          <t>ok</t>
        </is>
      </c>
      <c r="W332" s="30" t="n"/>
      <c r="X332" s="30" t="inlineStr">
        <is>
          <t>n/a (Mel's: mason jar products only)</t>
        </is>
      </c>
      <c r="Y332" s="30" t="n"/>
      <c r="Z332" s="48" t="inlineStr">
        <is>
          <t>-</t>
        </is>
      </c>
      <c r="AA332" t="n">
        <v>32</v>
      </c>
      <c r="AB332" s="44" t="n">
        <v>69082.34</v>
      </c>
      <c r="AC332" t="n">
        <v>938</v>
      </c>
      <c r="AD332" s="45" t="n">
        <v>0.007915244960092405</v>
      </c>
      <c r="AE332" s="45" t="n">
        <v>0.06479475810469569</v>
      </c>
      <c r="AF332" t="n">
        <v>8</v>
      </c>
    </row>
    <row r="333" ht="109.5" customHeight="1" s="24">
      <c r="A333" s="30" t="inlineStr">
        <is>
          <t>DC112-04</t>
        </is>
      </c>
      <c r="B333" s="30" t="inlineStr">
        <is>
          <t>Designer Collection IV</t>
        </is>
      </c>
      <c r="C333" s="30" t="inlineStr">
        <is>
          <t>Designer Collection</t>
        </is>
      </c>
      <c r="D333" s="43" t="inlineStr">
        <is>
          <t>READY TO REVIEW</t>
        </is>
      </c>
      <c r="E333" s="30" t="n"/>
      <c r="F333" s="30" t="inlineStr">
        <is>
          <t>none</t>
        </is>
      </c>
      <c r="G333" s="30" t="inlineStr">
        <is>
          <t>12 × Roses Assorted; 12 × Designer Collection stems; 4 × Ruscus Israeli</t>
        </is>
      </c>
      <c r="H333" s="30" t="inlineStr">
        <is>
          <t>12 × Roses Assorted; 12 × Designer Collection stems; 4 × Ruscus Israeli</t>
        </is>
      </c>
      <c r="I333" s="30" t="inlineStr">
        <is>
          <t>12 × Roses Assorted; 12 × Designer Collection stems; 4 × Ruscus Israeli</t>
        </is>
      </c>
      <c r="J333" s="30" t="inlineStr">
        <is>
          <t>4 × Ruscus Israeli; 12 × Designer Collection stems; 12 × Roses Assorted</t>
        </is>
      </c>
      <c r="K333" s="30" t="inlineStr">
        <is>
          <t>Y</t>
        </is>
      </c>
      <c r="L333" s="30" t="n"/>
      <c r="M333" s="30" t="inlineStr">
        <is>
          <t>Designed by our florists, a bouquet of 12 florist's choice stems and 12 assorted-colour roses. The florist chooses the flowers to suit the season, so the picture is illustrative and shows the style and colour, not the exact stems.</t>
        </is>
      </c>
      <c r="N333" s="30">
        <f>LEN(TRIM(SUBSTITUTE(M333,CHAR(10)," ")))-LEN(SUBSTITUTE(TRIM(SUBSTITUTE(M333,CHAR(10)," "))," ",""))+1</f>
        <v/>
      </c>
      <c r="O333" s="30" t="inlineStr">
        <is>
          <t>&lt;p&gt;Designed by our florists, a bouquet of 12 florist's choice stems and 12 assorted-colour roses. The florist chooses the flowers to suit the season, so the picture is illustrative and shows the style and colour, not the exact stems.&lt;/p&gt;</t>
        </is>
      </c>
      <c r="P333" s="29" t="inlineStr">
        <is>
          <t>ok</t>
        </is>
      </c>
      <c r="Q333" s="30" t="inlineStr">
        <is>
          <t>Designer Collection IV is an arrangement of 12 florist's choice stems and 12 assorted-colour roses. The florist chooses the flowers to suit the season, so the picture is illustrative and shows the style and colour, not the exact stems.
It suits a birthday, a thank-you or a just-because moment, or any day you want to bring a little colour to the bedside table.</t>
        </is>
      </c>
      <c r="R333" s="30" t="inlineStr">
        <is>
          <t>&lt;p&gt;Designer Collection IV is an arrangement of 12 florist's choice stems and 12 assorted-colour roses. The florist chooses the flowers to suit the season, so the picture is illustrative and shows the style and colour, not the exact stems.&lt;/p&gt;&lt;p&gt;It suits a birthday, a thank-you or a just-because moment, or any day you want to bring a little colour to the bedside table.&lt;/p&gt;</t>
        </is>
      </c>
      <c r="S333" s="29" t="inlineStr">
        <is>
          <t>ok</t>
        </is>
      </c>
      <c r="T333" s="30" t="inlineStr">
        <is>
          <t>The bunch holds: 12 florist's choice stems and 12 assorted-colour roses. The florist chooses the flowers to suit the season, so the picture is illustrative and shows the style and colour, not the exact stems.</t>
        </is>
      </c>
      <c r="U333" s="30" t="inlineStr">
        <is>
          <t>&lt;p&gt;The bunch holds: 12 florist's choice stems and 12 assorted-colour roses. The florist chooses the flowers to suit the season, so the picture is illustrative and shows the style and colour, not the exact stems.&lt;/p&gt;</t>
        </is>
      </c>
      <c r="V333" s="29" t="inlineStr">
        <is>
          <t>ok</t>
        </is>
      </c>
      <c r="W333" s="30" t="n"/>
      <c r="X333" s="30" t="inlineStr">
        <is>
          <t>n/a (Mel's: mason jar products only)</t>
        </is>
      </c>
      <c r="Y333" s="30" t="n"/>
      <c r="Z333" s="48" t="inlineStr">
        <is>
          <t>-</t>
        </is>
      </c>
      <c r="AA333" t="n">
        <v>140</v>
      </c>
      <c r="AB333" s="44" t="n">
        <v>7194.75</v>
      </c>
      <c r="AC333" t="n">
        <v>51</v>
      </c>
      <c r="AD333" s="45" t="n">
        <v>0.0008243526062944541</v>
      </c>
      <c r="AE333" s="45" t="n">
        <v>0.006748209055705716</v>
      </c>
      <c r="AF333" t="n">
        <v>17</v>
      </c>
    </row>
    <row r="334" ht="109.5" customHeight="1" s="24">
      <c r="A334" s="30" t="inlineStr">
        <is>
          <t>DC112-03</t>
        </is>
      </c>
      <c r="B334" s="30" t="inlineStr">
        <is>
          <t>Designers Collection III</t>
        </is>
      </c>
      <c r="C334" s="30" t="inlineStr">
        <is>
          <t>Designer Collection</t>
        </is>
      </c>
      <c r="D334" s="43" t="inlineStr">
        <is>
          <t>READY TO REVIEW</t>
        </is>
      </c>
      <c r="E334" s="30" t="inlineStr">
        <is>
          <t>A designer's creation thoughtfully composed by our florists, blending premium seasonal blooms in a harmony of colour and texture. Effortlessly elegant, it's a beautiful choice when you want something stylish and memorable for any occasion.</t>
        </is>
      </c>
      <c r="F334" s="30" t="inlineStr">
        <is>
          <t>Shopify (28 Sep)</t>
        </is>
      </c>
      <c r="G334" s="30" t="inlineStr">
        <is>
          <t>10 × Designer Collection stems; 2 × Ruscus Israeli; 1 × Greeting Card</t>
        </is>
      </c>
      <c r="H334" s="30" t="inlineStr">
        <is>
          <t>10 × Designer Collection stems; 2 × Ruscus Israeli; 1 × Greeting Card</t>
        </is>
      </c>
      <c r="I334" s="30" t="inlineStr">
        <is>
          <t>10 × Designer Collection stems; 2 × Ruscus Israeli; 1 × Greeting Card</t>
        </is>
      </c>
      <c r="J334" s="30" t="inlineStr">
        <is>
          <t>1 × Greeting Card; 2 × Ruscus Israeli; 10 × Designer Collection stems</t>
        </is>
      </c>
      <c r="K334" s="30" t="inlineStr">
        <is>
          <t>Y</t>
        </is>
      </c>
      <c r="L334" s="30" t="n"/>
      <c r="M334" s="30" t="inlineStr">
        <is>
          <t>Designed by our florists, a bouquet of 10 florist's choice stems. The florist chooses the flowers to suit the season, so the picture is illustrative and shows the style and colour, not the exact stems.</t>
        </is>
      </c>
      <c r="N334" s="30">
        <f>LEN(TRIM(SUBSTITUTE(M334,CHAR(10)," ")))-LEN(SUBSTITUTE(TRIM(SUBSTITUTE(M334,CHAR(10)," "))," ",""))+1</f>
        <v/>
      </c>
      <c r="O334" s="30" t="inlineStr">
        <is>
          <t>&lt;p&gt;Designed by our florists, a bouquet of 10 florist's choice stems. The florist chooses the flowers to suit the season, so the picture is illustrative and shows the style and colour, not the exact stems.&lt;/p&gt;</t>
        </is>
      </c>
      <c r="P334" s="29" t="inlineStr">
        <is>
          <t>ok</t>
        </is>
      </c>
      <c r="Q334" s="30" t="inlineStr">
        <is>
          <t>Designers Collection III is an arrangement of 10 florist's choice stems. Stems vary with the season, so the picture is illustrative and shows the style and colour, not the exact flowers.
It suits a just-because moment or a thank-you, or any day you want to bring a little colour to a Sunday lunch.</t>
        </is>
      </c>
      <c r="R334" s="30" t="inlineStr">
        <is>
          <t>&lt;p&gt;Designers Collection III is an arrangement of 10 florist's choice stems. Stems vary with the season, so the picture is illustrative and shows the style and colour, not the exact flowers.&lt;/p&gt;&lt;p&gt;It suits a just-because moment or a thank-you, or any day you want to bring a little colour to a Sunday lunch.&lt;/p&gt;</t>
        </is>
      </c>
      <c r="S334" s="29" t="inlineStr">
        <is>
          <t>ok</t>
        </is>
      </c>
      <c r="T334" s="30" t="inlineStr">
        <is>
          <t>The bunch holds: 10 florist's choice stems. The florist chooses the flowers to suit the season, so the picture is illustrative and shows the style and colour, not the exact stems.</t>
        </is>
      </c>
      <c r="U334" s="30" t="inlineStr">
        <is>
          <t>&lt;p&gt;The bunch holds: 10 florist's choice stems. The florist chooses the flowers to suit the season, so the picture is illustrative and shows the style and colour, not the exact stems.&lt;/p&gt;</t>
        </is>
      </c>
      <c r="V334" s="29" t="inlineStr">
        <is>
          <t>ok</t>
        </is>
      </c>
      <c r="W334" s="30" t="n"/>
      <c r="X334" s="30" t="inlineStr">
        <is>
          <t>n/a (Mel's: mason jar products only)</t>
        </is>
      </c>
      <c r="Y334" s="30" t="n"/>
      <c r="Z334" s="48" t="inlineStr">
        <is>
          <t>-</t>
        </is>
      </c>
      <c r="AA334" t="n">
        <v>246</v>
      </c>
      <c r="AB334" s="44" t="n">
        <v>93.45</v>
      </c>
      <c r="AC334" t="n">
        <v>1</v>
      </c>
      <c r="AD334" s="45" t="n">
        <v>1.070721721508277e-05</v>
      </c>
      <c r="AE334" s="45" t="n">
        <v>8.765004152412511e-05</v>
      </c>
      <c r="AF334" t="n">
        <v>24</v>
      </c>
    </row>
    <row r="335" ht="109.5" customHeight="1" s="24">
      <c r="A335" s="30" t="inlineStr">
        <is>
          <t>DC112-01</t>
        </is>
      </c>
      <c r="B335" s="30" t="inlineStr">
        <is>
          <t>Designers Collection I</t>
        </is>
      </c>
      <c r="C335" s="30" t="inlineStr">
        <is>
          <t>Designer Collection</t>
        </is>
      </c>
      <c r="D335" s="43" t="inlineStr">
        <is>
          <t>READY TO REVIEW</t>
        </is>
      </c>
      <c r="E335" s="30" t="n"/>
      <c r="F335" s="30" t="inlineStr">
        <is>
          <t>none</t>
        </is>
      </c>
      <c r="G335" s="30" t="inlineStr">
        <is>
          <t>10 × Designer Collection stems; 2 × Ruscus Israeli</t>
        </is>
      </c>
      <c r="H335" s="30" t="inlineStr">
        <is>
          <t>10 × Designer Collection stems; 2 × Ruscus Israeli</t>
        </is>
      </c>
      <c r="I335" s="30" t="inlineStr">
        <is>
          <t>10 × Designer Collection stems; 2 × Ruscus Israeli</t>
        </is>
      </c>
      <c r="J335" s="30" t="inlineStr">
        <is>
          <t>10 × Designer Collection stems; 2 × Ruscus Israeli</t>
        </is>
      </c>
      <c r="K335" s="30" t="inlineStr">
        <is>
          <t>Y</t>
        </is>
      </c>
      <c r="L335" s="30" t="n"/>
      <c r="M335" s="30" t="inlineStr">
        <is>
          <t>Designed by our florists, a bouquet of 10 florist's choice stems. The florist chooses the flowers to suit the season, so the picture is illustrative and shows the style and colour, not the exact stems.</t>
        </is>
      </c>
      <c r="N335" s="30">
        <f>LEN(TRIM(SUBSTITUTE(M335,CHAR(10)," ")))-LEN(SUBSTITUTE(TRIM(SUBSTITUTE(M335,CHAR(10)," "))," ",""))+1</f>
        <v/>
      </c>
      <c r="O335" s="30" t="inlineStr">
        <is>
          <t>&lt;p&gt;Designed by our florists, a bouquet of 10 florist's choice stems. The florist chooses the flowers to suit the season, so the picture is illustrative and shows the style and colour, not the exact stems.&lt;/p&gt;</t>
        </is>
      </c>
      <c r="P335" s="29" t="inlineStr">
        <is>
          <t>ok</t>
        </is>
      </c>
      <c r="Q335" s="30" t="inlineStr">
        <is>
          <t>Designers Collection I is an arrangement of 10 florist's choice stems. Flowers change with the season, so the picture is illustrative and shows the style and colour, not the exact flowers you will receive.
It suits a just-because moment or a thank-you, or any day you want to bring a little colour to the bedside table.</t>
        </is>
      </c>
      <c r="R335" s="30" t="inlineStr">
        <is>
          <t>&lt;p&gt;Designers Collection I is an arrangement of 10 florist's choice stems. Flowers change with the season, so the picture is illustrative and shows the style and colour, not the exact flowers you will receive.&lt;/p&gt;&lt;p&gt;It suits a just-because moment or a thank-you, or any day you want to bring a little colour to the bedside table.&lt;/p&gt;</t>
        </is>
      </c>
      <c r="S335" s="29" t="inlineStr">
        <is>
          <t>ok</t>
        </is>
      </c>
      <c r="T335" s="30" t="inlineStr">
        <is>
          <t>The bunch holds: 10 florist's choice stems. Flowers change with the season, so the picture is illustrative and shows the style and colour, not the exact flowers you will receive.</t>
        </is>
      </c>
      <c r="U335" s="30" t="inlineStr">
        <is>
          <t>&lt;p&gt;The bunch holds: 10 florist's choice stems. Flowers change with the season, so the picture is illustrative and shows the style and colour, not the exact flowers you will receive.&lt;/p&gt;</t>
        </is>
      </c>
      <c r="V335" s="29" t="inlineStr">
        <is>
          <t>ok</t>
        </is>
      </c>
      <c r="W335" s="30" t="n"/>
      <c r="X335" s="30" t="inlineStr">
        <is>
          <t>n/a (Mel's: mason jar products only)</t>
        </is>
      </c>
      <c r="Y335" s="30" t="n"/>
      <c r="Z335" s="48" t="inlineStr">
        <is>
          <t>-</t>
        </is>
      </c>
      <c r="AA335" t="inlineStr">
        <is>
          <t>no sales</t>
        </is>
      </c>
      <c r="AB335" s="44" t="n">
        <v>0</v>
      </c>
      <c r="AC335" t="n">
        <v>0</v>
      </c>
      <c r="AD335" s="45" t="n">
        <v>0</v>
      </c>
      <c r="AE335" s="45" t="n">
        <v>0</v>
      </c>
      <c r="AF335" t="inlineStr">
        <is>
          <t>no sales</t>
        </is>
      </c>
    </row>
    <row r="336" ht="109.5" customHeight="1" s="24">
      <c r="A336" s="30" t="inlineStr">
        <is>
          <t>EEEE</t>
        </is>
      </c>
      <c r="B336" s="30" t="inlineStr">
        <is>
          <t>WWWW</t>
        </is>
      </c>
      <c r="C336" s="30" t="inlineStr">
        <is>
          <t>Designer Collection</t>
        </is>
      </c>
      <c r="D336" s="43" t="inlineStr">
        <is>
          <t>READY TO REVIEW</t>
        </is>
      </c>
      <c r="E336" s="30" t="n"/>
      <c r="F336" s="30" t="inlineStr">
        <is>
          <t>none</t>
        </is>
      </c>
      <c r="G336" s="30" t="inlineStr">
        <is>
          <t>16 × Valentine Designer stems; 3 × Ruscus Israeli; 1 × VDAY Card</t>
        </is>
      </c>
      <c r="H336" s="30" t="inlineStr">
        <is>
          <t>16 × Valentine Designer stems; 3 × Ruscus Israeli; 1 × VDAY Card</t>
        </is>
      </c>
      <c r="I336" s="30" t="inlineStr">
        <is>
          <t>16 × Valentine Designer stems; 3 × Ruscus Israeli; 1 × VDAY Card</t>
        </is>
      </c>
      <c r="J336" s="30" t="inlineStr">
        <is>
          <t>1 × VDAY Card; 3 × Ruscus Israeli; 16 × Valentine Designer stems</t>
        </is>
      </c>
      <c r="K336" s="30" t="inlineStr">
        <is>
          <t>N</t>
        </is>
      </c>
      <c r="L336" s="30" t="n"/>
      <c r="M336" s="30" t="inlineStr">
        <is>
          <t>Designed by our florists, a bouquet of 16 florist's choice Valentine's Day stems. The florist chooses the flowers to suit the season, so the picture is illustrative and shows the style and colour, not the exact stems.</t>
        </is>
      </c>
      <c r="N336" s="30">
        <f>LEN(TRIM(SUBSTITUTE(M336,CHAR(10)," ")))-LEN(SUBSTITUTE(TRIM(SUBSTITUTE(M336,CHAR(10)," "))," ",""))+1</f>
        <v/>
      </c>
      <c r="O336" s="30" t="inlineStr">
        <is>
          <t>&lt;p&gt;Designed by our florists, a bouquet of 16 florist's choice Valentine's Day stems. The florist chooses the flowers to suit the season, so the picture is illustrative and shows the style and colour, not the exact stems.&lt;/p&gt;</t>
        </is>
      </c>
      <c r="P336" s="29" t="inlineStr">
        <is>
          <t>ok</t>
        </is>
      </c>
      <c r="Q336" s="30" t="inlineStr">
        <is>
          <t>WWWW is an arrangement of 16 florist's choice Valentine's Day stems. The florist chooses the flowers to suit the season, so the picture is illustrative and shows the style and colour, not the exact stems.
It suits a just-because moment or a thank-you, or any day you want to bring a little colour to the bedside table.</t>
        </is>
      </c>
      <c r="R336" s="30" t="inlineStr">
        <is>
          <t>&lt;p&gt;WWWW is an arrangement of 16 florist's choice Valentine's Day stems. The florist chooses the flowers to suit the season, so the picture is illustrative and shows the style and colour, not the exact stems.&lt;/p&gt;&lt;p&gt;It suits a just-because moment or a thank-you, or any day you want to bring a little colour to the bedside table.&lt;/p&gt;</t>
        </is>
      </c>
      <c r="S336" s="29" t="inlineStr">
        <is>
          <t>ok</t>
        </is>
      </c>
      <c r="T336" s="30" t="inlineStr">
        <is>
          <t>The bunch holds: 16 florist's choice Valentine's Day stems. The florist chooses the flowers to suit the season, so the picture is illustrative and shows the style and colour, not the exact stems.</t>
        </is>
      </c>
      <c r="U336" s="30" t="inlineStr">
        <is>
          <t>&lt;p&gt;The bunch holds: 16 florist's choice Valentine's Day stems. The florist chooses the flowers to suit the season, so the picture is illustrative and shows the style and colour, not the exact stems.&lt;/p&gt;</t>
        </is>
      </c>
      <c r="V336" s="29" t="inlineStr">
        <is>
          <t>ok</t>
        </is>
      </c>
      <c r="W336" s="30" t="n"/>
      <c r="X336" s="30" t="inlineStr">
        <is>
          <t>n/a (Mel's: mason jar products only)</t>
        </is>
      </c>
      <c r="Y336" s="30" t="n"/>
      <c r="Z336" s="48" t="inlineStr">
        <is>
          <t>-</t>
        </is>
      </c>
      <c r="AA336" t="inlineStr">
        <is>
          <t>no sales</t>
        </is>
      </c>
      <c r="AB336" s="44" t="n">
        <v>0</v>
      </c>
      <c r="AC336" t="n">
        <v>0</v>
      </c>
      <c r="AD336" s="45" t="n">
        <v>0</v>
      </c>
      <c r="AE336" s="45" t="n">
        <v>0</v>
      </c>
      <c r="AF336" t="inlineStr">
        <is>
          <t>no sales</t>
        </is>
      </c>
    </row>
    <row r="337" ht="109.5" customHeight="1" s="24">
      <c r="A337" s="30" t="inlineStr">
        <is>
          <t>AURP03</t>
        </is>
      </c>
      <c r="B337" s="30" t="inlineStr">
        <is>
          <t>Glass Vase</t>
        </is>
      </c>
      <c r="C337" s="30" t="inlineStr">
        <is>
          <t>Add-Ons</t>
        </is>
      </c>
      <c r="D337" s="43" t="inlineStr">
        <is>
          <t>READY TO REVIEW</t>
        </is>
      </c>
      <c r="E337" s="30" t="inlineStr">
        <is>
          <t>This beautiful, decorative glass vase is ideal for any arrangement, especially if you are sending it to an office, hospital or funeral home (please note, all bouquets going to a funeral home must be accompanied by a vase). Measures approximately 10" tall A thoughtful tribute crafted with care to honour cherished memories. Why Choose Bloomex Australia? Australia-Wide Delivery — metro and regional Fresh Guaranteed — shipped budding, ready to bloom Same-Day Delivery — order by 1pm Family Owned since 1998 Best Value Guarantee</t>
        </is>
      </c>
      <c r="F337" s="30" t="inlineStr">
        <is>
          <t>Joomla (7 Oct)</t>
        </is>
      </c>
      <c r="G337" s="30" t="inlineStr">
        <is>
          <t>1 × Glass Vase Clear</t>
        </is>
      </c>
      <c r="H337" s="30" t="inlineStr">
        <is>
          <t>1 × Glass Vase Clear</t>
        </is>
      </c>
      <c r="I337" s="30" t="inlineStr">
        <is>
          <t>1 × Glass Vase Clear</t>
        </is>
      </c>
      <c r="J337" s="30" t="inlineStr">
        <is>
          <t>1 × Glass Vase Clear</t>
        </is>
      </c>
      <c r="K337" s="30" t="inlineStr">
        <is>
          <t>Y</t>
        </is>
      </c>
      <c r="L337" s="30" t="n"/>
      <c r="M337" s="30" t="n"/>
      <c r="N337" s="30" t="n"/>
      <c r="O337" s="30" t="n"/>
      <c r="P337" s="48" t="inlineStr">
        <is>
          <t>n/a (add-on item)</t>
        </is>
      </c>
      <c r="Q337" s="30" t="n"/>
      <c r="R337" s="30" t="n"/>
      <c r="S337" s="48" t="inlineStr">
        <is>
          <t>n/a (add-on item)</t>
        </is>
      </c>
      <c r="T337" s="30" t="n"/>
      <c r="U337" s="30" t="n"/>
      <c r="V337" s="48" t="inlineStr">
        <is>
          <t>n/a (add-on item)</t>
        </is>
      </c>
      <c r="W337" s="30" t="n"/>
      <c r="X337" s="30" t="n"/>
      <c r="Y337" s="30" t="n"/>
      <c r="Z337" s="48" t="inlineStr">
        <is>
          <t>-</t>
        </is>
      </c>
      <c r="AA337" t="inlineStr">
        <is>
          <t>n/a (add-on)</t>
        </is>
      </c>
    </row>
    <row r="338" ht="109.5" customHeight="1" s="24">
      <c r="A338" s="30" t="inlineStr">
        <is>
          <t>AURP04</t>
        </is>
      </c>
      <c r="B338" s="30" t="inlineStr">
        <is>
          <t>Glass Vase (Hand blown)</t>
        </is>
      </c>
      <c r="C338" s="30" t="inlineStr">
        <is>
          <t>Add-Ons</t>
        </is>
      </c>
      <c r="D338" s="43" t="inlineStr">
        <is>
          <t>READY TO REVIEW</t>
        </is>
      </c>
      <c r="E338" s="30" t="inlineStr">
        <is>
          <t>This beautiful hand blown glass vase is ideal for any special arrangement. It is perfectly designed to hold up to 36 long stemmed roses. This hand blown vase is the perfect addition to your bouquet, especially if you are sending it to an office, hospital or funeral home (please note, all bouquets going to a funeral home must be accompanied by a vase). Measures approximately 10" tall. Beautiful roses — large, plump, and long-lasting. Why Choose Bloomex Australia? Australia-Wide Delivery — metro and regional Fresh Guaranteed — shipped budding, ready to bloom Same-Day Delivery — order by 1pm Family Owned since 1998 Best Value Guarantee</t>
        </is>
      </c>
      <c r="F338" s="30" t="inlineStr">
        <is>
          <t>Joomla (7 Oct)</t>
        </is>
      </c>
      <c r="G338" s="30" t="inlineStr">
        <is>
          <t>1 × Glass Vase Clear</t>
        </is>
      </c>
      <c r="H338" s="30" t="inlineStr">
        <is>
          <t>1 × Hand blown vase</t>
        </is>
      </c>
      <c r="I338" s="31" t="inlineStr">
        <is>
          <t>1 × Hand blown vase</t>
        </is>
      </c>
      <c r="J338" s="30" t="inlineStr">
        <is>
          <t>1 × Hand blown vase</t>
        </is>
      </c>
      <c r="K338" s="30" t="inlineStr">
        <is>
          <t>Y</t>
        </is>
      </c>
      <c r="L338" s="30" t="n"/>
      <c r="M338" s="30" t="n"/>
      <c r="N338" s="30" t="n"/>
      <c r="O338" s="30" t="n"/>
      <c r="P338" s="48" t="inlineStr">
        <is>
          <t>n/a (add-on item)</t>
        </is>
      </c>
      <c r="Q338" s="30" t="n"/>
      <c r="R338" s="30" t="n"/>
      <c r="S338" s="48" t="inlineStr">
        <is>
          <t>n/a (add-on item)</t>
        </is>
      </c>
      <c r="T338" s="30" t="n"/>
      <c r="U338" s="30" t="n"/>
      <c r="V338" s="48" t="inlineStr">
        <is>
          <t>n/a (add-on item)</t>
        </is>
      </c>
      <c r="W338" s="30" t="n"/>
      <c r="X338" s="30" t="n"/>
      <c r="Y338" s="30" t="n"/>
      <c r="Z338" s="48" t="inlineStr">
        <is>
          <t>-</t>
        </is>
      </c>
      <c r="AA338" t="inlineStr">
        <is>
          <t>n/a (add-on)</t>
        </is>
      </c>
    </row>
    <row r="339" ht="109.5" customHeight="1" s="24">
      <c r="A339" s="30" t="inlineStr">
        <is>
          <t>AURP06</t>
        </is>
      </c>
      <c r="B339" s="30" t="inlineStr">
        <is>
          <t>Teddy Bear</t>
        </is>
      </c>
      <c r="C339" s="30" t="inlineStr">
        <is>
          <t>Add-Ons</t>
        </is>
      </c>
      <c r="D339" s="43" t="inlineStr">
        <is>
          <t>READY TO REVIEW</t>
        </is>
      </c>
      <c r="E339" s="30" t="inlineStr">
        <is>
          <t>This lovely and adorable teddy bear is the perfect addition to your special bouquet to state your sentimental message. Ideal for occasions such as love and romance, welcoming a new baby, or just thinking of you. This teddy bear measures approximately 8" tall in seated position. Quality gifts prepared with care for any occasion. Why Choose Bloomex Australia? Australia-Wide Delivery — metro and regional Fresh Guaranteed — shipped budding, ready to bloom Same-Day Delivery — order by 1pm Family Owned since 1998 Best Value Guarantee</t>
        </is>
      </c>
      <c r="F339" s="30" t="inlineStr">
        <is>
          <t>Joomla (7 Oct)</t>
        </is>
      </c>
      <c r="G339" s="30" t="inlineStr">
        <is>
          <t>1 × Teddy Bear</t>
        </is>
      </c>
      <c r="H339" s="30" t="inlineStr">
        <is>
          <t>1 × Small Teddy Bear</t>
        </is>
      </c>
      <c r="I339" s="31" t="inlineStr">
        <is>
          <t>1 × Small Teddy Bear</t>
        </is>
      </c>
      <c r="J339" s="30" t="inlineStr">
        <is>
          <t>1 × Small Teddy Bear</t>
        </is>
      </c>
      <c r="K339" s="30" t="inlineStr">
        <is>
          <t>Y</t>
        </is>
      </c>
      <c r="L339" s="30" t="n"/>
      <c r="M339" s="30" t="n"/>
      <c r="N339" s="30" t="n"/>
      <c r="O339" s="30" t="n"/>
      <c r="P339" s="48" t="inlineStr">
        <is>
          <t>n/a (add-on item)</t>
        </is>
      </c>
      <c r="Q339" s="30" t="n"/>
      <c r="R339" s="30" t="n"/>
      <c r="S339" s="48" t="inlineStr">
        <is>
          <t>n/a (add-on item)</t>
        </is>
      </c>
      <c r="T339" s="30" t="n"/>
      <c r="U339" s="30" t="n"/>
      <c r="V339" s="48" t="inlineStr">
        <is>
          <t>n/a (add-on item)</t>
        </is>
      </c>
      <c r="W339" s="30" t="n"/>
      <c r="X339" s="30" t="n"/>
      <c r="Y339" s="30" t="n"/>
      <c r="Z339" s="48" t="inlineStr">
        <is>
          <t>-</t>
        </is>
      </c>
      <c r="AA339" t="inlineStr">
        <is>
          <t>n/a (add-on)</t>
        </is>
      </c>
    </row>
    <row r="340" ht="109.5" customHeight="1" s="24">
      <c r="A340" s="30" t="inlineStr">
        <is>
          <t>AU501-02</t>
        </is>
      </c>
      <c r="B340" s="30" t="inlineStr">
        <is>
          <t>Red Rose Trio, Card &amp; Teddy</t>
        </is>
      </c>
      <c r="C340" s="30" t="inlineStr">
        <is>
          <t>Add-Ons</t>
        </is>
      </c>
      <c r="D340" s="43" t="inlineStr">
        <is>
          <t>READY TO REVIEW</t>
        </is>
      </c>
      <c r="E340" s="30" t="inlineStr">
        <is>
          <t>1/2 Price Roses, Teddy and Card Special! 3 plump long stem Red Roses, a cuddly Teddy Bear and a personalized card to express yourself in any way you choose! Express your love beautifully. Perfect for anniversaries or special moments. Why Choose Bloomex Australia? Australia-Wide Delivery — metro and regional Fresh Guaranteed — shipped budding, ready to bloom Same-Day Delivery — order by 1pm Family Owned since 1998 Best Value Guarantee</t>
        </is>
      </c>
      <c r="F340" s="30" t="inlineStr">
        <is>
          <t>Joomla (7 Oct)</t>
        </is>
      </c>
      <c r="G340" s="30" t="inlineStr">
        <is>
          <t>1 × Baby's Breath; 1 × Ruscus Israeli; 1 × Greeting Card; 3 × Roses Red; 1 × Teddy Bear</t>
        </is>
      </c>
      <c r="H340" s="30" t="inlineStr">
        <is>
          <t>5 × Roses Red; 2 × Ruscus Israeli; 2 × Greeting Card; 1 × Baby's Breath; 1 × Small Teddy Bear</t>
        </is>
      </c>
      <c r="I340" s="31" t="inlineStr">
        <is>
          <t>5 × Roses Red; 2 × Ruscus Israeli; 2 × Greeting Card; 1 × Baby's Breath; 1 × Small Teddy Bear</t>
        </is>
      </c>
      <c r="J340" s="30" t="inlineStr">
        <is>
          <t>5 × Roses Red; 2 × Ruscus Israeli; 2 × Greeting Card; 1 × Baby's Breath; 1 × Small Teddy Bear</t>
        </is>
      </c>
      <c r="K340" s="30" t="inlineStr">
        <is>
          <t>Y</t>
        </is>
      </c>
      <c r="L340" s="30" t="n"/>
      <c r="M340" s="30" t="inlineStr">
        <is>
          <t>A fresh arrangement of 5 red roses, plus 2 greeting cards and a small teddy bear. A lovely way to mark an anniversary or a thank-you, and a bright moment when the door opens.</t>
        </is>
      </c>
      <c r="N340" s="30">
        <f>LEN(TRIM(SUBSTITUTE(M340,CHAR(10)," ")))-LEN(SUBSTITUTE(TRIM(SUBSTITUTE(M340,CHAR(10)," "))," ",""))+1</f>
        <v/>
      </c>
      <c r="O340" s="30" t="inlineStr">
        <is>
          <t>&lt;p&gt;A fresh arrangement of 5 red roses, plus 2 greeting cards and a small teddy bear. A lovely way to mark an anniversary or a thank-you, and a bright moment when the door opens.&lt;/p&gt;</t>
        </is>
      </c>
      <c r="P340" s="29" t="inlineStr">
        <is>
          <t>ok</t>
        </is>
      </c>
      <c r="Q340" s="30" t="inlineStr">
        <is>
          <t>Red Rose Trio, Card &amp; Teddy brings together 5 red roses, plus 2 greeting cards and a small teddy bear. It suits an anniversary or a thank-you.
Red tones say love and devotion. We hand-arrange each one at Aussie Blooms so it looks the way you pictured it, ready for the kitchen bench.</t>
        </is>
      </c>
      <c r="R340" s="30" t="inlineStr">
        <is>
          <t>&lt;p&gt;Red Rose Trio, Card &amp;amp; Teddy brings together 5 red roses, plus 2 greeting cards and a small teddy bear. It suits an anniversary or a thank-you.&lt;/p&gt;&lt;p&gt;Red tones say love and devotion. We hand-arrange each one at Aussie Blooms so it looks the way you pictured it, ready for the kitchen bench.&lt;/p&gt;</t>
        </is>
      </c>
      <c r="S340" s="29" t="inlineStr">
        <is>
          <t>ok</t>
        </is>
      </c>
      <c r="T340" s="30" t="inlineStr">
        <is>
          <t>The bunch holds: 5 red roses, plus 2 greeting cards and a small teddy bear. The classic, handed over without a single word of explanation.</t>
        </is>
      </c>
      <c r="U340" s="30" t="inlineStr">
        <is>
          <t>&lt;p&gt;The bunch holds: 5 red roses, plus 2 greeting cards and a small teddy bear. The classic, handed over without a single word of explanation.&lt;/p&gt;</t>
        </is>
      </c>
      <c r="V340" s="29" t="inlineStr">
        <is>
          <t>ok</t>
        </is>
      </c>
      <c r="W340" s="30" t="n"/>
      <c r="X340" s="30" t="inlineStr">
        <is>
          <t>n/a (Mel's: mason jar products only)</t>
        </is>
      </c>
      <c r="Y340" s="30" t="n"/>
      <c r="Z340" s="48" t="inlineStr">
        <is>
          <t>-</t>
        </is>
      </c>
      <c r="AA340" t="inlineStr">
        <is>
          <t>n/a (add-on)</t>
        </is>
      </c>
    </row>
    <row r="341" ht="109.5" customHeight="1" s="24">
      <c r="A341" s="30" t="inlineStr">
        <is>
          <t>AURP-C02</t>
        </is>
      </c>
      <c r="B341" s="30" t="inlineStr">
        <is>
          <t>Large Box of Premium Chocolates</t>
        </is>
      </c>
      <c r="C341" s="30" t="inlineStr">
        <is>
          <t>Add-Ons</t>
        </is>
      </c>
      <c r="D341" s="43" t="inlineStr">
        <is>
          <t>READY TO REVIEW</t>
        </is>
      </c>
      <c r="E341" s="30" t="inlineStr">
        <is>
          <t>Send a large box of gourmet chocolates along with your bouquet or gift! This 140g box of Belgian Praline chocolates will suit the palate of any recipient. Celebrate Dad with a thoughtful gift he'll love. Why Choose Bloomex Australia? Australia-Wide Delivery — metro and regional Fresh Guaranteed — shipped budding, ready to bloom Same-Day Delivery — order by 1pm Family Owned since 1998 Best Value Guarantee</t>
        </is>
      </c>
      <c r="F341" s="30" t="inlineStr">
        <is>
          <t>Joomla (7 Oct)</t>
        </is>
      </c>
      <c r="G341" s="30" t="inlineStr">
        <is>
          <t>1 × Small Chocolates</t>
        </is>
      </c>
      <c r="H341" s="30" t="inlineStr">
        <is>
          <t>1 × Chocolatier Gift Box 140g</t>
        </is>
      </c>
      <c r="I341" s="31" t="inlineStr">
        <is>
          <t>1 × Chocolatier Gift Box 140g</t>
        </is>
      </c>
      <c r="J341" s="30" t="inlineStr">
        <is>
          <t>1 × Chocolatier Gift Box 140g</t>
        </is>
      </c>
      <c r="K341" s="30" t="inlineStr">
        <is>
          <t>Y</t>
        </is>
      </c>
      <c r="L341" s="30" t="n"/>
      <c r="M341" s="30" t="n"/>
      <c r="N341" s="30" t="n"/>
      <c r="O341" s="30" t="n"/>
      <c r="P341" s="48" t="inlineStr">
        <is>
          <t>n/a (add-on item)</t>
        </is>
      </c>
      <c r="Q341" s="30" t="n"/>
      <c r="R341" s="30" t="n"/>
      <c r="S341" s="48" t="inlineStr">
        <is>
          <t>n/a (add-on item)</t>
        </is>
      </c>
      <c r="T341" s="30" t="n"/>
      <c r="U341" s="30" t="n"/>
      <c r="V341" s="48" t="inlineStr">
        <is>
          <t>n/a (add-on item)</t>
        </is>
      </c>
      <c r="W341" s="30" t="n"/>
      <c r="X341" s="30" t="n"/>
      <c r="Y341" s="30" t="n"/>
      <c r="Z341" s="48" t="inlineStr">
        <is>
          <t>-</t>
        </is>
      </c>
      <c r="AA341" t="inlineStr">
        <is>
          <t>n/a (add-on)</t>
        </is>
      </c>
    </row>
    <row r="342" ht="109.5" customHeight="1" s="24">
      <c r="A342" s="30" t="inlineStr">
        <is>
          <t>DLX-99</t>
        </is>
      </c>
      <c r="B342" s="30" t="inlineStr">
        <is>
          <t>Deluxe Gift Packaging</t>
        </is>
      </c>
      <c r="C342" s="30" t="inlineStr">
        <is>
          <t>Add-Ons</t>
        </is>
      </c>
      <c r="D342" s="43" t="inlineStr">
        <is>
          <t>READY TO REVIEW</t>
        </is>
      </c>
      <c r="E342" s="30" t="inlineStr">
        <is>
          <t>Deluxe Gift Package includes a Full Size Greeting Card, coloured chiffon tissue and a premium gift box. Quality gifts prepared with care for any occasion. Why Choose Bloomex Australia? Australia-Wide Delivery — metro and regional Fresh Guaranteed — shipped budding, ready to bloom Same-Day Delivery — order by 1pm Family Owned since 1998 Best Value Guarantee</t>
        </is>
      </c>
      <c r="F342" s="30" t="inlineStr">
        <is>
          <t>Joomla (7 Oct)</t>
        </is>
      </c>
      <c r="G342" s="30" t="inlineStr">
        <is>
          <t>1 × Greeting Card; 1 × Red Bow</t>
        </is>
      </c>
      <c r="H342" s="30" t="inlineStr">
        <is>
          <t>1 × Greeting Card; 1 × Red Bow</t>
        </is>
      </c>
      <c r="I342" s="30" t="inlineStr">
        <is>
          <t>1 × Greeting Card; 1 × Red Bow</t>
        </is>
      </c>
      <c r="J342" s="30" t="inlineStr">
        <is>
          <t>1 × Greeting Card; 1 × Red Bow</t>
        </is>
      </c>
      <c r="K342" s="30" t="inlineStr">
        <is>
          <t>Y</t>
        </is>
      </c>
      <c r="L342" s="30" t="n"/>
      <c r="M342" s="30" t="n"/>
      <c r="N342" s="30" t="n"/>
      <c r="O342" s="30" t="n"/>
      <c r="P342" s="48" t="inlineStr">
        <is>
          <t>n/a (add-on item)</t>
        </is>
      </c>
      <c r="Q342" s="30" t="n"/>
      <c r="R342" s="30" t="n"/>
      <c r="S342" s="48" t="inlineStr">
        <is>
          <t>n/a (add-on item)</t>
        </is>
      </c>
      <c r="T342" s="30" t="n"/>
      <c r="U342" s="30" t="n"/>
      <c r="V342" s="48" t="inlineStr">
        <is>
          <t>n/a (add-on item)</t>
        </is>
      </c>
      <c r="W342" s="30" t="n"/>
      <c r="X342" s="30" t="n"/>
      <c r="Y342" s="30" t="n"/>
      <c r="Z342" s="48" t="inlineStr">
        <is>
          <t>-</t>
        </is>
      </c>
      <c r="AA342" t="inlineStr">
        <is>
          <t>n/a (add-on)</t>
        </is>
      </c>
    </row>
    <row r="343" ht="109.5" customHeight="1" s="24">
      <c r="A343" s="30" t="inlineStr">
        <is>
          <t>AURP-16sp</t>
        </is>
      </c>
      <c r="B343" s="30" t="inlineStr">
        <is>
          <t>Single Rose &amp; Card</t>
        </is>
      </c>
      <c r="C343" s="30" t="inlineStr">
        <is>
          <t>Add-Ons</t>
        </is>
      </c>
      <c r="D343" s="43" t="inlineStr">
        <is>
          <t>READY TO REVIEW</t>
        </is>
      </c>
      <c r="E343" s="30" t="inlineStr">
        <is>
          <t>Eleven elegant roses presented with a personal card, simple, sincere and timelessly romantic. A single, heartfelt gesture that speaks volumes, perfect for saying the words that matter most.</t>
        </is>
      </c>
      <c r="F343" s="30" t="inlineStr">
        <is>
          <t>Shopify (28 Sep)</t>
        </is>
      </c>
      <c r="G343" s="30" t="inlineStr">
        <is>
          <t>1 × Roses Red; 1 × Ruscus Israeli; 1 × VDAY Card</t>
        </is>
      </c>
      <c r="H343" s="30" t="inlineStr">
        <is>
          <t>2 × Roses Red; 1 × Ruscus Israeli; 1 × VDAY Card</t>
        </is>
      </c>
      <c r="I343" s="31" t="inlineStr">
        <is>
          <t>2 × Roses Red; 1 × Ruscus Israeli; 1 × VDAY Card</t>
        </is>
      </c>
      <c r="J343" s="30" t="inlineStr">
        <is>
          <t>2 × Roses Red; 1 × Ruscus Israeli; 1 × VDAY Card</t>
        </is>
      </c>
      <c r="K343" s="30" t="inlineStr">
        <is>
          <t>Y</t>
        </is>
      </c>
      <c r="L343" s="30" t="n"/>
      <c r="M343" s="30" t="inlineStr">
        <is>
          <t>A fresh arrangement of 2 red roses, plus a Valentine's Day card. A lovely way to mark an anniversary or a thank-you, and a bright moment when the door opens.</t>
        </is>
      </c>
      <c r="N343" s="30">
        <f>LEN(TRIM(SUBSTITUTE(M343,CHAR(10)," ")))-LEN(SUBSTITUTE(TRIM(SUBSTITUTE(M343,CHAR(10)," "))," ",""))+1</f>
        <v/>
      </c>
      <c r="O343" s="30" t="inlineStr">
        <is>
          <t>&lt;p&gt;A fresh arrangement of 2 red roses, plus a Valentine's Day card. A lovely way to mark an anniversary or a thank-you, and a bright moment when the door opens.&lt;/p&gt;</t>
        </is>
      </c>
      <c r="P343" s="29" t="inlineStr">
        <is>
          <t>ok</t>
        </is>
      </c>
      <c r="Q343" s="30" t="inlineStr">
        <is>
          <t>Single Rose &amp; Card brings together 2 red roses, plus a Valentine's Day card. It suits an anniversary or a thank-you.
Red tones say love and devotion. We hand-arrange each one at Aussie Blooms so it looks the way you pictured it, ready for a summer table.</t>
        </is>
      </c>
      <c r="R343" s="30" t="inlineStr">
        <is>
          <t>&lt;p&gt;Single Rose &amp;amp; Card brings together 2 red roses, plus a Valentine's Day card. It suits an anniversary or a thank-you.&lt;/p&gt;&lt;p&gt;Red tones say love and devotion. We hand-arrange each one at Aussie Blooms so it looks the way you pictured it, ready for a summer table.&lt;/p&gt;</t>
        </is>
      </c>
      <c r="S343" s="29" t="inlineStr">
        <is>
          <t>ok</t>
        </is>
      </c>
      <c r="T343" s="30" t="inlineStr">
        <is>
          <t>The bunch holds: 2 red roses, plus a Valentine's Day card. The classic, handed over without a single word of explanation.</t>
        </is>
      </c>
      <c r="U343" s="30" t="inlineStr">
        <is>
          <t>&lt;p&gt;The bunch holds: 2 red roses, plus a Valentine's Day card. The classic, handed over without a single word of explanation.&lt;/p&gt;</t>
        </is>
      </c>
      <c r="V343" s="29" t="inlineStr">
        <is>
          <t>ok</t>
        </is>
      </c>
      <c r="W343" s="30" t="n"/>
      <c r="X343" s="30" t="inlineStr">
        <is>
          <t>n/a (Mel's: mason jar products only)</t>
        </is>
      </c>
      <c r="Y343" s="30" t="n"/>
      <c r="Z343" s="48" t="inlineStr">
        <is>
          <t>-</t>
        </is>
      </c>
      <c r="AA343" t="inlineStr">
        <is>
          <t>n/a (add-on)</t>
        </is>
      </c>
    </row>
    <row r="344" ht="109.5" customHeight="1" s="24">
      <c r="A344" s="30" t="inlineStr">
        <is>
          <t>AU13-47</t>
        </is>
      </c>
      <c r="B344" s="30" t="inlineStr">
        <is>
          <t>Dozen Boxed Red Roses Combo III</t>
        </is>
      </c>
      <c r="C344" s="30" t="inlineStr">
        <is>
          <t>Add-Ons</t>
        </is>
      </c>
      <c r="D344" s="43" t="inlineStr">
        <is>
          <t>READY TO REVIEW</t>
        </is>
      </c>
      <c r="E344" s="30" t="inlineStr">
        <is>
          <t>One Dozen sensational, fresh-cut, Red Roses delivered in a traditional and elegant gift box. To allow these beautiful flowers to last much longer, they are shipped fresh, budding, and ready to bloom. Express your love beautifully. Perfect for anniversaries or special moments. Why Choose Bloomex Australia? Australia-Wide Delivery — metro and regional Fresh Guaranteed — shipped budding, ready to bloom Same-Day Delivery — order by 1pm Family Owned since 1998 Best Value Guarantee</t>
        </is>
      </c>
      <c r="F344" s="30" t="inlineStr">
        <is>
          <t>Joomla (7 Oct)</t>
        </is>
      </c>
      <c r="G344" s="30" t="inlineStr">
        <is>
          <t>12 × Roses Red; 2 × Baby's Breath; 3 × Ruscus Israeli; 1 × Greeting Card; Balloon - I Love You; 1 × Teddy Bear; 1 × Red Box</t>
        </is>
      </c>
      <c r="H344" s="30" t="inlineStr">
        <is>
          <t>2 × Sparkling wine; 1 × Teddy Bear; 12 × Roses Red</t>
        </is>
      </c>
      <c r="I344" s="31" t="inlineStr">
        <is>
          <t>2 × Sparkling wine; 1 × Teddy Bear; 12 × Roses Red</t>
        </is>
      </c>
      <c r="J344" s="30" t="inlineStr">
        <is>
          <t>2 × Sparkling wine; 1 × Teddy Bear; 12 × Roses Red</t>
        </is>
      </c>
      <c r="K344" s="30" t="inlineStr">
        <is>
          <t>Y</t>
        </is>
      </c>
      <c r="L344" s="30" t="n"/>
      <c r="M344" s="30" t="inlineStr">
        <is>
          <t>A fresh arrangement of 12 red roses, plus 2 bottles of sparkling wine and a teddy bear. A lovely way to mark an anniversary or a thank-you, and a bright moment when the door opens.
Purchaser must be 18 years old or over to purchase this product. The recipient, by law, must be at least 18 years of age, with proof of age.</t>
        </is>
      </c>
      <c r="N344" s="30">
        <f>LEN(TRIM(SUBSTITUTE(M344,CHAR(10)," ")))-LEN(SUBSTITUTE(TRIM(SUBSTITUTE(M344,CHAR(10)," "))," ",""))+1</f>
        <v/>
      </c>
      <c r="O344" s="30" t="inlineStr">
        <is>
          <t>&lt;p&gt;A fresh arrangement of 12 red roses, plus 2 bottles of sparkling wine and a teddy bear. A lovely way to mark an anniversary or a thank-you, and a bright moment when the door opens.&lt;/p&gt;&lt;p&gt;Purchaser must be 18 years old or over to purchase this product. The recipient, by law, must be at least 18 years of age, with proof of age.&lt;/p&gt;</t>
        </is>
      </c>
      <c r="P344" s="29" t="inlineStr">
        <is>
          <t>ok</t>
        </is>
      </c>
      <c r="Q344" s="30" t="inlineStr">
        <is>
          <t>Dozen Boxed Red Roses Combo III brings together 12 red roses, plus 2 bottles of sparkling wine and a teddy bear. It suits an anniversary or a thank-you.
Red tones say love and devotion. We hand-arrange each one at Aussie Blooms so it looks the way you pictured it, ready for the bedside table.
Purchaser must be 18 years old or over to purchase this product. The recipient, by law, must be at least 18 years of age, with proof of age.</t>
        </is>
      </c>
      <c r="R344" s="30" t="inlineStr">
        <is>
          <t>&lt;p&gt;Dozen Boxed Red Roses Combo III brings together 12 red roses, plus 2 bottles of sparkling wine and a teddy bear. It suits an anniversary or a thank-you.&lt;/p&gt;&lt;p&gt;Red tones say love and devotion. We hand-arrange each one at Aussie Blooms so it looks the way you pictured it, ready for the bedside table.&lt;/p&gt;&lt;p&gt;Purchaser must be 18 years old or over to purchase this product. The recipient, by law, must be at least 18 years of age, with proof of age.&lt;/p&gt;</t>
        </is>
      </c>
      <c r="S344" s="29" t="inlineStr">
        <is>
          <t>ok</t>
        </is>
      </c>
      <c r="T344" s="30" t="inlineStr">
        <is>
          <t>The bunch holds: 12 red roses, plus 2 bottles of sparkling wine and a teddy bear. The classic, handed over without a single word of explanation.
Purchaser must be 18 years old or over to purchase this product. The recipient, by law, must be at least 18 years of age, with proof of age.</t>
        </is>
      </c>
      <c r="U344" s="30" t="inlineStr">
        <is>
          <t>&lt;p&gt;The bunch holds: 12 red roses, plus 2 bottles of sparkling wine and a teddy bear. The classic, handed over without a single word of explanation.&lt;/p&gt;&lt;p&gt;Purchaser must be 18 years old or over to purchase this product. The recipient, by law, must be at least 18 years of age, with proof of age.&lt;/p&gt;</t>
        </is>
      </c>
      <c r="V344" s="29" t="inlineStr">
        <is>
          <t>ok</t>
        </is>
      </c>
      <c r="W344" s="30" t="n"/>
      <c r="X344" s="30" t="inlineStr">
        <is>
          <t>n/a (Mel's: mason jar products only)</t>
        </is>
      </c>
      <c r="Y344" s="30" t="n"/>
      <c r="Z344" s="48" t="inlineStr">
        <is>
          <t>-</t>
        </is>
      </c>
      <c r="AA344" t="inlineStr">
        <is>
          <t>n/a (add-on)</t>
        </is>
      </c>
    </row>
    <row r="345" ht="109.5" customHeight="1" s="24">
      <c r="A345" s="30" t="inlineStr">
        <is>
          <t>AU501-09</t>
        </is>
      </c>
      <c r="B345" s="30" t="inlineStr">
        <is>
          <t>Ten Red Roses, Card &amp; Teddy</t>
        </is>
      </c>
      <c r="C345" s="30" t="inlineStr">
        <is>
          <t>Add-Ons</t>
        </is>
      </c>
      <c r="D345" s="43" t="inlineStr">
        <is>
          <t>READY TO REVIEW</t>
        </is>
      </c>
      <c r="E345" s="30" t="inlineStr">
        <is>
          <t>1/2 Price Roses, Teddy and Card Special! 10 plump long stem Red Roses, a cuddly Teddy Bear and a personalized card to express yourself in any way you choose! Express your love beautifully. Perfect for anniversaries or special moments. Why Choose Bloomex Australia? Australia-Wide Delivery — metro and regional Fresh Guaranteed — shipped budding, ready to bloom Same-Day Delivery — order by 1pm Family Owned since 1998 Best Value Guarantee</t>
        </is>
      </c>
      <c r="F345" s="30" t="inlineStr">
        <is>
          <t>Joomla (7 Oct)</t>
        </is>
      </c>
      <c r="G345" s="30" t="inlineStr">
        <is>
          <t>10 × Roses Red; 1 × Baby's Breath; 2 × Ruscus Israeli; 1 × Teddy Bear; 1 × Greeting Card</t>
        </is>
      </c>
      <c r="H345" s="30" t="inlineStr">
        <is>
          <t>1 × Gypsophila; 10 × Roses Red; 1 × Greeting Card; 1 × Small Teddy Bear; 1 × Ruscus Israeli</t>
        </is>
      </c>
      <c r="I345" s="31" t="inlineStr">
        <is>
          <t>1 × Gypsophila; 10 × Roses Red; 1 × Greeting Card; 1 × Small Teddy Bear; 1 × Ruscus Israeli</t>
        </is>
      </c>
      <c r="J345" s="30" t="inlineStr">
        <is>
          <t>1 × Gypsophila; 10 × Roses Red; 1 × Greeting Card; 1 × Small Teddy Bear; 1 × Ruscus Israeli</t>
        </is>
      </c>
      <c r="K345" s="30" t="inlineStr">
        <is>
          <t>Y</t>
        </is>
      </c>
      <c r="L345" s="30" t="n"/>
      <c r="M345" s="30" t="inlineStr">
        <is>
          <t>A fresh arrangement of 10 red roses, plus a greeting card and a small teddy bear. A lovely way to mark an anniversary or a thank-you, and a bright moment when the door opens.</t>
        </is>
      </c>
      <c r="N345" s="30">
        <f>LEN(TRIM(SUBSTITUTE(M345,CHAR(10)," ")))-LEN(SUBSTITUTE(TRIM(SUBSTITUTE(M345,CHAR(10)," "))," ",""))+1</f>
        <v/>
      </c>
      <c r="O345" s="30" t="inlineStr">
        <is>
          <t>&lt;p&gt;A fresh arrangement of 10 red roses, plus a greeting card and a small teddy bear. A lovely way to mark an anniversary or a thank-you, and a bright moment when the door opens.&lt;/p&gt;</t>
        </is>
      </c>
      <c r="P345" s="29" t="inlineStr">
        <is>
          <t>ok</t>
        </is>
      </c>
      <c r="Q345" s="30" t="inlineStr">
        <is>
          <t>Ten Red Roses, Card &amp; Teddy brings together 10 red roses, plus a greeting card and a small teddy bear. It suits an anniversary or a thank-you.
Red tones say love and devotion. We hand-arrange each one at Aussie Blooms so it looks the way you pictured it, ready for the kitchen bench.</t>
        </is>
      </c>
      <c r="R345" s="30" t="inlineStr">
        <is>
          <t>&lt;p&gt;Ten Red Roses, Card &amp;amp; Teddy brings together 10 red roses, plus a greeting card and a small teddy bear. It suits an anniversary or a thank-you.&lt;/p&gt;&lt;p&gt;Red tones say love and devotion. We hand-arrange each one at Aussie Blooms so it looks the way you pictured it, ready for the kitchen bench.&lt;/p&gt;</t>
        </is>
      </c>
      <c r="S345" s="29" t="inlineStr">
        <is>
          <t>ok</t>
        </is>
      </c>
      <c r="T345" s="30" t="inlineStr">
        <is>
          <t>The bunch holds: 10 red roses, plus a greeting card and a small teddy bear. The classic, handed over without a single word of explanation.</t>
        </is>
      </c>
      <c r="U345" s="30" t="inlineStr">
        <is>
          <t>&lt;p&gt;The bunch holds: 10 red roses, plus a greeting card and a small teddy bear. The classic, handed over without a single word of explanation.&lt;/p&gt;</t>
        </is>
      </c>
      <c r="V345" s="29" t="inlineStr">
        <is>
          <t>ok</t>
        </is>
      </c>
      <c r="W345" s="30" t="n"/>
      <c r="X345" s="30" t="inlineStr">
        <is>
          <t>n/a (Mel's: mason jar products only)</t>
        </is>
      </c>
      <c r="Y345" s="30" t="n"/>
      <c r="Z345" s="48" t="inlineStr">
        <is>
          <t>-</t>
        </is>
      </c>
      <c r="AA345" t="inlineStr">
        <is>
          <t>n/a (add-on)</t>
        </is>
      </c>
    </row>
  </sheetData>
  <autoFilter ref="A1:Z345"/>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40" customWidth="1" style="24" min="1" max="1"/>
  </cols>
  <sheetData>
    <row r="1">
      <c r="A1" s="49" t="inlineStr">
        <is>
          <t>Sales ranking: how it was built</t>
        </is>
      </c>
    </row>
    <row r="2">
      <c r="A2" t="inlineStr">
        <is>
          <t>Source: Total_sales_by_product 2026-01-01 to 2026-10-10 (Shopify export), Net sales (after discounts/reversals, before tax), all 5 AU stores combined.</t>
        </is>
      </c>
    </row>
    <row r="3">
      <c r="A3" t="inlineStr">
        <is>
          <t>Match: product title (case/punctuation-insensitive); Mel's rows also matched on the Mel's title column. Products with no match show 'no sales' (new, renamed or sold under another name).</t>
        </is>
      </c>
    </row>
    <row r="4">
      <c r="A4" t="inlineStr">
        <is>
          <t>Included: Bouquets, Mason Jar, Sympathy, Designer Collection, Roses. Excluded: Add-Ons (and gourmet/hampers are not in this file).</t>
        </is>
      </c>
    </row>
    <row r="5">
      <c r="A5" t="inlineStr">
        <is>
          <t>Products sharing the same title (e.g. Designer Collection I variants, Full Heart) share the same sales and rank; they are counted once in totals.</t>
        </is>
      </c>
    </row>
    <row r="6">
      <c r="A6" t="inlineStr">
        <is>
          <t>Total flower net sales (matched, unique titles): $8,727,758</t>
        </is>
      </c>
    </row>
    <row r="7">
      <c r="A7" t="inlineStr">
        <is>
          <t>Category total Bouquets: $3,503,722</t>
        </is>
      </c>
    </row>
    <row r="8">
      <c r="A8" t="inlineStr">
        <is>
          <t>Category total Designer Collection: $1,066,172</t>
        </is>
      </c>
    </row>
    <row r="9">
      <c r="A9" t="inlineStr">
        <is>
          <t>Category total Mason Jar: $3,463,718</t>
        </is>
      </c>
    </row>
    <row r="10">
      <c r="A10" t="inlineStr">
        <is>
          <t>Category total Roses: $177,522</t>
        </is>
      </c>
    </row>
    <row r="11">
      <c r="A11" t="inlineStr">
        <is>
          <t>Category total Sympathy: $516,624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2026-10-08T14:53:29Z</dcterms:created>
  <dcterms:modified xmlns:dcterms="http://purl.org/dc/terms/" xmlns:xsi="http://www.w3.org/2001/XMLSchema-instance" xsi:type="dcterms:W3CDTF">2026-10-09T13:37:58Z</dcterms:modified>
  <cp:revision>0</cp:revision>
</cp:coreProperties>
</file>